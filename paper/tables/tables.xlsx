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\Documents\GitHub\peleke\paper\tables\"/>
    </mc:Choice>
  </mc:AlternateContent>
  <xr:revisionPtr revIDLastSave="0" documentId="13_ncr:1_{F48EAAB7-212F-478D-B6FC-5183A65E48BD}" xr6:coauthVersionLast="47" xr6:coauthVersionMax="47" xr10:uidLastSave="{00000000-0000-0000-0000-000000000000}"/>
  <bookViews>
    <workbookView xWindow="38280" yWindow="-120" windowWidth="38640" windowHeight="21240" activeTab="4" xr2:uid="{74FBB4F4-0BB2-49E8-8273-9D963BDE2F1A}"/>
  </bookViews>
  <sheets>
    <sheet name="Training Data" sheetId="1" r:id="rId1"/>
    <sheet name="Models" sheetId="2" r:id="rId2"/>
    <sheet name="VDW_Hits - ESM3" sheetId="3" r:id="rId3"/>
    <sheet name="VDW_Hits - ESM3 (RAW)" sheetId="4" r:id="rId4"/>
    <sheet name="VDW Hits - Boltz-2" sheetId="6" r:id="rId5"/>
    <sheet name="VDW Hits - Boltz-2 (RAW)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C3" i="6"/>
  <c r="D3" i="6"/>
  <c r="B3" i="6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B4" i="3"/>
  <c r="B5" i="3"/>
  <c r="B6" i="3"/>
  <c r="B7" i="3"/>
  <c r="B8" i="3"/>
  <c r="B9" i="3"/>
  <c r="B3" i="3"/>
</calcChain>
</file>

<file path=xl/sharedStrings.xml><?xml version="1.0" encoding="utf-8"?>
<sst xmlns="http://schemas.openxmlformats.org/spreadsheetml/2006/main" count="116" uniqueCount="78">
  <si>
    <t>pdb_id</t>
  </si>
  <si>
    <t>8xa4</t>
  </si>
  <si>
    <t>h_chain_id</t>
  </si>
  <si>
    <t>C</t>
  </si>
  <si>
    <t>l_chain_id</t>
  </si>
  <si>
    <t>D</t>
  </si>
  <si>
    <t>antigen_ids</t>
  </si>
  <si>
    <t>A|B</t>
  </si>
  <si>
    <t>h_chain_seq</t>
  </si>
  <si>
    <t>l_chain_seq</t>
  </si>
  <si>
    <t>antigen_seqs</t>
  </si>
  <si>
    <t>antibody_seqs</t>
  </si>
  <si>
    <t>h_chain_fv_seq</t>
  </si>
  <si>
    <t>l_chain_fv_seq</t>
  </si>
  <si>
    <t>antibody_fv_seqs</t>
  </si>
  <si>
    <t>highlighted_epitope_seqs</t>
  </si>
  <si>
    <t>epitope_residues</t>
  </si>
  <si>
    <t>Column Name</t>
  </si>
  <si>
    <t>Example</t>
  </si>
  <si>
    <t>Description</t>
  </si>
  <si>
    <t>The PDB ID on Protein Data Bank</t>
  </si>
  <si>
    <t>The chain ID of the antibody's heavy chain</t>
  </si>
  <si>
    <t>The chain ID of the antibody's light chain</t>
  </si>
  <si>
    <t>A |-delimited list of chain IDs of the antigen chain(s)</t>
  </si>
  <si>
    <t>The heavy chain amino acid sequence</t>
  </si>
  <si>
    <t>The light chain amino acid sequence</t>
  </si>
  <si>
    <t>The antigen sequence(s), |-delimited</t>
  </si>
  <si>
    <t>The heavy and light chain sequences, |-delimited</t>
  </si>
  <si>
    <t>The heavy and light chain Fv sequences, |-delimited</t>
  </si>
  <si>
    <t>The heavy chain sequence, trimmed to the Fv portion</t>
  </si>
  <si>
    <t>The light chain sequence, trimmed to the Fv portion</t>
  </si>
  <si>
    <t>The antigen sequence(s) with epitope residues encased in [ ]</t>
  </si>
  <si>
    <t>The list of epitope residues, |-delimited in a "chain: AA #" format</t>
  </si>
  <si>
    <t>QLQLQESGPG…</t>
  </si>
  <si>
    <t>EIVLTQSPGT…</t>
  </si>
  <si>
    <t>SCNGL...|SCNGL…</t>
  </si>
  <si>
    <t>QLQLQ...|EIVLT…</t>
  </si>
  <si>
    <t>...WLI[D][Y]V[E][D][T]WGS…</t>
  </si>
  <si>
    <t>A:ARG 176|A:ASP 146|A:ASP 150…</t>
  </si>
  <si>
    <t>Base Model</t>
  </si>
  <si>
    <t>Source</t>
  </si>
  <si>
    <t>Parameters</t>
  </si>
  <si>
    <t>Parameters Tuned</t>
  </si>
  <si>
    <t>Phi-4</t>
  </si>
  <si>
    <t>Microsoft</t>
  </si>
  <si>
    <t>8.03B</t>
  </si>
  <si>
    <t>14.7B</t>
  </si>
  <si>
    <t>Meta</t>
  </si>
  <si>
    <t>Llama-3.1-8B-Instruct</t>
  </si>
  <si>
    <t>Mistral-7B-Instruct-v0.2</t>
  </si>
  <si>
    <t>Mistral</t>
  </si>
  <si>
    <t>7.24B</t>
  </si>
  <si>
    <t>Dayhoff-3b-UR90</t>
  </si>
  <si>
    <t>2.98B</t>
  </si>
  <si>
    <t>PEFT Target Modules</t>
  </si>
  <si>
    <t>o_proj, qkv_proj</t>
  </si>
  <si>
    <t>All Linear</t>
  </si>
  <si>
    <t>q_proj, v_proj, k_proj, o_proj</t>
  </si>
  <si>
    <t>Trainable %</t>
  </si>
  <si>
    <t>Antigen</t>
  </si>
  <si>
    <t>Peleke Fine-Tuned Model</t>
  </si>
  <si>
    <t>llama-3.1-8b-instruct</t>
  </si>
  <si>
    <t>BBF-14</t>
  </si>
  <si>
    <t>BHRF1</t>
  </si>
  <si>
    <t>EGFR</t>
  </si>
  <si>
    <t>IL-7Ra</t>
  </si>
  <si>
    <t>MBP</t>
  </si>
  <si>
    <t>PD-1</t>
  </si>
  <si>
    <t>PD-L1</t>
  </si>
  <si>
    <t>mistral-7b-instruct-v0.2</t>
  </si>
  <si>
    <t>phi-4</t>
  </si>
  <si>
    <t>antigen_id</t>
  </si>
  <si>
    <t>percentage_hits_peleke-llama-3.1-8b-instruct</t>
  </si>
  <si>
    <t>percentage_hits_peleke-mistral-7b-instruct-v0.2</t>
  </si>
  <si>
    <t>percentage_hits_peleke-phi-4</t>
  </si>
  <si>
    <t>median_score_peleke-llama-3.1-8b-instruct</t>
  </si>
  <si>
    <t>median_score_peleke-mistral-7b-instruct-v0.2</t>
  </si>
  <si>
    <t>median_score_peleke-phi-4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</si>
</sst>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FDD9-7314-4509-B870-EFA092B7D9EB}">
  <dimension ref="A1:C14"/>
  <sheetViews>
    <sheetView workbookViewId="0">
      <selection activeCell="C15" sqref="C15"/>
    </sheetView>
  </sheetViews>
  <sheetFormatPr defaultRowHeight="15" x14ac:dyDescent="0.25"/>
  <cols>
    <col min="1" max="1" width="23.7109375" bestFit="1" customWidth="1"/>
    <col min="2" max="2" width="48" bestFit="1" customWidth="1"/>
    <col min="3" max="3" width="31" bestFit="1" customWidth="1"/>
  </cols>
  <sheetData>
    <row r="1" spans="1:3" x14ac:dyDescent="0.25">
      <c r="A1" t="s">
        <v>17</v>
      </c>
      <c r="B1" t="s">
        <v>19</v>
      </c>
      <c r="C1" t="s">
        <v>18</v>
      </c>
    </row>
    <row r="2" spans="1:3" x14ac:dyDescent="0.25">
      <c r="A2" t="s">
        <v>0</v>
      </c>
      <c r="B2" t="s">
        <v>20</v>
      </c>
      <c r="C2" t="s">
        <v>1</v>
      </c>
    </row>
    <row r="3" spans="1:3" x14ac:dyDescent="0.25">
      <c r="A3" t="s">
        <v>2</v>
      </c>
      <c r="B3" t="s">
        <v>21</v>
      </c>
      <c r="C3" t="s">
        <v>3</v>
      </c>
    </row>
    <row r="4" spans="1:3" x14ac:dyDescent="0.25">
      <c r="A4" t="s">
        <v>4</v>
      </c>
      <c r="B4" t="s">
        <v>22</v>
      </c>
      <c r="C4" t="s">
        <v>5</v>
      </c>
    </row>
    <row r="5" spans="1:3" x14ac:dyDescent="0.25">
      <c r="A5" t="s">
        <v>6</v>
      </c>
      <c r="B5" t="s">
        <v>23</v>
      </c>
      <c r="C5" t="s">
        <v>7</v>
      </c>
    </row>
    <row r="6" spans="1:3" x14ac:dyDescent="0.25">
      <c r="A6" t="s">
        <v>8</v>
      </c>
      <c r="B6" t="s">
        <v>24</v>
      </c>
      <c r="C6" t="s">
        <v>33</v>
      </c>
    </row>
    <row r="7" spans="1:3" x14ac:dyDescent="0.25">
      <c r="A7" t="s">
        <v>9</v>
      </c>
      <c r="B7" t="s">
        <v>25</v>
      </c>
      <c r="C7" t="s">
        <v>34</v>
      </c>
    </row>
    <row r="8" spans="1:3" x14ac:dyDescent="0.25">
      <c r="A8" t="s">
        <v>10</v>
      </c>
      <c r="B8" t="s">
        <v>26</v>
      </c>
      <c r="C8" t="s">
        <v>35</v>
      </c>
    </row>
    <row r="9" spans="1:3" x14ac:dyDescent="0.25">
      <c r="A9" t="s">
        <v>11</v>
      </c>
      <c r="B9" t="s">
        <v>27</v>
      </c>
      <c r="C9" t="s">
        <v>36</v>
      </c>
    </row>
    <row r="10" spans="1:3" x14ac:dyDescent="0.25">
      <c r="A10" t="s">
        <v>12</v>
      </c>
      <c r="B10" t="s">
        <v>29</v>
      </c>
      <c r="C10" t="s">
        <v>33</v>
      </c>
    </row>
    <row r="11" spans="1:3" x14ac:dyDescent="0.25">
      <c r="A11" t="s">
        <v>13</v>
      </c>
      <c r="B11" t="s">
        <v>30</v>
      </c>
      <c r="C11" t="s">
        <v>34</v>
      </c>
    </row>
    <row r="12" spans="1:3" x14ac:dyDescent="0.25">
      <c r="A12" t="s">
        <v>14</v>
      </c>
      <c r="B12" t="s">
        <v>28</v>
      </c>
      <c r="C12" t="s">
        <v>36</v>
      </c>
    </row>
    <row r="13" spans="1:3" x14ac:dyDescent="0.25">
      <c r="A13" t="s">
        <v>15</v>
      </c>
      <c r="B13" t="s">
        <v>31</v>
      </c>
      <c r="C13" t="s">
        <v>37</v>
      </c>
    </row>
    <row r="14" spans="1:3" x14ac:dyDescent="0.25">
      <c r="A14" t="s">
        <v>16</v>
      </c>
      <c r="B14" t="s">
        <v>32</v>
      </c>
      <c r="C1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D60D-911C-4EDB-99B2-BF1A224F3467}">
  <dimension ref="A1:F5"/>
  <sheetViews>
    <sheetView zoomScale="160" zoomScaleNormal="160" workbookViewId="0">
      <selection activeCell="D25" sqref="D25"/>
    </sheetView>
  </sheetViews>
  <sheetFormatPr defaultRowHeight="15" x14ac:dyDescent="0.25"/>
  <cols>
    <col min="1" max="1" width="22" bestFit="1" customWidth="1"/>
    <col min="2" max="2" width="9.28515625" bestFit="1" customWidth="1"/>
    <col min="3" max="3" width="11.140625" bestFit="1" customWidth="1"/>
    <col min="4" max="4" width="26.42578125" bestFit="1" customWidth="1"/>
    <col min="5" max="5" width="17.28515625" bestFit="1" customWidth="1"/>
    <col min="6" max="6" width="9.140625" style="2"/>
  </cols>
  <sheetData>
    <row r="1" spans="1:6" x14ac:dyDescent="0.25">
      <c r="A1" t="s">
        <v>39</v>
      </c>
      <c r="B1" t="s">
        <v>40</v>
      </c>
      <c r="C1" t="s">
        <v>41</v>
      </c>
      <c r="D1" t="s">
        <v>54</v>
      </c>
      <c r="E1" t="s">
        <v>42</v>
      </c>
      <c r="F1" s="2" t="s">
        <v>58</v>
      </c>
    </row>
    <row r="2" spans="1:6" x14ac:dyDescent="0.25">
      <c r="A2" t="s">
        <v>43</v>
      </c>
      <c r="B2" t="s">
        <v>44</v>
      </c>
      <c r="C2" t="s">
        <v>46</v>
      </c>
      <c r="D2" t="s">
        <v>55</v>
      </c>
      <c r="E2" s="1">
        <v>7372800</v>
      </c>
      <c r="F2" s="2">
        <v>5.0299999999999997E-2</v>
      </c>
    </row>
    <row r="3" spans="1:6" x14ac:dyDescent="0.25">
      <c r="A3" t="s">
        <v>48</v>
      </c>
      <c r="B3" t="s">
        <v>47</v>
      </c>
      <c r="C3" t="s">
        <v>45</v>
      </c>
      <c r="D3" t="s">
        <v>57</v>
      </c>
      <c r="E3" s="1">
        <v>2097152</v>
      </c>
      <c r="F3" s="2">
        <v>2.6100000000000002E-2</v>
      </c>
    </row>
    <row r="4" spans="1:6" x14ac:dyDescent="0.25">
      <c r="A4" t="s">
        <v>49</v>
      </c>
      <c r="B4" t="s">
        <v>50</v>
      </c>
      <c r="C4" t="s">
        <v>51</v>
      </c>
      <c r="D4" t="s">
        <v>55</v>
      </c>
      <c r="E4" s="1">
        <v>13631488</v>
      </c>
      <c r="F4" s="2">
        <v>1.879E-3</v>
      </c>
    </row>
    <row r="5" spans="1:6" x14ac:dyDescent="0.25">
      <c r="A5" t="s">
        <v>52</v>
      </c>
      <c r="B5" t="s">
        <v>44</v>
      </c>
      <c r="C5" t="s">
        <v>53</v>
      </c>
      <c r="D5" t="s">
        <v>56</v>
      </c>
      <c r="E5" s="1">
        <v>0</v>
      </c>
      <c r="F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6070-79C8-4777-927F-4BD414960031}">
  <dimension ref="A1:D9"/>
  <sheetViews>
    <sheetView zoomScale="220" zoomScaleNormal="220" workbookViewId="0">
      <selection activeCell="A3" sqref="A3:A9"/>
    </sheetView>
  </sheetViews>
  <sheetFormatPr defaultRowHeight="15" x14ac:dyDescent="0.25"/>
  <cols>
    <col min="1" max="1" width="12.28515625" bestFit="1" customWidth="1"/>
    <col min="2" max="2" width="20" bestFit="1" customWidth="1"/>
    <col min="3" max="3" width="22.140625" bestFit="1" customWidth="1"/>
    <col min="4" max="4" width="18.85546875" bestFit="1" customWidth="1"/>
  </cols>
  <sheetData>
    <row r="1" spans="1:4" x14ac:dyDescent="0.25">
      <c r="A1" s="7" t="s">
        <v>59</v>
      </c>
      <c r="B1" s="6" t="s">
        <v>60</v>
      </c>
      <c r="C1" s="6"/>
      <c r="D1" s="6"/>
    </row>
    <row r="2" spans="1:4" x14ac:dyDescent="0.25">
      <c r="A2" s="7"/>
      <c r="B2" s="4" t="s">
        <v>61</v>
      </c>
      <c r="C2" s="4" t="s">
        <v>69</v>
      </c>
      <c r="D2" s="4" t="s">
        <v>70</v>
      </c>
    </row>
    <row r="3" spans="1:4" x14ac:dyDescent="0.25">
      <c r="A3" t="s">
        <v>62</v>
      </c>
      <c r="B3" s="4" t="str">
        <f>_xlfn.CONCAT(ROUND('VDW_Hits - ESM3 (RAW)'!B2, 2),"% (", ROUND('VDW_Hits - ESM3 (RAW)'!E2,2), ")")</f>
        <v>22.73% (63.34)</v>
      </c>
      <c r="C3" s="4" t="str">
        <f>_xlfn.CONCAT(ROUND('VDW_Hits - ESM3 (RAW)'!C2, 2),"% (", ROUND('VDW_Hits - ESM3 (RAW)'!F2,2), ")")</f>
        <v>15% (106.84)</v>
      </c>
      <c r="D3" s="4" t="str">
        <f>_xlfn.CONCAT(ROUND('VDW_Hits - ESM3 (RAW)'!D2, 2),"% (", ROUND('VDW_Hits - ESM3 (RAW)'!G2,2), ")")</f>
        <v>18.42% (49.88)</v>
      </c>
    </row>
    <row r="4" spans="1:4" x14ac:dyDescent="0.25">
      <c r="A4" t="s">
        <v>63</v>
      </c>
      <c r="B4" s="4" t="str">
        <f>_xlfn.CONCAT(ROUND('VDW_Hits - ESM3 (RAW)'!B3, 2),"% (", ROUND('VDW_Hits - ESM3 (RAW)'!E3,2), ")")</f>
        <v>2.63% (218.86)</v>
      </c>
      <c r="C4" s="4" t="str">
        <f>_xlfn.CONCAT(ROUND('VDW_Hits - ESM3 (RAW)'!C3, 2),"% (", ROUND('VDW_Hits - ESM3 (RAW)'!F3,2), ")")</f>
        <v>10.81% (289.61)</v>
      </c>
      <c r="D4" s="4" t="str">
        <f>_xlfn.CONCAT(ROUND('VDW_Hits - ESM3 (RAW)'!D3, 2),"% (", ROUND('VDW_Hits - ESM3 (RAW)'!G3,2), ")")</f>
        <v>9.3% (131.62)</v>
      </c>
    </row>
    <row r="5" spans="1:4" x14ac:dyDescent="0.25">
      <c r="A5" t="s">
        <v>64</v>
      </c>
      <c r="B5" s="4" t="str">
        <f>_xlfn.CONCAT(ROUND('VDW_Hits - ESM3 (RAW)'!B4, 2),"% (", ROUND('VDW_Hits - ESM3 (RAW)'!E4,2), ")")</f>
        <v>20% (101.64)</v>
      </c>
      <c r="C5" s="4" t="str">
        <f>_xlfn.CONCAT(ROUND('VDW_Hits - ESM3 (RAW)'!C4, 2),"% (", ROUND('VDW_Hits - ESM3 (RAW)'!F4,2), ")")</f>
        <v>23.26% (24.66)</v>
      </c>
      <c r="D5" s="4" t="str">
        <f>_xlfn.CONCAT(ROUND('VDW_Hits - ESM3 (RAW)'!D4, 2),"% (", ROUND('VDW_Hits - ESM3 (RAW)'!G4,2), ")")</f>
        <v>20% (163.88)</v>
      </c>
    </row>
    <row r="6" spans="1:4" x14ac:dyDescent="0.25">
      <c r="A6" t="s">
        <v>65</v>
      </c>
      <c r="B6" s="4" t="str">
        <f>_xlfn.CONCAT(ROUND('VDW_Hits - ESM3 (RAW)'!B5, 2),"% (", ROUND('VDW_Hits - ESM3 (RAW)'!E5,2), ")")</f>
        <v>36.17% (-3.46)</v>
      </c>
      <c r="C6" s="4" t="str">
        <f>_xlfn.CONCAT(ROUND('VDW_Hits - ESM3 (RAW)'!C5, 2),"% (", ROUND('VDW_Hits - ESM3 (RAW)'!F5,2), ")")</f>
        <v>46.81% (-10.11)</v>
      </c>
      <c r="D6" s="4" t="str">
        <f>_xlfn.CONCAT(ROUND('VDW_Hits - ESM3 (RAW)'!D5, 2),"% (", ROUND('VDW_Hits - ESM3 (RAW)'!G5,2), ")")</f>
        <v>31.91% (13.64)</v>
      </c>
    </row>
    <row r="7" spans="1:4" x14ac:dyDescent="0.25">
      <c r="A7" t="s">
        <v>66</v>
      </c>
      <c r="B7" s="4" t="str">
        <f>_xlfn.CONCAT(ROUND('VDW_Hits - ESM3 (RAW)'!B6, 2),"% (", ROUND('VDW_Hits - ESM3 (RAW)'!E6,2), ")")</f>
        <v>67.39% (-52.56)</v>
      </c>
      <c r="C7" s="4" t="str">
        <f>_xlfn.CONCAT(ROUND('VDW_Hits - ESM3 (RAW)'!C6, 2),"% (", ROUND('VDW_Hits - ESM3 (RAW)'!F6,2), ")")</f>
        <v>57.78% (-52.52)</v>
      </c>
      <c r="D7" s="4" t="str">
        <f>_xlfn.CONCAT(ROUND('VDW_Hits - ESM3 (RAW)'!D6, 2),"% (", ROUND('VDW_Hits - ESM3 (RAW)'!G6,2), ")")</f>
        <v>69.39% (-57.98)</v>
      </c>
    </row>
    <row r="8" spans="1:4" x14ac:dyDescent="0.25">
      <c r="A8" t="s">
        <v>67</v>
      </c>
      <c r="B8" s="4" t="str">
        <f>_xlfn.CONCAT(ROUND('VDW_Hits - ESM3 (RAW)'!B7, 2),"% (", ROUND('VDW_Hits - ESM3 (RAW)'!E7,2), ")")</f>
        <v>73.47% (-66.72)</v>
      </c>
      <c r="C8" s="4" t="str">
        <f>_xlfn.CONCAT(ROUND('VDW_Hits - ESM3 (RAW)'!C7, 2),"% (", ROUND('VDW_Hits - ESM3 (RAW)'!F7,2), ")")</f>
        <v>79.59% (-82.51)</v>
      </c>
      <c r="D8" s="4" t="str">
        <f>_xlfn.CONCAT(ROUND('VDW_Hits - ESM3 (RAW)'!D7, 2),"% (", ROUND('VDW_Hits - ESM3 (RAW)'!G7,2), ")")</f>
        <v>76.6% (-70.12)</v>
      </c>
    </row>
    <row r="9" spans="1:4" x14ac:dyDescent="0.25">
      <c r="A9" t="s">
        <v>68</v>
      </c>
      <c r="B9" s="4" t="str">
        <f>_xlfn.CONCAT(ROUND('VDW_Hits - ESM3 (RAW)'!B8, 2),"% (", ROUND('VDW_Hits - ESM3 (RAW)'!E8,2), ")")</f>
        <v>79.59% (-71.53)</v>
      </c>
      <c r="C9" s="4" t="str">
        <f>_xlfn.CONCAT(ROUND('VDW_Hits - ESM3 (RAW)'!C8, 2),"% (", ROUND('VDW_Hits - ESM3 (RAW)'!F8,2), ")")</f>
        <v>70.83% (-62.52)</v>
      </c>
      <c r="D9" s="4" t="str">
        <f>_xlfn.CONCAT(ROUND('VDW_Hits - ESM3 (RAW)'!D8, 2),"% (", ROUND('VDW_Hits - ESM3 (RAW)'!G8,2), ")")</f>
        <v>72.92% (-73.38)</v>
      </c>
    </row>
  </sheetData>
  <mergeCells count="2">
    <mergeCell ref="B1:D1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5AEB-55C3-45D1-9932-8EB9B965644C}">
  <dimension ref="A1:G8"/>
  <sheetViews>
    <sheetView zoomScale="145" zoomScaleNormal="145" workbookViewId="0">
      <selection activeCell="C29" sqref="C29"/>
    </sheetView>
  </sheetViews>
  <sheetFormatPr defaultRowHeight="15" x14ac:dyDescent="0.25"/>
  <cols>
    <col min="1" max="1" width="10.140625" bestFit="1" customWidth="1"/>
    <col min="2" max="2" width="41.85546875" bestFit="1" customWidth="1"/>
    <col min="3" max="3" width="44" bestFit="1" customWidth="1"/>
    <col min="4" max="4" width="27.28515625" bestFit="1" customWidth="1"/>
    <col min="5" max="5" width="40.42578125" bestFit="1" customWidth="1"/>
    <col min="6" max="6" width="42.5703125" bestFit="1" customWidth="1"/>
    <col min="7" max="7" width="25.85546875" bestFit="1" customWidth="1"/>
  </cols>
  <sheetData>
    <row r="1" spans="1:7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25">
      <c r="A2" t="s">
        <v>62</v>
      </c>
      <c r="B2" s="5">
        <v>22.727273</v>
      </c>
      <c r="C2" s="5">
        <v>15</v>
      </c>
      <c r="D2" s="5">
        <v>18.421053000000001</v>
      </c>
      <c r="E2" s="5">
        <v>63.343150000000001</v>
      </c>
      <c r="F2" s="5">
        <v>106.839</v>
      </c>
      <c r="G2" s="5">
        <v>49.881549999999997</v>
      </c>
    </row>
    <row r="3" spans="1:7" x14ac:dyDescent="0.25">
      <c r="A3" t="s">
        <v>63</v>
      </c>
      <c r="B3" s="5">
        <v>2.6315789999999999</v>
      </c>
      <c r="C3" s="5">
        <v>10.81081</v>
      </c>
      <c r="D3" s="5">
        <v>9.3023260000000008</v>
      </c>
      <c r="E3" s="5">
        <v>218.85599999999999</v>
      </c>
      <c r="F3" s="5">
        <v>289.61399999999998</v>
      </c>
      <c r="G3" s="5">
        <v>131.61600000000001</v>
      </c>
    </row>
    <row r="4" spans="1:7" x14ac:dyDescent="0.25">
      <c r="A4" t="s">
        <v>64</v>
      </c>
      <c r="B4" s="5">
        <v>20</v>
      </c>
      <c r="C4" s="5">
        <v>23.25581</v>
      </c>
      <c r="D4" s="5">
        <v>20</v>
      </c>
      <c r="E4" s="5">
        <v>101.6448</v>
      </c>
      <c r="F4" s="5">
        <v>24.6556</v>
      </c>
      <c r="G4" s="5">
        <v>163.881</v>
      </c>
    </row>
    <row r="5" spans="1:7" x14ac:dyDescent="0.25">
      <c r="A5" t="s">
        <v>65</v>
      </c>
      <c r="B5" s="5">
        <v>36.170212999999997</v>
      </c>
      <c r="C5" s="5">
        <v>46.808509999999998</v>
      </c>
      <c r="D5" s="5">
        <v>31.914894</v>
      </c>
      <c r="E5" s="5">
        <v>-3.4557799999999999</v>
      </c>
      <c r="F5" s="5">
        <v>-10.110799999999999</v>
      </c>
      <c r="G5" s="5">
        <v>13.6427</v>
      </c>
    </row>
    <row r="6" spans="1:7" x14ac:dyDescent="0.25">
      <c r="A6" t="s">
        <v>66</v>
      </c>
      <c r="B6" s="5">
        <v>67.391304000000005</v>
      </c>
      <c r="C6" s="5">
        <v>57.77778</v>
      </c>
      <c r="D6" s="5">
        <v>69.387754999999999</v>
      </c>
      <c r="E6" s="5">
        <v>-52.559049999999999</v>
      </c>
      <c r="F6" s="5">
        <v>-52.519399999999997</v>
      </c>
      <c r="G6" s="5">
        <v>-57.981499999999997</v>
      </c>
    </row>
    <row r="7" spans="1:7" x14ac:dyDescent="0.25">
      <c r="A7" t="s">
        <v>67</v>
      </c>
      <c r="B7" s="5">
        <v>73.469387999999995</v>
      </c>
      <c r="C7" s="5">
        <v>79.591840000000005</v>
      </c>
      <c r="D7" s="5">
        <v>76.595744999999994</v>
      </c>
      <c r="E7" s="5">
        <v>-66.719499999999996</v>
      </c>
      <c r="F7" s="5">
        <v>-82.513800000000003</v>
      </c>
      <c r="G7" s="5">
        <v>-70.123900000000006</v>
      </c>
    </row>
    <row r="8" spans="1:7" x14ac:dyDescent="0.25">
      <c r="A8" t="s">
        <v>68</v>
      </c>
      <c r="B8" s="5">
        <v>79.591836999999998</v>
      </c>
      <c r="C8" s="5">
        <v>70.833330000000004</v>
      </c>
      <c r="D8" s="5">
        <v>72.916667000000004</v>
      </c>
      <c r="E8" s="5">
        <v>-71.534400000000005</v>
      </c>
      <c r="F8" s="5">
        <v>-62.515549999999998</v>
      </c>
      <c r="G8" s="5">
        <v>-73.379649999999998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AD00-BA37-4BA5-A4A1-E8630A0DF635}">
  <dimension ref="A1:D9"/>
  <sheetViews>
    <sheetView tabSelected="1" zoomScale="235" zoomScaleNormal="235" workbookViewId="0">
      <selection activeCell="C12" sqref="C12"/>
    </sheetView>
  </sheetViews>
  <sheetFormatPr defaultRowHeight="15" x14ac:dyDescent="0.25"/>
  <cols>
    <col min="1" max="1" width="7.5703125" bestFit="1" customWidth="1"/>
    <col min="2" max="2" width="20" bestFit="1" customWidth="1"/>
    <col min="3" max="3" width="22.140625" bestFit="1" customWidth="1"/>
    <col min="4" max="4" width="18" bestFit="1" customWidth="1"/>
  </cols>
  <sheetData>
    <row r="1" spans="1:4" x14ac:dyDescent="0.25">
      <c r="A1" s="7" t="s">
        <v>59</v>
      </c>
      <c r="B1" s="6" t="s">
        <v>60</v>
      </c>
      <c r="C1" s="6"/>
      <c r="D1" s="6"/>
    </row>
    <row r="2" spans="1:4" x14ac:dyDescent="0.25">
      <c r="A2" s="7"/>
      <c r="B2" s="4" t="s">
        <v>61</v>
      </c>
      <c r="C2" s="4" t="s">
        <v>69</v>
      </c>
      <c r="D2" s="4" t="s">
        <v>70</v>
      </c>
    </row>
    <row r="3" spans="1:4" x14ac:dyDescent="0.25">
      <c r="A3" t="s">
        <v>62</v>
      </c>
      <c r="B3" s="3" t="str">
        <f>_xlfn.CONCAT(ROUND('VDW Hits - Boltz-2 (RAW)'!B2,2), "% (",ROUND('VDW Hits - Boltz-2 (RAW)'!E2,2),")")</f>
        <v>69.39% (-38.89)</v>
      </c>
      <c r="C3" s="3" t="str">
        <f>_xlfn.CONCAT(ROUND('VDW Hits - Boltz-2 (RAW)'!C2,2), "% (",ROUND('VDW Hits - Boltz-2 (RAW)'!F2,2),")")</f>
        <v>73.47% (-40.71)</v>
      </c>
      <c r="D3" s="3" t="str">
        <f>_xlfn.CONCAT(ROUND('VDW Hits - Boltz-2 (RAW)'!D2,2), "% (",ROUND('VDW Hits - Boltz-2 (RAW)'!G2,2),")")</f>
        <v>71.43% (-45.84)</v>
      </c>
    </row>
    <row r="4" spans="1:4" x14ac:dyDescent="0.25">
      <c r="A4" t="s">
        <v>63</v>
      </c>
      <c r="B4" s="3" t="str">
        <f>_xlfn.CONCAT(ROUND('VDW Hits - Boltz-2 (RAW)'!B3,2), "% (",ROUND('VDW Hits - Boltz-2 (RAW)'!E3,2),")")</f>
        <v>72% (-46.28)</v>
      </c>
      <c r="C4" s="3" t="str">
        <f>_xlfn.CONCAT(ROUND('VDW Hits - Boltz-2 (RAW)'!C3,2), "% (",ROUND('VDW Hits - Boltz-2 (RAW)'!F3,2),")")</f>
        <v>80% (-44.62)</v>
      </c>
      <c r="D4" s="3" t="str">
        <f>_xlfn.CONCAT(ROUND('VDW Hits - Boltz-2 (RAW)'!D3,2), "% (",ROUND('VDW Hits - Boltz-2 (RAW)'!G3,2),")")</f>
        <v>70% (-36.11)</v>
      </c>
    </row>
    <row r="5" spans="1:4" x14ac:dyDescent="0.25">
      <c r="A5" t="s">
        <v>64</v>
      </c>
      <c r="B5" s="3" t="str">
        <f>_xlfn.CONCAT(ROUND('VDW Hits - Boltz-2 (RAW)'!B4,2), "% (",ROUND('VDW Hits - Boltz-2 (RAW)'!E4,2),")")</f>
        <v>50% (-29.85)</v>
      </c>
      <c r="C5" s="3" t="str">
        <f>_xlfn.CONCAT(ROUND('VDW Hits - Boltz-2 (RAW)'!C4,2), "% (",ROUND('VDW Hits - Boltz-2 (RAW)'!F4,2),")")</f>
        <v>43.48% (-27.75)</v>
      </c>
      <c r="D5" s="3" t="str">
        <f>_xlfn.CONCAT(ROUND('VDW Hits - Boltz-2 (RAW)'!D4,2), "% (",ROUND('VDW Hits - Boltz-2 (RAW)'!G4,2),")")</f>
        <v>24.44% (-15.89)</v>
      </c>
    </row>
    <row r="6" spans="1:4" x14ac:dyDescent="0.25">
      <c r="A6" t="s">
        <v>65</v>
      </c>
      <c r="B6" s="3" t="str">
        <f>_xlfn.CONCAT(ROUND('VDW Hits - Boltz-2 (RAW)'!B5,2), "% (",ROUND('VDW Hits - Boltz-2 (RAW)'!E5,2),")")</f>
        <v>71.43% (-46.02)</v>
      </c>
      <c r="C6" s="3" t="str">
        <f>_xlfn.CONCAT(ROUND('VDW Hits - Boltz-2 (RAW)'!C5,2), "% (",ROUND('VDW Hits - Boltz-2 (RAW)'!F5,2),")")</f>
        <v>87.76% (-49.1)</v>
      </c>
      <c r="D6" s="3" t="str">
        <f>_xlfn.CONCAT(ROUND('VDW Hits - Boltz-2 (RAW)'!D5,2), "% (",ROUND('VDW Hits - Boltz-2 (RAW)'!G5,2),")")</f>
        <v>81.25% (-47.44)</v>
      </c>
    </row>
    <row r="7" spans="1:4" x14ac:dyDescent="0.25">
      <c r="A7" t="s">
        <v>66</v>
      </c>
      <c r="B7" s="3" t="str">
        <f>_xlfn.CONCAT(ROUND('VDW Hits - Boltz-2 (RAW)'!B6,2), "% (",ROUND('VDW Hits - Boltz-2 (RAW)'!E6,2),")")</f>
        <v>76.09% (-44.36)</v>
      </c>
      <c r="C7" s="3" t="str">
        <f>_xlfn.CONCAT(ROUND('VDW Hits - Boltz-2 (RAW)'!C6,2), "% (",ROUND('VDW Hits - Boltz-2 (RAW)'!F6,2),")")</f>
        <v>80% (-41.13)</v>
      </c>
      <c r="D7" s="3" t="str">
        <f>_xlfn.CONCAT(ROUND('VDW Hits - Boltz-2 (RAW)'!D6,2), "% (",ROUND('VDW Hits - Boltz-2 (RAW)'!G6,2),")")</f>
        <v>73.47% (-50.75)</v>
      </c>
    </row>
    <row r="8" spans="1:4" x14ac:dyDescent="0.25">
      <c r="A8" t="s">
        <v>67</v>
      </c>
      <c r="B8" s="3" t="str">
        <f>_xlfn.CONCAT(ROUND('VDW Hits - Boltz-2 (RAW)'!B7,2), "% (",ROUND('VDW Hits - Boltz-2 (RAW)'!E7,2),")")</f>
        <v>76% (-41.37)</v>
      </c>
      <c r="C8" s="3" t="str">
        <f>_xlfn.CONCAT(ROUND('VDW Hits - Boltz-2 (RAW)'!C7,2), "% (",ROUND('VDW Hits - Boltz-2 (RAW)'!F7,2),")")</f>
        <v>74% (-39.6)</v>
      </c>
      <c r="D8" s="3" t="str">
        <f>_xlfn.CONCAT(ROUND('VDW Hits - Boltz-2 (RAW)'!D7,2), "% (",ROUND('VDW Hits - Boltz-2 (RAW)'!G7,2),")")</f>
        <v>84% (-40.74)</v>
      </c>
    </row>
    <row r="9" spans="1:4" x14ac:dyDescent="0.25">
      <c r="A9" t="s">
        <v>68</v>
      </c>
      <c r="B9" s="3" t="str">
        <f>_xlfn.CONCAT(ROUND('VDW Hits - Boltz-2 (RAW)'!B8,2), "% (",ROUND('VDW Hits - Boltz-2 (RAW)'!E8,2),")")</f>
        <v>80% (-46.02)</v>
      </c>
      <c r="C9" s="3" t="str">
        <f>_xlfn.CONCAT(ROUND('VDW Hits - Boltz-2 (RAW)'!C8,2), "% (",ROUND('VDW Hits - Boltz-2 (RAW)'!F8,2),")")</f>
        <v>82% (-45.27)</v>
      </c>
      <c r="D9" s="3" t="str">
        <f>_xlfn.CONCAT(ROUND('VDW Hits - Boltz-2 (RAW)'!D8,2), "% (",ROUND('VDW Hits - Boltz-2 (RAW)'!G8,2),")")</f>
        <v>73.47% (-45.73)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08EC-3654-4D28-9324-F40EB28FDE41}">
  <dimension ref="A1:G8"/>
  <sheetViews>
    <sheetView workbookViewId="0">
      <selection activeCell="F37" sqref="F37"/>
    </sheetView>
  </sheetViews>
  <sheetFormatPr defaultRowHeight="15" x14ac:dyDescent="0.25"/>
  <cols>
    <col min="1" max="1" width="10.140625" bestFit="1" customWidth="1"/>
    <col min="2" max="2" width="41.85546875" bestFit="1" customWidth="1"/>
    <col min="3" max="3" width="44" bestFit="1" customWidth="1"/>
    <col min="4" max="4" width="27.28515625" bestFit="1" customWidth="1"/>
    <col min="5" max="5" width="40.42578125" bestFit="1" customWidth="1"/>
    <col min="6" max="6" width="42.5703125" bestFit="1" customWidth="1"/>
    <col min="7" max="7" width="25.85546875" bestFit="1" customWidth="1"/>
  </cols>
  <sheetData>
    <row r="1" spans="1:7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25">
      <c r="A2" t="s">
        <v>62</v>
      </c>
      <c r="B2">
        <v>69.38776</v>
      </c>
      <c r="C2">
        <v>73.469390000000004</v>
      </c>
      <c r="D2">
        <v>71.428569999999993</v>
      </c>
      <c r="E2">
        <v>-38.886600000000001</v>
      </c>
      <c r="F2">
        <v>-40.707500000000003</v>
      </c>
      <c r="G2">
        <v>-45.8429</v>
      </c>
    </row>
    <row r="3" spans="1:7" x14ac:dyDescent="0.25">
      <c r="A3" t="s">
        <v>63</v>
      </c>
      <c r="B3">
        <v>72</v>
      </c>
      <c r="C3">
        <v>80</v>
      </c>
      <c r="D3">
        <v>70</v>
      </c>
      <c r="E3">
        <v>-46.277500000000003</v>
      </c>
      <c r="F3">
        <v>-44.6205</v>
      </c>
      <c r="G3">
        <v>-36.112949999999998</v>
      </c>
    </row>
    <row r="4" spans="1:7" x14ac:dyDescent="0.25">
      <c r="A4" t="s">
        <v>64</v>
      </c>
      <c r="B4">
        <v>50</v>
      </c>
      <c r="C4">
        <v>43.478259999999999</v>
      </c>
      <c r="D4">
        <v>24.44444</v>
      </c>
      <c r="E4">
        <v>-29.8504</v>
      </c>
      <c r="F4">
        <v>-27.751349999999999</v>
      </c>
      <c r="G4">
        <v>-15.8887</v>
      </c>
    </row>
    <row r="5" spans="1:7" x14ac:dyDescent="0.25">
      <c r="A5" t="s">
        <v>65</v>
      </c>
      <c r="B5">
        <v>71.428569999999993</v>
      </c>
      <c r="C5">
        <v>87.755099999999999</v>
      </c>
      <c r="D5">
        <v>81.25</v>
      </c>
      <c r="E5">
        <v>-46.0182</v>
      </c>
      <c r="F5">
        <v>-49.098399999999998</v>
      </c>
      <c r="G5">
        <v>-47.435850000000002</v>
      </c>
    </row>
    <row r="6" spans="1:7" x14ac:dyDescent="0.25">
      <c r="A6" t="s">
        <v>66</v>
      </c>
      <c r="B6">
        <v>76.086960000000005</v>
      </c>
      <c r="C6">
        <v>80</v>
      </c>
      <c r="D6">
        <v>73.469390000000004</v>
      </c>
      <c r="E6">
        <v>-44.360250000000001</v>
      </c>
      <c r="F6">
        <v>-41.130249999999997</v>
      </c>
      <c r="G6">
        <v>-50.753900000000002</v>
      </c>
    </row>
    <row r="7" spans="1:7" x14ac:dyDescent="0.25">
      <c r="A7" t="s">
        <v>67</v>
      </c>
      <c r="B7">
        <v>76</v>
      </c>
      <c r="C7">
        <v>74</v>
      </c>
      <c r="D7">
        <v>84</v>
      </c>
      <c r="E7">
        <v>-41.366050000000001</v>
      </c>
      <c r="F7">
        <v>-39.600050000000003</v>
      </c>
      <c r="G7">
        <v>-40.74165</v>
      </c>
    </row>
    <row r="8" spans="1:7" x14ac:dyDescent="0.25">
      <c r="A8" t="s">
        <v>68</v>
      </c>
      <c r="B8">
        <v>80</v>
      </c>
      <c r="C8">
        <v>82</v>
      </c>
      <c r="D8">
        <v>73.469390000000004</v>
      </c>
      <c r="E8">
        <v>-46.017249999999997</v>
      </c>
      <c r="F8">
        <v>-45.268900000000002</v>
      </c>
      <c r="G8">
        <v>-45.733499999999999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 Data</vt:lpstr>
      <vt:lpstr>Models</vt:lpstr>
      <vt:lpstr>VDW_Hits - ESM3</vt:lpstr>
      <vt:lpstr>VDW_Hits - ESM3 (RAW)</vt:lpstr>
      <vt:lpstr>VDW Hits - Boltz-2</vt:lpstr>
      <vt:lpstr>VDW Hits - Boltz-2 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2025-08-11T15:00:09Z</dcterms:created>
  <dcterms:modified xsi:type="dcterms:W3CDTF">2026-02-19T04:00:40Z</dcterms:modified>
</cp:coreProperties>
</file>