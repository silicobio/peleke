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by/peleke/paper/analyses/humanness/"/>
    </mc:Choice>
  </mc:AlternateContent>
  <xr:revisionPtr revIDLastSave="0" documentId="13_ncr:9_{E9CC0C11-219B-AE48-9490-F1E149788546}" xr6:coauthVersionLast="47" xr6:coauthVersionMax="47" xr10:uidLastSave="{00000000-0000-0000-0000-000000000000}"/>
  <bookViews>
    <workbookView xWindow="4700" yWindow="3200" windowWidth="27240" windowHeight="16440" activeTab="1" xr2:uid="{F05A9CBE-6008-E842-8C01-8A6B86BFC5FF}"/>
  </bookViews>
  <sheets>
    <sheet name="Pivot" sheetId="2" r:id="rId1"/>
    <sheet name="Percentage Human" sheetId="3" r:id="rId2"/>
    <sheet name="generated_antigen_seqs_Humatch_" sheetId="1" r:id="rId3"/>
  </sheets>
  <calcPr calcId="0" iterateDelta="1E-4"/>
  <pivotCaches>
    <pivotCache cacheId="20" r:id="rId4"/>
  </pivotCaches>
</workbook>
</file>

<file path=xl/calcChain.xml><?xml version="1.0" encoding="utf-8"?>
<calcChain xmlns="http://schemas.openxmlformats.org/spreadsheetml/2006/main">
  <c r="K23" i="3" l="1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J23" i="3"/>
  <c r="J24" i="3"/>
  <c r="J25" i="3"/>
  <c r="J26" i="3"/>
  <c r="J27" i="3"/>
  <c r="J28" i="3"/>
  <c r="J29" i="3"/>
  <c r="J22" i="3"/>
  <c r="I23" i="3"/>
  <c r="I24" i="3"/>
  <c r="I25" i="3"/>
  <c r="I26" i="3"/>
  <c r="I27" i="3"/>
  <c r="I28" i="3"/>
  <c r="I29" i="3"/>
  <c r="H23" i="3"/>
  <c r="H24" i="3"/>
  <c r="H25" i="3"/>
  <c r="H26" i="3"/>
  <c r="H27" i="3"/>
  <c r="H28" i="3"/>
  <c r="H29" i="3"/>
  <c r="G23" i="3"/>
  <c r="G24" i="3"/>
  <c r="G25" i="3"/>
  <c r="G26" i="3"/>
  <c r="G27" i="3"/>
  <c r="G28" i="3"/>
  <c r="G29" i="3"/>
  <c r="F23" i="3"/>
  <c r="F24" i="3"/>
  <c r="F25" i="3"/>
  <c r="F26" i="3"/>
  <c r="F27" i="3"/>
  <c r="F28" i="3"/>
  <c r="F29" i="3"/>
  <c r="E23" i="3"/>
  <c r="E24" i="3"/>
  <c r="E25" i="3"/>
  <c r="E26" i="3"/>
  <c r="E27" i="3"/>
  <c r="E28" i="3"/>
  <c r="E29" i="3"/>
  <c r="D23" i="3"/>
  <c r="D24" i="3"/>
  <c r="D25" i="3"/>
  <c r="D26" i="3"/>
  <c r="D27" i="3"/>
  <c r="D28" i="3"/>
  <c r="D29" i="3"/>
  <c r="C23" i="3"/>
  <c r="C24" i="3"/>
  <c r="C25" i="3"/>
  <c r="C26" i="3"/>
  <c r="C27" i="3"/>
  <c r="C28" i="3"/>
  <c r="C29" i="3"/>
  <c r="M22" i="3"/>
  <c r="L22" i="3"/>
  <c r="K22" i="3"/>
  <c r="I22" i="3"/>
  <c r="H22" i="3"/>
  <c r="G22" i="3"/>
  <c r="F22" i="3"/>
  <c r="E22" i="3"/>
  <c r="D22" i="3"/>
  <c r="C22" i="3"/>
  <c r="B23" i="3"/>
  <c r="B24" i="3"/>
  <c r="B25" i="3"/>
  <c r="B26" i="3"/>
  <c r="B27" i="3"/>
  <c r="B28" i="3"/>
  <c r="B29" i="3"/>
  <c r="B22" i="3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L2" i="1"/>
  <c r="M2" i="1"/>
  <c r="K2" i="1"/>
  <c r="D5" i="1"/>
  <c r="D8" i="1"/>
  <c r="D12" i="1"/>
  <c r="D13" i="1"/>
  <c r="D16" i="1"/>
  <c r="D103" i="1"/>
  <c r="D111" i="1"/>
  <c r="D117" i="1"/>
  <c r="D148" i="1"/>
  <c r="D159" i="1"/>
  <c r="D166" i="1"/>
  <c r="D175" i="1"/>
  <c r="D180" i="1"/>
  <c r="D183" i="1"/>
  <c r="D185" i="1"/>
  <c r="D199" i="1"/>
  <c r="D206" i="1"/>
  <c r="D210" i="1"/>
  <c r="D227" i="1"/>
  <c r="D257" i="1"/>
  <c r="D298" i="1"/>
  <c r="D306" i="1"/>
  <c r="D309" i="1"/>
  <c r="D310" i="1"/>
  <c r="D322" i="1"/>
  <c r="D325" i="1"/>
  <c r="D351" i="1"/>
  <c r="D359" i="1"/>
  <c r="D394" i="1"/>
  <c r="D403" i="1"/>
  <c r="D407" i="1"/>
  <c r="D435" i="1"/>
  <c r="D439" i="1"/>
  <c r="D446" i="1"/>
  <c r="D503" i="1"/>
  <c r="D545" i="1"/>
  <c r="D548" i="1"/>
  <c r="D564" i="1"/>
  <c r="D565" i="1"/>
  <c r="D584" i="1"/>
  <c r="D610" i="1"/>
  <c r="D622" i="1"/>
  <c r="D635" i="1"/>
  <c r="D663" i="1"/>
  <c r="D688" i="1"/>
  <c r="D690" i="1"/>
  <c r="D711" i="1"/>
  <c r="D739" i="1"/>
  <c r="D746" i="1"/>
  <c r="D752" i="1"/>
  <c r="D760" i="1"/>
  <c r="D775" i="1"/>
  <c r="D798" i="1"/>
  <c r="D813" i="1"/>
  <c r="D824" i="1"/>
  <c r="D832" i="1"/>
  <c r="D835" i="1"/>
  <c r="D858" i="1"/>
  <c r="D863" i="1"/>
  <c r="D868" i="1"/>
  <c r="D875" i="1"/>
  <c r="D876" i="1"/>
  <c r="D894" i="1"/>
  <c r="D914" i="1"/>
  <c r="D918" i="1"/>
  <c r="D930" i="1"/>
  <c r="D940" i="1"/>
  <c r="D947" i="1"/>
  <c r="D954" i="1"/>
  <c r="D963" i="1"/>
  <c r="D966" i="1"/>
  <c r="D969" i="1"/>
  <c r="D976" i="1"/>
  <c r="D977" i="1"/>
  <c r="D995" i="1"/>
  <c r="D999" i="1"/>
  <c r="D1027" i="1"/>
  <c r="D1033" i="1"/>
  <c r="D1051" i="1"/>
</calcChain>
</file>

<file path=xl/sharedStrings.xml><?xml version="1.0" encoding="utf-8"?>
<sst xmlns="http://schemas.openxmlformats.org/spreadsheetml/2006/main" count="7370" uniqueCount="2919">
  <si>
    <t>VH</t>
  </si>
  <si>
    <t>VL</t>
  </si>
  <si>
    <t>hv</t>
  </si>
  <si>
    <t>lv</t>
  </si>
  <si>
    <t>CNN_H</t>
  </si>
  <si>
    <t>CNN_L</t>
  </si>
  <si>
    <t>CNN_P</t>
  </si>
  <si>
    <t>QVQ-LVQSGA-EVKKPGSSVKVSCKASGGTF----------NTGIS-WVRQ-A-P-G-Q--G-LE-WMGGIIPI------------FTGKY--A--Q--KF--Q---GRVTITA-D---E-S--TT----T-AYMELSSLRS-EDTAVYYCARGGD----------------------------YGDYWG-QGTTVTVSS</t>
  </si>
  <si>
    <t>DIV-LTQSPATLSVTPGDSVSLSCRASQTIS----------KNNLH-WYQQ-K-S-H-E--S-PR-LLIKYA----------------SQS--I--S--GI--P---SRFSGSG-------S--GT----D-FTLSINSVET-EDFGMYFCQQSNS----------------------------WPYTFG-GGTKLEIK-</t>
  </si>
  <si>
    <t>hv1</t>
  </si>
  <si>
    <t>kv3</t>
  </si>
  <si>
    <t>EVQ-LEESGG-GLVQPGGSLRLSCAASGFNV---------VDFSLH-WVRQ-A-P-G-K--G-LE-WVARIYDG------------GNKYY--A--D--SV--K---GRFTISA-D---T-S--KN----T-AYLQMNSLRA-EDTAVYYCARVWYPYD---------------------SSGYALDYWG-QGTLVTVSS</t>
  </si>
  <si>
    <t>DIQ-MTQTTSSLSASLGDRVTISCRASQDI-----------SNYLN-WYQQ-K-P-D-G--T-VK-LLIYYT----------------SRL--H--S--GV--P---SRFSGSG-------S--GT----D-YSLTISNLEQ-EDIATYFCQQGNT----------------------------LPPTFG-GGTKLEI--</t>
  </si>
  <si>
    <t>hv3</t>
  </si>
  <si>
    <t>kv1</t>
  </si>
  <si>
    <t>QVQ-LQESGP-GLVKPSQTLSLTCTVSGGSI---------SSSYWS-WIRQ-P-P-G-K--G-LE-WIGYIYYS------------GSTNY--N--P--SL--K---SRVTISV-D---T-S--KN----Q-FSLNL---TA-ADTAVYYCARGLGV--------------------------RWLDYWG-QGTLVTVSS</t>
  </si>
  <si>
    <t>DIV-MTQSPLSLPVTLGQPASISCRSSQNG-----------NTYLH-WYQQ-K-P-G-Q--S-PR-LLIYQA----------------STR--I--P--GI--P---ARFSGSG-------S--GT----D-FTLSINSVET-EDFGMYFCQQSNS----------------------------WPYTFG-GGTKLEIK-</t>
  </si>
  <si>
    <t>hv4</t>
  </si>
  <si>
    <t>kv2</t>
  </si>
  <si>
    <t>QAV-LTQSSS-ASFSLGQSVTISCTGTSNIGA--------GYTYVS-WYQQ-H-P-G-K--A-PK-LMIYEV----------------NKR--P--S--GV--S---NRFSGSK-------S--GD----T-ASLTISGLQA-DDEADYYCAGSYS----------------------------TYVVFG-GGTKLTVL-</t>
  </si>
  <si>
    <t>lv2</t>
  </si>
  <si>
    <t>EVQ-LVESGG-GLVQPGGSLRLSCAASGFTF---------SDTYIH-WVRQ-A-P-G-K--G-LE-WVSYINGY-----------DGSYPY--A--D--SV--K---GRFTISA-D---T-S--KN----T-AYLQMNSLRA-EDTAVYYCARGGSRG-----------------------YYGDFDYWG-QGTLVTVSS</t>
  </si>
  <si>
    <t>DIQ-MTQSPASLSASVGDRVTITCRASQSV-----------SSAVA-WYQQ-K-P-G-K--A-PK-LLIYSA----------------SSL--Y--S--GV--P---SRFSGSR-------S--GT----D-FTLTISSLQP-EDFATYYCQQAYR----------------------------YPITFG-QGTKVEIK-</t>
  </si>
  <si>
    <t>-VQ-LVQSGA-EVKKPGASVKVSCKTSGYTF---------TGYYMH-WVRQ-A-P-G-Q--G-LE-WMGIINPR-----------GSGTAY--A--Q--KF--R---GRVTMTR-D---T-S--IN----T-AYMELSSLRS-EDTAVYYCARGGL---------------------------PYYGHWG-QR--VTVSS</t>
  </si>
  <si>
    <t>DIQ-MTQSPSSLSASVGDRVTITCRASQGI-----------RKYLN-WYQQ-K-P-G-K--A-PK-LLIYAA----------------SSL--L--S--GV--P---SRFSGSG-------S--GT----D-FTLTISSLQP-EDFATYYCQQYI-----------------------------YPITFG-QGTKVEIK-</t>
  </si>
  <si>
    <t>DIV-LTQSPSSLSASVGDRVTITCQASQDI-----------SNYLN-WYQQ-K-P-G-K--A-PK-LLIYAA----------------SSL--Q--S--GV--P---SRFSGSG-------S--GT----D-FTLTISSLQP-EDFATYYCQQSYS----------------------------TPRTFG-QGTRLEIK-</t>
  </si>
  <si>
    <t>QVQ-LQQSGA-ELVKPGASVKLSCTASGFNI---------KDTYVH-WVKQ-R-P-E-Q--G-LE-WIGRIDPA-----------NGNTKY--A--P--KF--Q---DKATITA-D---T-S--SN----T-AYLQLSSLTS-EDTAVYYCARRSG---------------------------YYGDYWG-QGTSVTVSS</t>
  </si>
  <si>
    <t>DIQ-MTQSPSSLSASVGDRVTITCRASQGI-----------RNDLG-WYQQ-K-P-G-K--A-PK-LLIYAA----------------SSL--Q--S--GV--P---SRFSGSG-------S--GT----D-FTLTISSLQP-EDFATYYCQQSY-----------------------------STPRFG-GGTKVEIK-</t>
  </si>
  <si>
    <t>QVQ-LVQSGA-EVRKPGASVKVSCKASGYTF---------SDYGIT-WVRQ-A-P-G-Q--G-LE-WMGWISD-------------NTDNY--A--Q--RF--Q---GRVTMTR-D---T-S--TS----T-VYMELSSLRS-DDTAVYYCARDVVVS-----------------------VWVFFDYWG-QGTLVTVSS</t>
  </si>
  <si>
    <t>EIV-LTQSPGTLSLSPGERATLSCRASQSVS----------SSYLA-WYQQ-K-P-G-Q--A-PR-LLIYGA----------------SSR--A--T--GI--P---DRFSGSG-------S--GT----D-FTLTISRLEP-EDFAVYYCQQYGT----------------------------SPFTFG-PGTKV----</t>
  </si>
  <si>
    <t>EVQ-LVESGG-GLVQPGGSLRLSCAASGFNV---------SYSSIH-WVRQ-A-P-G-K--G-LE-WVASIYSY-----------SGYTSY--A--D--SV--K---GRFTISA-D---T-S--KN----T-AYLQMNSLRA-EDTAVYYCARSYWYY------------------------YGWFDPWG-QGTLVTVSS</t>
  </si>
  <si>
    <t>DIQ-MTQSPSSLSASVGDRVTITCRASQSV-----------SSAVA-WYQQ-K-P-G-K--A-PK-LLIYSA----------------SSL--Y--S--GV--P---SRFSGSR-------S--GT----D-FTLTISSLQP-EDFATYYCQQYSS----------------------------YPLTFG-QGTKVEIK-</t>
  </si>
  <si>
    <t>EIV-LTQSPATLSLSPGERATLSCRASQSV-----------SSYLA-WYQQ-K-P-G-Q--A-PR-LLIYDA----------------SNR--A--T--GI--P---ARFSGSG-------S--GT----D-FTLTISSLEP-EDFAVYYCQQRSN----------------------------WPLTFG-GGTKVEIK-</t>
  </si>
  <si>
    <t>DIQ-MTQSPSSLSASVGDRVTITCRASQDV-----------STAVA-WYQQ-K-P-G-K--A-PK-LLIYSA----------------SSL--Y--S--GV--P---SRFSGSR-------S--GT----D-FTLTISSLQP-EDFATYYCQQYKY----------------------------VPVTFG-QGTKVEIK-</t>
  </si>
  <si>
    <t>QVQ-LQQSGP-ELVRPGVSVKISCKGSGYTF----------IDEIN-WVKQ-A-P-G-K--G-LE-WIGYIYYG------------SDTRY--N--P--SL--K---SRVTMSV-D---T-S--KN----Q-FSLKLSSVTA-ADTAVYYCARVDDG--------------------------YYDFIWG-QGTVVTVSS</t>
  </si>
  <si>
    <t>DIV-LTQSPASLAVSLGQRATISCRASESVDS-------YGISFMN-WFQQ-K-P-G-Q--P-PK-LLIYAA----------------SNL--E--S--GV--P---ARFSGSG-------S--GT----D-FTLNIHPVEE-EDAATYYCQQSNE----------------------------DPYTFG-GGTKLEIK-</t>
  </si>
  <si>
    <t>kv7</t>
  </si>
  <si>
    <t>EVQ-LVESGG-GLIQPGGSLRLSCAASGFNV---------SYSSIH-WVRQ-A-P-G-K--G-LE-WVASIYSS-----------SGYTSY--A--D--SV--K---GRFTISA-D---T-S--KN----T-AYLQMNSLRA-EDTAVYYCARYSR---------------------------GGSLPWG-QGTLVTVSS</t>
  </si>
  <si>
    <t>DIQ-MTQSPSSLSASVGDRVTITCRASQSV-----------SSAVA-WYQQ-K-P-G-K--A-PK-LLIYSA----------------SSL--Y--S--GV--P---SRFSGSR-------S--GT----D-FTLTISSLQP-EDFATYYCQQYLY----------------------------YPITFG-QGTKVEIK-</t>
  </si>
  <si>
    <t>QSV-LTQPPS-VSAAPGQKVTISCSGSSSN------------IGNN-WYQQ-F-P-G-K--A-PK-LIIYDV----------------TNL--A--S--GV--P---SRFSGSK-------S--GN----T-ASLTISGLQA-EDEADYYCSSYTTS-------------------------LRDIWVFG-GGTKLTVL-</t>
  </si>
  <si>
    <t>lv1</t>
  </si>
  <si>
    <t>QVQ-LVQSGA-EVKKPGASVKVSCKASGYTF---------TGYYMH-WVRQ-A-P-G-Q--G-LE-WMGWINPS-----------SGSTSY--V--Q--EF--K---DKATLTA-D---K-S--SS----T-AYMELSSLRS-EDTAVYFCARLEYDYQ----------------------GFWYFDVWG-TGTTVTVSS</t>
  </si>
  <si>
    <t>EIV-LTQSPGTLSLSPGERATLSCRASQSVS----------SSYLA-WYQQ-K-P-G-Q--A-PR-LLIYGA----------------SSR--A--T--GI--P---DRFSGSG-------S--GT----D-FTLTISRLEP-EDFAVYYCQQYGS----------------------------SPWTFG-QGTKVEIK-</t>
  </si>
  <si>
    <t>QVQ-LQQSGA-ELVKPGASVKLSCKASGYTF---------TSYWIE-WVKQ-R-P-G-H--G-LE-WIGEIIIG------------GESSY--N--E--KF--K---GKATLTA-D---K-S--SS----T-AYMQLSSLTS-EDSAVYYCARGGFN--------------------------YGFDYWG-QGTTLTVSS</t>
  </si>
  <si>
    <t>DIL-LTQSPAILSVSPGERVSFSCRASQSI-----------GTDIH-WYQQ-R-T-N-G--S-PR-LLIKYA----------------SES--I--S--GI--P---SRFSGSG-------S--GT----D-FTLSINSVES-EDVGVYYCQQYSS----------------------------WPRTFG-GGTKLEIK-</t>
  </si>
  <si>
    <t>kv6</t>
  </si>
  <si>
    <t>QVQ-LVQSGA-EVKKPGASVKVSCKASGGTF---------NTYAIS-WVRQ-A-P-G-Q--G-LE-WMGRIIIL------------DVAHY--A--P--HL--Q---GRVTITA-D---K-S--TS----T-VYLELRNLRS-DDTAVYYCARGGSSY------------------------YGWLGYWG-QGTLVTVSS</t>
  </si>
  <si>
    <t>DIQ-MTQSPSSLSASVGDRVTITCRASQDI-----------SNYLN-WYQQ-K-P-G-K--A-PK-LLISDA----------------SNL--E--T--GV--P---SRFSGSG-------S--GT----D-FTFTISSLQP-EDIATYYCQQYDN----------------------------LPLTFG-GGTKVEIK-</t>
  </si>
  <si>
    <t>QVQ-LQESGP-GLVKPSETLSLTCTVSGGSI---------SSYYWS-WIRQ-P-P-G-K--G-LE-WIGYIYYS------------GSTYY--N--P--SL--K---SRVTISV-D---T-S--KN----Q-FSLKLSSVTA-ADTAVYYCARWG------------------------------RHYWG-PGTVVTVSS</t>
  </si>
  <si>
    <t>DIQ-MTQSPSSLSASVGDRVTITCRASQSI-----------STWLA-WYQQ-K-P-G-K--A-PK-LLIYKA----------------SSL--E--S--GV--P---SRFSGSG-------S--GT----E-FTLTITSLQP-DDFATYYCQQYKY---------------------------VSPLTFG-QGTKVEIK-</t>
  </si>
  <si>
    <t>EVQ-LVESGG-GLVQPGGSLRLSCAASGFNV---------SYYSIH-WVRQ-A-P-G-K--G-LE-WVASIYSY-----------YGSTSY--A--D--SV--K---GRFTISA-D---T-S--KN----T-AYLQMNSLRA-EDTAVYYCARGYY---------------------------FYLDYWG-QGTLVTVSS</t>
  </si>
  <si>
    <t>DIQ-MVPMSLDASQSVTNGVTISCKASQSLLN--------SRVTYQ-WY-Q-K-P-G-Q--S-PK-LILYKM----------------SNL--A--S--GV--P---DRFSGSG-------S--GT----D-FTLKISRVQP-EDFGTYYCQHFYG----------------------------TPYTFG-PGTKVDIK-</t>
  </si>
  <si>
    <t>QVQ-LVQSGA-EVKKPGASVKVSCKASGYTF---------TSHWIH-WVRQ-A-P-G-Q--G-LE-WMGIINPS------------GDTNY--A--Q--KF--Q---GRVTMTR-D---T-S--IS----T-AYMEL---RS-EDTAVYYCAREGGF-------------------------HYGMDVWG-QGTTVTVSS</t>
  </si>
  <si>
    <t>DIQ-MTQSPSSLSASVGDRVTITCRASQGI-----------SSWLA-WYQQ-K-P-G-K--A-PK-LLIYKA----------------SSL--E--S--GV--P---SRFSGSG-------S--GT----E-FTLTISSLQP-DDFATYYCQQYN-----------------------------SYWTFG-QGTKLEIK-</t>
  </si>
  <si>
    <t>EVQ-LVESGG-GLVQPGGSLRLSCAASGFNI---------KDTYIH-WVRQ-A-P-G-K--G-LE-WVASISPY-----------SGYTYY--A--D--SV--K---GRFTISA-D---T-S--KN----T-AYLQMNSLRA-EDTAVYYCARQSYRSLW--------------------SGYFAMDYWG-QGTLVTVSS</t>
  </si>
  <si>
    <t>DIQ-MTQSPSSLSASVGDRVTITCRASQSV-----------SSAVA-WYQQ-K-P-G-K--A-PK-LLIYSA----------------SSL--Y--S--GV--P---SRFSGSR-------S--GT----D-FTLTISSLQP-EDFATYYCQQS-------------------------------AYTFG-QGTKVEIK-</t>
  </si>
  <si>
    <t>EVH-LQQSGP-ELVKPGASMKISCKTSGYTF----------TRYFH-WVKQ-R-P-G-H--G-LE-WIGFIYPG------------GNTNY--N--E--KF--K---GKATLTA-D---K-S--SN----T-AYMQLSSLTSVADTAVYFCVRGYYVYNY--------------------SGGDYFDLWG-QGTTVTVSS</t>
  </si>
  <si>
    <t>DIV-MTQTPLSLPVTPGEPASISCRSSQSLVHS------DGNTYLF-WFLQ-R-P-G-Q--S-PR-RLIYKV---------------ASQS--I--S--GV--P---DRFSGSG-------S--GT----D-FTLKISRVEA-EDVGVYYCMQGTH----------------------------WPLTFG-AGTKLELK-</t>
  </si>
  <si>
    <t>QVQ-LVQSGA-EVKKPGESLKISCKGSGYSF---------TSYWIG-WVRQ-M-P-G-K--G-LE-WMGIIYGD------------SDTRY--S--P--SF--Q---GQVTISA-D---K-S--IS----T-AYLQWSSLKA-SDTAMYYCARPDYG--------------------------TTVDYWG-QGTLVTVSA</t>
  </si>
  <si>
    <t>EIV-LTQSPATLSLSPGERATLSCRASQSV-----------SSYLA-WYQQ-K-P-G-Q--A-PR-LLIYDA----------------SNR--A--T--GI--P---ARFSGSG-------S--GT----D-FTLTISSLEP-EDFAVYYCQQRSN---------------------------WPPWTFG-QGTKVEIK-</t>
  </si>
  <si>
    <t>hv5</t>
  </si>
  <si>
    <t>EVQ-LQQSGP-ELVKPGASVKAPKLSISCSVAN-----VDTINYVH-WVKQ-R-P-E-Q--G-LE-WIGNINPY-----------TSHIKY--K--D--QG--K-----VT----S---S-V--SS----A-NFVYLNSLTS-EDSAVYYCVSDGRT--------------------------GQFDYWG-QGTLLTVSS</t>
  </si>
  <si>
    <t>DIQ-MTQSPASLSVSVGETVTITCRASENI-----------YSNLV-WYQQ-K-Q-G-K--S-PQ-LLVYYT---------------TSNL--A--D--GV--P---SRFSGSG-------S--GT----Q-YSLKINSLQS-EDFGTYYCQHFWG----------------------------TPWTFG-GGTKLTVL-</t>
  </si>
  <si>
    <t>QVQ-LEESGP-GLVKPSQTLSLTCTVSGGSIS-------SSSYYWG-WIRQ-P-P-G-K--G-LE-WIGSIYYS------------GSTYY--N--P--SL--K---SRVTISV-D---T-S--KN----Q-FSLKVNSVTA-ADTAVYYCARWDVY--------------------------GWFDVWG-QGTTVTVSS</t>
  </si>
  <si>
    <t>DIV-MTQSPDSLAVSLGERATINCRSSQSV------------NYLA-WYQQ-K-P-G-Q--P-PK-LLIYWA----------------STR--E--S--GV--P---DRFSGSG-------S--GT----D-FTLTISSLQA-EDVAVYYCQQGYS----------------------------IPYTFG-QGTKLEIK-</t>
  </si>
  <si>
    <t>kv4</t>
  </si>
  <si>
    <t>EVQ-LVESGG-GLVQPGGSLRLSCAASGFNL---------SSYSIH-WVRQ-A-P-G-K--G-LE-WVAYIYYG-----------SGYTSY--A--D--SV--K---GRFTISA-D---T-S--KN----T-AYLQMNSLRA-EDTAVYYCARYYDSSGY-------------------YGSGSYFDYWG-QGTLVTVSS</t>
  </si>
  <si>
    <t>DIQ-MTQSPSSLSASVGDRVTITCRASQSV-----------SSAVA-WYQQ-K-P-G-K--A-PK-LLIYSA----------------SSL--Y--S--GV--P---SRFSGSR-------S--GT----D-FTLTISSLQP-EDFATYYCQQYRY---------------------------WPPITFG-QGTRLEIK-</t>
  </si>
  <si>
    <t>QVQ-LKESGP-GLVAPSQSLSITCTVSGFSLT--------TGGSVS-WLRQ-P-P-G-R--G-LE-WLGVIWG-------------GSTNY--N--S--GAT-AY--GKFTISR-L---T-S--ID----T-AFYAM-SLKS-ADEGRYYCAREAAYSGGS------------------DYYRAGFDYWG-QGTLVTVSS</t>
  </si>
  <si>
    <t>DIQ-MTQSPSTLSASVGDRVTITCRASQGI-----------SNYLA-WYQQ-K-P-G-K--A-PK-LLIYDA----------------SSL--Q--S--GV--P---SRFSGSG-------S--GT----D-FTLTISSLQP-EDFATYYCQQLNS----------------------------YPPAFG-QGTKVEIK-</t>
  </si>
  <si>
    <t>EVQ-LVQSGA-EVKKPGASVKVSCKASGYTF---------TSYYMH-WVRQ-A-P-G-Q--G-LE-WMGRIDPS-----------DSKTNY--A--Q--KF--Q---GRVTMTT-D---T-S--TS----T-AYMELRSLRS-DDTAVYYCARGGWISLYY-----------------DSSGYPYFDYWG-QGTLVTVS-</t>
  </si>
  <si>
    <t>EIV-MTQSPATLSLSPGERATLSCRASQSV-----------SSYLA-WYQQ-K-P-G-Q--A-PR-LLIYDA----------------SNR--A--T--GI--P---ARFSGSG-------S--GT----D-FTLTISSLEP-EDFAVYYCQQHI-----------------------------NTWTFG-QGTKVEIK-</t>
  </si>
  <si>
    <t>QVQ-LQQSGP-GLVKPSQTLSLTCAISGDSVS-------SNSAAWN-WIRQ-S-P-S-R--G-LE-WLGRTYY-------------SGVYY--N--P--SL--K---SRVTISV-D---T-S--KN----Q-FSLKLSSVTA-ADTAVYYCARDPP---------------------------RIFDPWG-QGTLVTVSS</t>
  </si>
  <si>
    <t>-SV-LTQPPS-VSGAPGQRVTISCTGSSGA-----------GYDVH-WYQQ-L-P-G-T--A-PK-LLIYGN----------------NNR--P--S--GV--P---DRFSGSK-------S--GT----S-ASLAITGLQA-EDEADYYCQSYDS----------------------------SLYVFG-TGTKVTVL-</t>
  </si>
  <si>
    <t>QVQ-LVQSGA-EVKKPGASVKVSCKASGYTF---------TGYYMH-WVRQ-A-P-G-Q--G-LE-WMGWINPN-----------SGGTSY--A--Q--KF--Q---GRVTMTR-D---T-S--IS----T-AYMELSRLRS-DDTAVYYCATQGD---------------------------WYFDLWG-RGTLVTVSS</t>
  </si>
  <si>
    <t>DIQ-MTQSPSSLSASVGDRVTITCRASQDI-----------SSWLA-WYQH-K-P-G-K--A-PK-LLIYAA----------------SSL--Q--S--GV--P---SRFSGSG-------S--GT----D-FTLTISSLQP-EDFATYYCQQAYK----------------------------TPITFG-QGTKVEIK-</t>
  </si>
  <si>
    <t>EVQ-LVESGG-GLVQPGGSLRLSCAASGFNV---------YSSSIH-WVRQ-A-P-G-K--G-LE-WVASIYSY-----------YGSTYY--A--D--SV--K---GRFTISA-D---T-S--KN----T-AYLQMNSLRA-EDTAVYYCARHT-----------------------------GAGYWG-QGTLVTVSS</t>
  </si>
  <si>
    <t>DIQ-MTQSPSSLSASVGDRVTITCRASQSV-----------SSAVA-WYQQ-K-P-G-K--A-PK-LLIYSA----------------SSL--Y--S--GV--P---SRFSGSR-------S--GT----D-FTLTISSLQP-EDFATYYCQQGHS----------------------------FPITFG-QGTKVEIK-</t>
  </si>
  <si>
    <t>QVQ-LQESGP-GLVKPSQSLSLTCTVTGYSIT--------SDYAWN-WIRQ-F-P-G-N--K-LE-WMGYITYS------------GTTNY--N--P--SL--K---SRISITR-D---T-S--KN----Q-FFLQLSSVTT-EDTATYYCARWASGYN----------------------KYYGLDYWG-QGTLVTVSS</t>
  </si>
  <si>
    <t>DIQ-MTQSPSSLSASVGDRVTITCRASQSI-----------SSYLN-WYQQ-K-P-G-K--A-PK-LLIYAA----------------SSL--Q--S--GV--P---SRFSGSG-------S--GT----D-FTLTISSLQP-EDFATYYCQQSYS----------------------------TPRTFG-QGTKVEIK-</t>
  </si>
  <si>
    <t>QVQ-LQQPGA-ELVKPGASVKLSCKASGYTF---------TSYWMH-WVKQ-R-P-G-H--G-LE-WIGEILGS-----------GGSTNY--N--E--KF--K---GKATFTA-D---K-S--SN----T-AYMQLSSLTS-EDSAIYYCTK---------------------------------DYWG-QGTTLTVSS</t>
  </si>
  <si>
    <t>DIQ-MTQSPASLSASVGETVTITCRASGNI-----------HNYLA-WYQQ-K-Q-G-K--S-PQ-LLVYNA----------------KTL--A--D--GV--P---SRFSGSG-------S--GT----Q-YSLKINSLQP-EDFGSYYCQHFWS----------------------------TPFTFG-SGTKLEIK-</t>
  </si>
  <si>
    <t>EVQ-LQQSGP-ELVKPGASVKIPCKASGYTF---------TDYNMH-WVKQ-S-H-G-K--S-LE-WIGFYATG------------SETRY--N--Q--KF--R---GKATLTV-D---K-S--SS----T-AFMQLNSLTS-EDSAVYYCAREGYYGY----------------------DGYHFDYWG-QGTTLTVSS</t>
  </si>
  <si>
    <t>DIV-ITQSPSSLSASVGDRVTITCRASQDI-----------SGYLN-WYQQ-K-P-G-K--A-PK-LLISDA----------------SSL--E--S--GV--P---SRFSGSG-------S--GT----D-FTLTISSLQP-EDFATYYCQQSNT----------------------------LPFTFG-PGTKVDIK-</t>
  </si>
  <si>
    <t>EVQ-LVESGG-GLVQPGGSLRLSCAASGFTF---------SSYWMS-WVRQ-A-P-G-K--G-LE-WVANIKQD-----------GSEKYY--V--D--SV--K---GRFTISR-D---N-A--KN----S-LYLQMNSLRA-EDTAVYYCTTTA-----------------------------LFAYWG-QGTLVTVSS</t>
  </si>
  <si>
    <t>-IV-MTQSQKFMSTSVGDRVSVTCKASQNV-----------GTNVA-WYQQ-K-P-G-Q--S-PK-ALIYSA----------------SYR--Y--S--GV--P---DRFTGSG-------S--GT----D-FTLTISNVQS-EDLAEYFCQQYNS----------------------------YPYTFG-GGTKLEIK-</t>
  </si>
  <si>
    <t>QVQ-LVQSGA-EVKKPGSSVKVSCKASGGTF---------SSYAIS-WVRQ-A-P-G-Q--G-LE-WMGGIIIF------------GTANY--A--Q--KF--Q---GRVTITA-D---E-S--TS----T-AYMEVSSLRS-EDTAVYYCARGFSD-------------------------YWYFDLWG-RGTLVTVSS</t>
  </si>
  <si>
    <t>ETV-LTQSPGTLSLSPGERATLSCRASQSIS----------SSYLA-WYQQ-K-P-G-Q--A-PR-LLIYGA----------------SSR--A--T--GI--P---DRFSGSG-------S--GT----D-FTLTISRLEP-EDFAVYYCQQYVS----------------------------SPRTFG-QGTKLEIK-</t>
  </si>
  <si>
    <t>QVQ-LKQPGG-GLVQPGGSLRLSCAASGFTF---------NDYAMS-WVRQ-A-P-G-K--G-LE-WVSAISGS-----------GGSTYY--A--D--SV--K---GRFTISR-D---N-S--KN----T-LYLQMNSLRA-EDTAVYYCARDLWF--------------------------GGFDYWG-QGTLVTVSS</t>
  </si>
  <si>
    <t>DIQ-MTQSPSSLSASVGDRVTITCRASQDV-----------NTAVA-WYQQ-K-P-G-K--A-PK-LLIYSA----------------SFL--Y--S--GV--P---SRFSGSG-------S--GT----D-FTLTISSLQP-EDFATYYCQQYKY----------------------------VPVTFG-QGTKVEIK-</t>
  </si>
  <si>
    <t>QVQ-LQESGP-GLVKPSQTLSLTCTVSGGSIS-------SGSYYWS-WIRQ-H-P-G-K--G-LE-WIGYIYYS------------GTTYY--N--P--SL--K---SRLTISK-D---T-S--KN----Q-FSLNLNSVTT-EDTATYYCARAS-----------------------------GFDYWG-QGTLVTVSS</t>
  </si>
  <si>
    <t>DIQ-MTQSPSSLSASVGDRVTVTCRASQNV-----------GTNVA-WYQQ-K-P-G-K--A-PK-LLIYAA----------------SNL--E--S--GV--P---SRFSGSG-------S--GT----D-FTLTISSLQP-EDFATYYCQQGSI----------------------------YPFTFG-QGTKVEIK-</t>
  </si>
  <si>
    <t>EVQ-LVESGG-GLVQPGGSLRLSCAASGFNV---------YSSSIH-WVRQ-A-P-G-K--G-LE-WVASIYSY------------SYTSY--A--D--SV--K---GRFTISA-D---T-S--KN----T-AYLQM---RA-EDTAVYYCARYY-----------------------------GYDYWG-QGTLVTVSS</t>
  </si>
  <si>
    <t>EVQ-LVESGA-GLVQPGGSLRLSCAASGFTF---------SSLSMH-WVRQ-T-T-G-K--G-LE-WVSTIGSG------------GDTYY--A--D--SV--K---GRFTISR-D---N-S--KN----T-LYLQMNSLRA-EDTAVYYCARDLGE--------------------------YAMDYWG-QGTLVTVSG</t>
  </si>
  <si>
    <t>DIQ-MTQSPSSLSASVGDRVTITCRASQGI-----------SSYLA-WYQQ-K-P-G-K--A-PK-LLIYAA----------------SSL--Q--S--GV--P---SRFSGSG-------S--GT----D-FTLTISSLQP-EDFATYYCQHLNS----------------------------YPLTFG-GGTKVEIK-</t>
  </si>
  <si>
    <t>QVQ-LQESGP-GLVKPSQTLSLTCTVSGGSIS-------SGSYYWS-WIRQ-H-P-G-K--G-LE-WIGYIYYS------------GSTDY--N--P--SL--S---SRVTMSV-D---T-S--KN----Q-FSLNLNSVTA-ADTAVYYCARDPYY-------------------------DTSFAYWG-QGTLVTVSS</t>
  </si>
  <si>
    <t>DIV-MTQSPSSLSASVGDRVTITCRASQSI-----------SRWLA-WYQQ-K-P-G-K--A-PK-LLIYKA----------------SSL--E--S--GV--P---SRFSGSG-------S--GT----E-FTLTISSLQP-DDFATYYCQQYNN----------------------------YPLTFG-QGTKVEIK-</t>
  </si>
  <si>
    <t>QVQ-LQESGP-GLVKPSETLSLTCTVSGGSI---------SSGSYY-WIRQ-P-P-G-K--G-LE-WIGYIYYS------------GSTYY--N--P--SL--K---SRVTISV-D---T-S--KN----Q-FSLKLNSVTA-ADTAVYYCARVRVG--------------------------GDLYYWG-QGTLVTVSS</t>
  </si>
  <si>
    <t>DIQ-MTQSPSSLSASVGDRVTITCRASQGI-----------RNYLA-WYQQ-K-P-G-K--A-PK-LLIWD-----------------ASL--Q--S--GV--P---SRFSGSG-------S--GT----D-FTLTISSLQP-EDFATYYCQQYY-----------------------------SLWTFG-QGTKVEIK-</t>
  </si>
  <si>
    <t>QVQ-LQESGP-GLVKPSETLSLTCTVSGDSIS-------SGSYYWG-WIRQ-P-P-G-K--G-LE-WIGSIYYS------------GSTYY--S--P--SL--K---SRVSISV-D---T-S--KN----Q-FSLKLSSVTA-ADTAVYYCARSDV---------------------------WGFDVWG-QGTTVTVSS</t>
  </si>
  <si>
    <t>DIQ-MTQSPSSLSASVGDRVTITCRASQGI------------DSLA-WYQQ-K-P-G-K--A-PK-VLIYAA----------------SSL--Q--S--GV--P---SRFSGSG-------S--GT----D-FTLTISSLQP-EDFATYYCQQLNS----------------------------YPPRFG-GGTKVEIK-</t>
  </si>
  <si>
    <t>QVQ-LQQSGP-ELVKPGASVKLSCTASGFNI---------KDTYIH-WVKQ-R-P-E-Q--G-LE-WIGRIDPA-----------NGDTKY--A--P--KF--Q---GKATITT-D---T-F--SN----T-AYLQLSSLTS-EDTAVYYCARGWFP-------------------------YYAMDYWG-QGTSVTVSS</t>
  </si>
  <si>
    <t>DIQ-MTQSPSSLSASVGDRVTITCRASQGI-----------SSYLA-WYQQ-K-P-G-K--A-PK-LLIYAA----------------STL--Q--S--GV--P---SRFSGSG-------S--GT----D-FTLTISSLQP-EDFATYYCQQSYS----------------------------TPYTFG-PGTKVDIK-</t>
  </si>
  <si>
    <t>EVQ-LVESGG-GLVQPGGSLRLSCAASGFTF---------SSYWMS-WVRQ-A-P-G-K--G-LE-WVANIKQD-----------GSEKYY--V--D--SV--K---GRFTISR-D---N-A--KKS---S-LYLQMNSLRA-EDTAVYYCARRRGA--------------------------GYFAYWG-QGTLVTVSS</t>
  </si>
  <si>
    <t>DIQ-MTQSPSSLSASVGDRVTITCRASQSV-----------SSAVA-WYQQ-K-P-G-K--A-PK-LLIYSA----------------SSL--Y--S--GV--P---SRFSGSR-------S--GT----D-YTLTISSLQP-EDFATYYCQQYPW----------------------------YPFTFG-QGTKVEIK-</t>
  </si>
  <si>
    <t>EVQ-LVQSGA-EVKKPGASVKVSCKASGYTF---------TSYYMH-WVRQ-A-P-G-Q--G-LE-WMGWINPN-----------SGNTGY--A--Q--KF--Q---GRVTMTT-D---T-S--TT----T-GYMELRRLRS-DDTAVYYCARGGYD--------------------------YYFDYWG-QGTLVTVSS</t>
  </si>
  <si>
    <t>DIQ-MTQSPSSLSASVGDRVTITCRASQSI-----------SSYLN-WYQQ-K-P-G-K--A-PK-LLIYAA----------------SSL--Q--S--GV--P---SRFSGSG-------S--GT----D-FTLTISSLQP-EDFATYYCQQSYS----------------------------TPYTFG-QGTKVEIK-</t>
  </si>
  <si>
    <t>EVQ-LVESGG-GLVKPGGSLRLSCAASGFTF---------SSYAMS-WVRQ-A-P-G-K--G-LE-WVSSISYS-----------GGSINY--A--D--SV--E---GRFTISR-D---N-S--KN----T-LYLQMNSLRA-EDTAVYYCARD--------------------------------KVWG-QGILVTVSS</t>
  </si>
  <si>
    <t>DIQ-MTQSPSSLSASVGDRVTITCRASQTI-----------SNYLN-WYQQ-K-P-G-K--A-PK-LLIYAA----------------SSL--Q--S--GV--P---SRFSGSG-------S--GT----D-FTLTISSLQP-EDFATYYCQQSYS----------------------------TPRTFG-QGTKVEIK-</t>
  </si>
  <si>
    <t>QVQ-LVESGG-GVVQPGRSLRLSCAASGFTF---------SSYTMH-WVRQ-A-P-G-K--G-LE-WVAVISDG------------SNKYY--A--D--SV--K---GRFTISR-D---N-S--KN----T-LYLQM---RA-EDTAVYYCAKSSS----------------------------RQDVWG-KGTTVTVSS</t>
  </si>
  <si>
    <t>DIQ-MTQSPSTLSASVGDRVTITCRASQSI-----------SSWLA-WYQQ-K-P-G-K--A-PK-LLIYKA----------------SSL--E--S--GV--P---SRFSGSG-------S--GT----E-FTLTISGLQP-DDFATYYCQHYN-----------------------------SYSIFG-QGTRLEIK-</t>
  </si>
  <si>
    <t>QVQ-LQESGP-GLVKPSGTLSLTCAISGDSV---------SSNSAW-WIRQ-S-P-G-K--G-LE-WIGYIYYS------------GSTDY--N--P--SL--E---SRVTISV-D---T-S--KN----Q-FSLKLTSVTA-ADTAVYYCARVAY----------------------------VVDYWG-QGTLVTVSS</t>
  </si>
  <si>
    <t>DIQ-MTQSPSSLSASVGDRVTITCRASQDI-----------SNYLN-WYQQ-K-P-G-K--A-PK-LLIYAA----------------SSL--Q--S--GV--P---SRFSGSG-------S--GT----D-FTLTISSLQP-EDFATYYCQQYYT----------------------------TPPTFG-QGTKVEIK-</t>
  </si>
  <si>
    <t>-VQ-LQQSGP-ELVKPGASVKISCKASGYAF---------SSYWIE-WVKQ-R-P-G-H--G-LE-WIGEILPG-----------SGSTDY--NN-E--KF--K---GKATLTV-D---R-S--TS----T-AYMELSSLRS-EDSAVYYCAREYVY--------------------------YAMDYWG-QGTSVTVSS</t>
  </si>
  <si>
    <t>DIV-LTQSPASLAVSLGQRATISCKASQSVDY-------AGDSYMN-WYQQ-K-P-G-Q--P-PK-LLIYAA----------------SNL--E--S--GI--P---ARFSGSG-------S--RT----D-FTLTINPVEA-DDVATYYCQQTNE----------------------------DPRTFG-GGTKLEIK-</t>
  </si>
  <si>
    <t>EVQ-LVESGG-GLVQPGGSLRLSCAASGFTF---------SNYAMH-WVRQ-A-P-G-K--G-LE-WVSSISS-------------GSSHY--T--D--TA--E---GRFTISR-D---N-S--KN----T-LYLQM---RA-EDTAVYYCARSRAS--------------------------LGPGYWG-QGTLVTVSS</t>
  </si>
  <si>
    <t>-SV-LTQPPS-ASGTPGQRVTISCSGSSSNI---------GSNTVN-WYQQ-L-P-G-T--A-PK-LLIYSN----------------NQR--P--S--GV--P---DRFSGSK-------S--GT----S-ASLAISGLQS-EDEADYYCASYTR----------------------------SRWVFG-GGTKLTV--</t>
  </si>
  <si>
    <t>QVQ-LVQSGA-EVKKPGSSVKVSCKASGGTF---------SSYAIS-WVRQ-A-P-G-Q--G-LE-WMGGIIIF------------GTANY--A--Q--KF--Q---GRVTITA-D---K-S--TS----T-AYMEL---RS-EDTAVYYCARESG---------------------------GFDAFWG-QGTLVTV--</t>
  </si>
  <si>
    <t>DIV-MTQSPSSLSASVGDRVTITCRASQSI-----------GSYLA-WYQQ-K-P-G-K--A-PK-LLIYAA----------------STL--Q--S--GV--P---SRFSGSG-------Y--GT----D-FTLTISSLQP-EDFATYYCQQSYS---------------------------TTPYTFG-QGTKVEIK-</t>
  </si>
  <si>
    <t>QVQ-LVQSGA-EVKKPGASVKVSCKASGYTF---------TSYGIS-WVRQ-A-P-G-Q--G-LE-WMGWISTY-----------NGNTRY--A--Q--KF--Q---GRVTMTT-D---T-S--TT----T-AYMEL---RS-DDTAVYYCARVVD---------------------------GAFDYWG-QGTLVTVSS</t>
  </si>
  <si>
    <t>DIV-MTQSPSYLAASPGEKVTMTCQASQS-------------VSYS-WYQQ-K-P-G-T--A-PK-LLIYDR---------------TNQR--A--S--GV--P---ERFRGSG-------S--GT----D-FTLTIRGLQY-DDSVRYFCLY---------------------------------GTFG-QGTKLEIK-</t>
  </si>
  <si>
    <t>QVQ-LQQWGA-GLLKPSETLSLTCAVYGGSF---------SGYYWS-WIRQ-P-P-G-K--G-LE-WIGEINHS------------GSTNY--N--P--SL--K---SRVTISL-D---T-S--KN----Q-FSLKLSSVTA-ADTAVYYCARVAPYCSH-------------------FCYDGTQSHWG-QGTLVTVSS</t>
  </si>
  <si>
    <t>DIQ-MTQSPSSLSASVGDRVTITCRASQGI-----------SSWLA-WYQQ-K-P-G-E--A-PK-LLIYAA----------------STL--Q--S--GV--P---SRFSGSG-------S--GT----D-FTLTISSLQP-EDFATYYCQQSHE----------------------------DPRTFG-QGTKVEIK-</t>
  </si>
  <si>
    <t>EVQ-LVQSGA-EVKKPGESLKISCKGSGYSF---------TSYWIG-WVRQ-M-P-G-K--G-LE-WMGIIYPD-----------DSDTRY--S--P--SF--Q---GQVTISA-D---K-S--IS----T-AYLQWSSLKA-SDTAMYYCARGYDYY------------------------GYFMDVWG-QGTTVTVSS</t>
  </si>
  <si>
    <t>QSV-LTQPPS-VSAAPGQKVTISCSGSSSNI---------GNNYVS-WYQQ-L-P-G-T--A-PK-LLIYDN----------------NKR--P--S--GI--P---DRFSGSK-------S--GT----S-ATLGITGLQT-GDEADYYCGSWDDS--------------------------LTHVVFG-GGTKLTVL-</t>
  </si>
  <si>
    <t>QVQ-LQQSGA-ELMKPGASVKISCKASGYTF---------SSYWIE-WVKQ-R-P-G-H--G-LE-WIGEILPG-----------SGSTNY--N--E--KF--K---GKATFTA-D---T-S--SN----T-AYMQLSSLTS-EDSAVYYCARYGGN--------------------------YYGDYWG-QGTSVTVSS</t>
  </si>
  <si>
    <t>DIV-LTQSPASLAVSLGQRATISCRASESVDS-------YGISFMN-WFQQ-K-P-G-Q--P-PK-LLIYAA----------------SNQ--G--S--GV--P---ARFSGSG-------S--GT----Y-FSLNIHPMEE-DDTAVYFCQQTKS---------------------------EIPYTFG-GGTKLEIK-</t>
  </si>
  <si>
    <t>EVQ-LVESGG-GLVQPGGSLRLSCAASGFNV---------SYYSIH-WVRQ-A-P-G-K--G-LE-WVASISPYY----------SYYSTY--A--D--SV--K---GRFTISA-D---T-S--KN----T-AYLQMNSLRA-EDTAVYYCARWSRGYF----------------------VRGYFDYWG-QGTLVTVSS</t>
  </si>
  <si>
    <t>DIQ-MTQSPSSLSASVGDRVTITCRASQSV-----------SSAVA-WYQQ-K-P-G-K--A-PK-LLIYSA----------------SSL--Y--S--GV--P---SRFSGSR-------S--GT----D-FTLTISSLQP-EDFATYYCQQSSS----------------------------SLITFG-QGTKVEIK-</t>
  </si>
  <si>
    <t>EVQ-LVESGG-GLVQPGGSLRLSCAASGFNV---------SYYSIH-WVRQ-A-P-G-K--G-LE-WVASIYPY-----------SGSTSY--A--D--SV--K---GRFTISA-D---T-S--KN----T-AYLQMNSLRA-EDTAVYYCARYGL----------------------------GYDYWG-QGTLVTVSS</t>
  </si>
  <si>
    <t>DIQ-MTQSPSSLSASVGDRVTITCRASQSV-----------SSAVA-WYQQ-K-P-G-K--A-PK-LLIYSA----------------SSL--Y--S--GV--P---SRFSGSR-------S--GT----D-FTLTISSLQP-EDFATYYCQQSSY----------------------------YPATFG-QGTKVEIK-</t>
  </si>
  <si>
    <t>EVQ-LVESGG-GLVQPGGSLRLSCAASGFNI---------SSSSIH-WVRQ-A-P-G-K--G-LE-WVASIYSY-----------YGSTSY--A--D--SV--K---GRFTISA-D---T-S--KN----T-AYLQMNSLRA-EDTAVYYCARSR-----------------------------GGGGWG-QGTLVTVS-</t>
  </si>
  <si>
    <t>EVQ-LVESGG-GLVQPGGSLRLSCAASGFNF---------SSYSIH-WVRQ-A-P-G-K--G-LE-WVASISSY-----------YGYTYY--A--D--SV--K---GRFTISA-D---T-S--KN----T-AYLQMNSLRA-EDTAVYYCARSRQFW------------------------YSALDYWG-QGTLVTVSS</t>
  </si>
  <si>
    <t>EVQ-LQQSGP-GLVKPSQTVSISCKGSGTDYY--------ADTWVK-WVRQ-P-P-G-Q--G-LE-WIGEIDPS------------DTIDT--P--N--KF--K---GSATLS--------------------------LDS-EDSAVYYCARDLKK--------------------------GVYDYWG-QGTAVTVS-</t>
  </si>
  <si>
    <t>--V-LTQPPS-VSGAPGQRVTISCTGGTYAG----------YNYVS-WYQQ-L-P-G-T--A-PK-LLIYGN----------------NQR--P--S--GV--P---DRFSGSK-------S--GT----S-ASLAISGLQS-EDEADYYCAAWDD----------------------------SLWVFG-GGTKLTVL-</t>
  </si>
  <si>
    <t>EVQ-LLESGG-GLVQPGGSLRLSCAASGFAF---------SSYAMS-WVRQ-A-P-G-K--G-LE-WVSSISSS------------SYIHY--A--D--SV--K---GRFTISR-D---N-S--KN----T-LYLQMNSLRA-EDTAVYYCARDLQVGYNL------------------YFDSWYMDVWG-KGT------</t>
  </si>
  <si>
    <t>QSV-LTQPPS-VSGAPGQRVTISCTGSSSNIG--------AGYDVH-WYQQ-L-P-G-T--A-PK-LLIYGA---------------SNQR--P--S--GV--P---DRFSGSK-------S--GT----S-ASLAITGLQA-EDEADYYCQSYDSS-------------------------LSGSYVFG-TGTKVTVL-</t>
  </si>
  <si>
    <t>EVQ-LVESGG-GLVQPGGSLRLSCAASGFNI---------KDTYIH-WVRQ-A-P-G-K--G-LE-WVAYISSS-----------SGSTSY--A--D--SV--K---GRFTISA-D---T-S--KN----T-AYLQMNSLRA-EDTAVYYCARYWSPR------------------------YPYMDYWG-QGTLVTVSS</t>
  </si>
  <si>
    <t>DIQ-MTQSPSSLSASVGDRVTITCRASQSV-----------SSAVA-WYQQ-K-P-G-K--A-PK-LLIYSA----------------SSL--Y--S--GV--P---SRFSGSR-------S--GT----D-FTLTISSLQP-EDFATYYCQQIYS----------------------------APLTFG-GGTKVEIK-</t>
  </si>
  <si>
    <t>QVQ-LQESGP-GLVKPSETLSLTCTVSGGSVS-------SGGYYWS-WIRQ-P-P-G-K--G-LE-WIGSIYYT------------GSTNY--N--P--SL--K---SRVTISV-D---T-S--KN----Q-FSLKLSSVTA-ADTAVYYCARVRYY--------------------------GVSDYWG-QGTLVTVSS</t>
  </si>
  <si>
    <t>DIV-MTQSPSSLAMSVGQKVTMNCKSSQSLLNS------NNKNYLA-WYQQ-K-P-G-Q--S-PK-LLIYWA----------------STR--E--S--GV--P---DRFTGSG-------S--GT----D-FTLTISSVQA-EDLAVYYCHQYLS----------------------------SPLTFG-GGTKLELK-</t>
  </si>
  <si>
    <t>EVQ-LQQSGA-ELVKPGASVKLSCTASGFNI---------KDTYVH-WVKQ-R-P-E-Q--G-LE-WIGRIDPA-----------NGYTKY--D--P--KF--Q---GKATITA-D---T-S--SN----T-AYLQLSSLTS-EDTAVYYCVRPLYD-------------------------YYAMDYWG-QGTSVTVSS</t>
  </si>
  <si>
    <t>DIL-MTQSPSSMSVSLGDTVSITCHASQGI-----------SSNIG-WLQQ-K-P-G-K--S-FM-GLIYYG----------------TNL--V--D--GV--P---SRFSGSG-------S--GA----D-YSLTISSLDS-EDFADYYCVQYAQ----------------------------LPYTFG-GGTKLEIK-</t>
  </si>
  <si>
    <t>lv5</t>
  </si>
  <si>
    <t>QVQ-LVESGG-GVVQPGRSLRLSCAASGFTF---------SSYAMH-WVRQ-A-P-G-K--G-LE-WVAVIWDG------------SNKFY--A--D--SV--E---GRFTISR-D---N-S--KN----T-LYLQM---RA-EDTAVYYCARDPM----------------------------SADYWG-QGTLVTVSS</t>
  </si>
  <si>
    <t>DIQ-MTQSPSSLSASVGDRVTITCQASQDI-----------SDYLN-WYQQ-K-P-G-K--V-PK-LLIYDA----------------SSL--Q--S--GV--P---SRFSGSG-------S--GT----D-FTLTISSLQP-EDFATYYCQQSYS----------------------------TPYTFG-QGTKVEIK-</t>
  </si>
  <si>
    <t>EVQ-LVESGG-GVVQPGRSLRLSCAASGFTF---------SNYGMH-WVRQ-A-P-G-K--G-LE-WVAVISYD-----------GSNKYY--A--D--SV--K---GRFTISR-D---N-S--KN----T-LYLQMNSLRA-EDTAVYYCARHAT---------------------------YVDDYWG-QGTLVTVSS</t>
  </si>
  <si>
    <t>DIQ-MTQSPSSLSASVGDRVTITCRASQSV-----------SSAVA-WYQQ-K-P-G-K--A-PK-LLIYSA----------------SSL--Y--S--GV--P---SRFSGSR-------S--GT----D-FTLTISSLQP-EDFATYYCQQYKY----------------------------VPVTFG-QGTKVEIK-</t>
  </si>
  <si>
    <t>QVQ-LQQSGA-ELVKPGASVKLSCKASGYTF---------TNYWMH-WVKQ-R-P-G-Q--G-LE-WIGYINPG-----------SGNTNY--N--E--KF--K---NKATLTV-D---K-S--SS----T-AYMQL---TS-EDSAVYYCARSGY----------------------------KLDYWG-QGTSVTVSS</t>
  </si>
  <si>
    <t>DIE-LTQTPVSLSASVGETVTITCRASGNI-----------HNYLA-WYQQ-K-Q-G-K--S-PQ-LLVYNAK--------------RILA--E--P--GV--P---DRFSGSG-------S--GT----Q-YSLKINSLQS-EDFATYYCQQYNN----------------------------WPLTFG-GGTKLEIK-</t>
  </si>
  <si>
    <t>EVQ-LVESGG-GLVQPGGSLRLSCAASGFTL---------SSYDMS-WVRQ-A-P-G-K--G-LE-WVANIKQD-----------GSEKYY--V--D--SV--K---GRFTISR-D---N-A--KN----S-LFLQMDSLRP-EDTAVYYCARGGQGC------------------------FYAMDYWG-QGTLVTVSS</t>
  </si>
  <si>
    <t>QVQ-LQESGP-GLVKPSGTLSLTCAVSGGSIS--------GSYYWS-WIRQ-P-P-G-K--G-LE-WIGYIYYS------------GSTNY--N--P--SL--K---SRVTISV-D---T-S--KN----Q-FSLKLSSVTA-ADTAVYYCARWQD----------------------------YLDYWG-QGTLVTVSS</t>
  </si>
  <si>
    <t>NFM-LTQPHS-VSESPGKTVTISCTGSSGSI---------ASNYVQ-WYQQ-L-P-G-T--A-PK-LLIYDN----------------D-R--R--P--SV--S---DRFSGSK-------S--GN----T-ASLTISGLQA-EDEADYYCSSYAG----------------------------SYWVFG-TGTMVTVL-</t>
  </si>
  <si>
    <t>lv6</t>
  </si>
  <si>
    <t>QVQ-LQQSGA-ELVKPGASVKLSCKASGYTF---------TSYWMH-WVKQ-R-P-G-Q--G-LE-WIGAIYPG-----------NGDTSY--N--Q--KF--K---GKATLTA-D---K-S--SS----T-AYMQL---TS-EDSAVYFCARRRRGY-----------------------YGYAMDYWG-QGTSVTVSS</t>
  </si>
  <si>
    <t>QIV-LTQSPAIMSASPGEKVTMTCSASSSV------------SYIH-WYQQ-K-S-G-T--S-PK-RWIYDT----------------SKL--A--S--GV--P---ARFSGSG-------S--GT----S-YSLTISRVEA-EDAATYYCQQWSS----------------------------HPPTFG-GGTKLEIR-</t>
  </si>
  <si>
    <t>EVQ-LQQSGP-ELVKPGASVKISCKTSGYTF---------TEYTIY-WVKQ-S-H-G-K--S-LE-WIGGINPN------------IGDTY--N--Q--NF--K---GKATLTV-D---K-S--SS----T-AYMQLNSLTS-EDSAVYYCARGLG---------------------------DYYDYWG-QGTTLTVSS</t>
  </si>
  <si>
    <t>DIV-MSQSPSSLAVSAGEKVTMSCKSSQSLLNS-----RTRKNYLA-WYQQ-K-P-G-Q--S-PK-LLIYWA----------------STR--E--S--GV--P---DRFTGSG-------S--GT----D-FTLTISSVQA-EDLAVYYCKQAY-----------------------------IPYTFG-GGTKLEIK-</t>
  </si>
  <si>
    <t>EVQ-LVESGG-GLVQPGGSLRLSCAASGFTF---------SNYAMT-WVRQ-A-P-G-K--G-LE-WVSTISGG------------GSKYY--A--D--SV--K---GRFTISR-D---N-S--KN----T-LYLQMNSLRA-EDTAVYYCARWRNYGY----------------------YYHGMDVWG-QGTTVTVSS</t>
  </si>
  <si>
    <t>EVQ-LVESGG-GVVQPGRSLRLSCAASGFTF---------NSYTMH-WVRQ-A-P-G-K--G-LE-WVTFISYD-----------GSNKYY--A--D--SV--K---GRFTISR-D---N-S--KN----T-LYLQMNSLRA-EDTAVYYCARQIWGQGL--------------------WLLTFYDYWG-QGTLVTVSS</t>
  </si>
  <si>
    <t>DIQ-MTQSPSSLSASVGDRVTITCRASQSV-----------SSAVA-WYQQ-K-P-G-K--A-PK-LLIYSA----------------SDL--Y--S--GV--P---SRFSGSR-------S--GT----D-FTLTISSLQP-EDFATYYCQQYKY----------------------------VPVTFG-QGTKVEIK-</t>
  </si>
  <si>
    <t>QVQ-LQESGP-GLVKPSQTLSLTCTVSGGSI---------SSYYWS-WIRQ-P-P-G-K--G-LE-WIGYIYYS------------GNTNY--N--P--SL--K---SRVTISV-D---T-S--KN----Q-FSLKL---TA-ADTAVYYCARAAS----------------------------NDASWG-QGTLVTVSS</t>
  </si>
  <si>
    <t>DIQ-MTQSPSSLSASVGDRVTITCRASQGI-----------SNYLN-WYQQ-K-P-G-K--A-PK-LLIYAA----------------STL--Q--S--GV--P---SRFSGSG-------S--GT----D-FTLTISSLQP-EDFATYYCQQSYS----------------------------TPRTFG-QGTKVEIK-</t>
  </si>
  <si>
    <t>QVQ-LKQSGP-GLVKPSETLSVTCSVSGDSM---------NNYYWT-WIRQ-S-P-G-K--G-LE-WIGYISDR------------ESATY--N--P--SL--N---SRVSISR-D---T-S--KN----Q-LSLKLSSVTV-ADTAVYFCARARIDP------------------------DNWFDPWG-QGTLVTV--</t>
  </si>
  <si>
    <t>NIV-MTQSPKSMSMSVGERVTLSCKASENV-----------GTYVS-WYQQ-K-P-E-Q--S-PK-LLIYGA----------------SNR--Y--T--GV--P---DRFTGSG-------S--AT----D-FTLTIGSVQA-EDLAVYYCQQYYS----------------------------SPLTFG-AGTKLELK-</t>
  </si>
  <si>
    <t>EVQ-LVESGG-GLVQPGGSLRLSCAASGFNV---------SYYSIH-WVRQ-A-P-G-K--G-LE-WVASISSY-----------YGSTYY--A--D--SV--K---GRFTISA-D---T-S--KN----T-AYLQMNSLRA-EDTAVYYCARSRQFW------------------------YSGLDYWG-QGTLVTVSS</t>
  </si>
  <si>
    <t>QVQ-LQQWGA-GLLKPSETLSLTCAVYGESF---------SGYYWS-WIRQ-S-P-G-K--G-LE-WIGEINHS------------GSTNY--N--P--SL--K---SRVTLSV-D---T-S--KN----Q-FSLKL---TA-ADTAVYYCAREVG----------------------------GDPWLG-QVAVLTVSS</t>
  </si>
  <si>
    <t>EIV-LTQSPATLSLSPGERATLSCRASQSV-----------GSYLA-WFQQ-K-P-G-Q--A-PR-LLIYDA----------------SNR--A--T--GI--P---ARFSGSG-------S--GT----D-FTLTISSLEP-EDFAVYYCQQRSN----------------------------WGLTFG-GGTKVEIK-</t>
  </si>
  <si>
    <t>EVQ-LVESGG-GLVQPGGSLRLSCAASGFNV---------SYYSIH-WVRQ-A-P-G-K--G-LE-WVAYIYSY------------GYTSY--A--D--SV--K---GRFTISA-D---T-S--KN----T-AYLQMNSLRA-EDTAVYYCARYYV---------------------------GGFAYWG-QGTLVTVSS</t>
  </si>
  <si>
    <t>EVQ-LQQSGP-ELVKPGASVKISCKASGYSF---------TDYNMH-WVKQ-S-H-G-K--S-LE-WIGYIYN-------------GYTTY--N--Q--KF--K---GKATLTV-D---K-S--SS----T-AYMQLNSLTS-EDSAVYYCARQGDY--------------------------YYYDVWG-KGTTVTVSS</t>
  </si>
  <si>
    <t>-IV-LTQSPASLAVSLGQRATITCQASQSI-----------SNYLS-WFQQ-K-P-G-Q--P-PK-LLIYLA----------------SNL--E--S--GV--P---ARFSGSG-------S--RT----D-FTLTIDPVEA-DDAATYYCQQNNE----------------------------DPWTFG-GGTKLEIK-</t>
  </si>
  <si>
    <t>EVQ-LVQSGA-EVKKPGASVKVSCKASGYTF---------TGYYMH-WVRQ-A-P-G-Q--G-LE-WMGWINPN-----------SGGTNY--A--Q--KF--Q---GRVTMTR-D---T-S--IS----T-AYMELSRLTF-EDSAVYYCASTGA---------------------------GGFHYWG-QGTLVTVSS</t>
  </si>
  <si>
    <t>DIQ-MTQSPSSLSASVGDRVTITCQASQDI-----------SNYLN-WYQQ-K-P-G-K--A-PK-LLIYDA----------------SNL--E--T--GV--P---SRFSGGG-------S--GT----D-FTFTITSLQP-EDIATYYCQQYDN----------------------------LPFTFG-PGTKVDIK-</t>
  </si>
  <si>
    <t>QVQ-LVQSGA-EVKKPGASVKVSCKASGYTF---------TSYDIN-WVRQ-A-P-G-Q--G-LE-WMGWIKLGY----------KPHKAY--A--Q--GH-------RLTITA-D---E-S--TS----T-AYMELSSLRS-EDTAVYYCVRPGTN--------------------------YLWDYWG-QGTLVTVSS</t>
  </si>
  <si>
    <t>DIQ-MTQSPSSLSASVGDRVTITCRASQTI-----------GTSLA-WYQQ-K-P-G-K--A-PK-LLIYGT----------------STL--Q--T--GV--S---SRFSGSG-------S--GT----D-FTLTISSLQP-EDFATYYCQQYNS----------------------------YPLTFG-QGTKVDIK-</t>
  </si>
  <si>
    <t>EVQ-LVESGG-GLVQPGGSLRLSCAASGFNV---------SYYSIH-WVRQ-A-P-G-K--G-LE-WVASISSY-----------YGYTYY--A--D--SV--K---GRFTISA-D---T-S--KN----T-AYLQMNSLRA-EDTAVYYCARSRQF--------------------------WYFDYWG-QGTLVTVSS</t>
  </si>
  <si>
    <t>-IQ-MTQSPSSLSASVGDRVTITCRASQSV-----------SSAVA-WYQQ-K-P-G-K--A-PK-LLIYSA----------------SSL--Y--S--GV--P---SRFSGSR-------S--GT----D-FTLTISSLQP-EDFATYYCQQYLY---------------------------YSLVTFG-QGTKVEIK-</t>
  </si>
  <si>
    <t>EVQ-LQQSGP-ELVKPGASVKISCKASGYSF---------TDHYMN-WVKQ-S-H-G-K--S-LE-WIGVINGS------------GNTNY--N--Q--KF--K---GKATLTV-D---K-S--SS----T-AYMQLNSLTS-EDSAVYYCARSGYYGSG-------------------SYYTGYFDYWG-QGTTLTVSS</t>
  </si>
  <si>
    <t>DIV-MTQTPKFMSTSVGDRVSITCKASQSVD----------VDYVS-WYQQ-K-P-G-Q--S-PK-LLIYDA----------------SNL--A--S--GV--P---DRFSGSG-------S--GT----D-FTLKISRVEA-EDVGVYYCMQQLH---------------------------EYPFTFG-PGTKVDIK-</t>
  </si>
  <si>
    <t>QVQ-LQESGP-GLVKPSETLSLTCTVSGDSR---------NDYYWS-WIRQ-S-P-G-K--G-LE-WIGYIYY-------------GSTSY--N--P--SL--K---SRLSISV-D---R-S--KN----Q-FSLKLNSVTA-ADTAVYYCARAN-----------------------------WYGP------------</t>
  </si>
  <si>
    <t>DIQ-MTQSPSSLSASVGDRVTITCRASQSI-----------SNWLA-WYQQ-K-P-G-K--A-PK-LLIYDA----------------SNL--E--T--GV--P---SRFSGSG-------S--GT----D-FTFTISSLQP-EDIATYYCQQYNN----------------------------YPLTFG-QGTKVEIK-</t>
  </si>
  <si>
    <t>EVQ-LQQSGA-ELVKPGASVKISCKTSGYTF---------TEYWIE-WVKQ-R-P-G-H--G-LE-WIGEILPG-----------SGSTNY--N--E--KF--K---GKATFTA-D---T-S--SN----T-AYMQLSSLTS-EDSAVYYCARYYYG-------------------------SGYFDYWG-QGTTLTVSS</t>
  </si>
  <si>
    <t>DIV-LTQSPASLAVSLGQRATISCRASESVDS-------YGNSFMH-WYQQ-K-P-G-Q--P-PK-LLIYAA----------------SNV--E--S--GV--P---ARFSGSG-------S--GT----D-FSLTISN-RE-EDVATYFCQQSKY----------------------------EPYTFG-GGTKLEIK-</t>
  </si>
  <si>
    <t>QVQ-LKQSGP-GLVKPSETLSLTCAVSGGSI---------SGYYWN-WIRQ-S-P-G-K--G-LE-WIGYIYSG------------KTSNY--N--P--SL--K---SRVTISV-D---T-S--KN----Q-FSLKL---TA-ADTAVYYCARVAGG-------------------------SGAGDQWG-QGTLVTVSS</t>
  </si>
  <si>
    <t>QSV-LTQPPS-ASGTPGQRVTISCSGSSSNI---------GSNYVY-WYQQ-L-P-G-T--A-PK-LLIYRN----------------NQR--P--S--GV--P---DRFSGSK-------S--GT----S-ASLAISGLQS-EDEADYYCAAWDD----------------------------SLNGFG-SGTALTVL-</t>
  </si>
  <si>
    <t>EVQ-LVESGG-GLVQPGGSLRLSCAASGFNV---------YSSSIH-WVRQ-A-P-G-K--G-LE-WVASISSY-----------YGYTYY--A--D--SV--K---GRFTISA-D---T-S--KN----T-AYLQMNSLRA-EDTAVYYCARGWSY--------------------------SQGVHWG-QGTLVTVSS</t>
  </si>
  <si>
    <t>QVQ-LVQSGA-EVKKPGASVKVSCKASGYTF---------TGYYMH-WVRQ-A-P-G-Q--G-LE-WMGWINNS------------GGTSY--A--Q--KF--Q---GRVTMTR-D---T-S--IS----T-AYMEL---RS-DDTAVYYCARGGS----------------------------GYNYWG-QGTLVTVSS</t>
  </si>
  <si>
    <t>DIQ-MTQSPSSLSASVGDRVTITCRASQDI-----------SNYLN-WYQQ-K-P-G-K--A-PK-LLIYAA----------------SSL--Q--S--GV--P---SRFSGSG-------S--GT----D-FTLTISSLQP-EDFATYYCQQSYS----------------------------TPYTFG-QGTKVEIK-</t>
  </si>
  <si>
    <t>QVQ-LVQSGA-EVKKPGASVKVSCKASGYTF---------TDYYIH-WVRQ-A-P-G-Q--G-LE-WMGWISYN------------GNTNY--A--Q--KF--Q---GRVTMTR-D---T-S--IT----T-AYMELSRLRS-DDTAVYYCARGNYAI------------------------TYYFDYWG-QGTLVTVSS</t>
  </si>
  <si>
    <t>DIQ-MTQSPSSLSASVGDRVTITCRASQSI-----------SSYLN-WFQQ-K-P-G-K--A-PK-LLIYAA----------------SNL--Q--S--GV--P---SRFSGSG-------S--GT----D-FTLTISSLQP-EDFATYYCQQSYS----------------------------TPYTFG-QGTKLEIK-</t>
  </si>
  <si>
    <t>EVQ-LVESGG-GVVQPGGSLRLSCAASGFTF---------STYDMH-WVRQ-T-T-G-K--G-LE-WVSTIGTA------------GDTYY--P--D--SV--K---GRFTISR-E---N-A--KN----S-LYLQMNSLRA-GDTAVYYCARTGT---------------------------MVFDYWG-QGTTVTVSS</t>
  </si>
  <si>
    <t>DIQ-MTQSPSSLSASVGDRVTITCRASQSV-----------SSAVA-WYQQ-K-P-G-K--A-PK-LLIYSA----------------SSL--Y--S--GV--P---SRFSGSR-------S--GT----D-FTLTISSLQP-EDFATYYCQQSYI----------------------------PLYTFG-QGTKVEIK-</t>
  </si>
  <si>
    <t>QVQ-LVESGG-GVVPPGRSLRLSCATSGFTF---------SNYGMH-WVRQ-A-P-G-K--G-LE-WVAVISDG------------GNKYY--A--D--SV--K---GRFTISR-D---N-S--KN----T-LYLQM---RA-EDTAVYYCAKDRYG--------------------------SYPNYWG-QGTLVTVSS</t>
  </si>
  <si>
    <t>-VQ-LQQSGA-ELVKPGASVKLSCTASGFNI---------KDTYMY-WVKQ-R-P-E-Q--G-LE-WIGRIDPA-----------NGDTKY--D--P--KF--Q---GKATITT-D---T-F--SN----T-AYLQLSSLTS-EDTAVYYCARKGLR--------------------------WAMDYWG-QGTSVTVSS</t>
  </si>
  <si>
    <t>NIV-MTQSPKSMSMSVGERVTLSCKASEYV-----------GTYVS-WYQQ-K-P-E-Q--S-PK-LLIYGA----------------SNR--Y--T--GV--P---DRFTGSG-------S--AT----D-FTLTIGSVQA-EDLADYHCGQSY-----------------------------SYPTFG-AGTKLEL--</t>
  </si>
  <si>
    <t>EVQ-LVESGG-GVVQPGGSLRLSCAASGFTF---------SSYGMH-WVRQ-A-P-G-K--G-LE-WVAYIYD-------------GRNYY--A--D--SV--K---GRFTISR-D---N-S--KN----T-LYLQMNSLRA-EDTAVYYCARAPWEGSG-------------------YYYHDSFDIWG-QGTMVTVSS</t>
  </si>
  <si>
    <t>DIV-MTQSPLSLPVTPGEPASISCRSSQSLLHS------NGYNYLD-WYLQ-K-P-G-Q--S-PQ-LLIYLG----------------SNR--A--S--GV--P---DRFSGSG-------S--GT----D-FTLKISRVEA-EDVGVYYCMQALQ----------------------------TPRTFG-QGTKVEIK-</t>
  </si>
  <si>
    <t>EVQ-LVQSGA-EVKKPGASVKVSCKASGYTF---------TSYAMH-WVRQ-A-P-G-Q--R-LE-WMGWINGN-----------GGTTYY--N--Q--KF--K---GQITMTR-D---T-S--SN----T-AYMQLT---S-EDSAVYYCARPPY---------------------------YDGDYWG-QGTLVTVSS</t>
  </si>
  <si>
    <t>QSV-LTQPPS-VSAAPGQKVTISCSGSSSNI---------GNNYVS-WYQQ-L-P-G-T--A-PK-LLIYDN----------------NKR--P--S--GI--P---DRFSGSK-------S--GT----S-ATLGITGLQT-GDEANYYCGTWDE----------------------------GTMVFG-GGTKLTVL-</t>
  </si>
  <si>
    <t>QVQ-LQQSGA-ELVRPGASVKLSCKASGYTF---------THYWMH-WVKQ-R-P-G-Q--G-LE-WIGWIGGT------------SNYNG--N--T--KF--K---GKATLIS-------S--AS----T-AFLQMTSLTA-ADTAVYYCARSRGYYG---------------------SGITGFDLWG-RGTLVIVSS</t>
  </si>
  <si>
    <t>DIQ-MTQSPSSLSASVGDRVTITCRASQDI-----------SNYLN-WYQQ-K-P-D-G--T-VK-LLIYYT----------------STL--H--S--GV--P---SRFSGSG-------S--GT----D-YSLTISNLEP-EDIATYFCQQGNT----------------------------LPYTFG-GGTKLEIK-</t>
  </si>
  <si>
    <t>QVQ-LQESGP-GLVAPSQSLSITCTVSGFSL---------TNYAVH-WVRQ-P-P-G-K--G-LE-WLGMIWAG------------GNTDY--N--S--AL--K---SRLSISK-D---N-S--KS----Q-VFLKMNSLQT-DDTARYYCARERD----------------------------YFDYWG-QGTTLTVSS</t>
  </si>
  <si>
    <t>DIV-MTQSPSSLSASVGDRVTIICQSSQSI-----------GNNLP-WYQQ-K-P-G-K--A-PK-LLIYDA----------------SNL--E--S--GV--P---SRFSGSG-------S--GT----D-FTLTISSLQA-EDVAVYYCQQYYS----------------------------TPYTFG-PGTKVDIK-</t>
  </si>
  <si>
    <t>EVQ-LVESGG-GLIQPGGSLRLSCAASGFIV---------SSNYMS-WVRQ-A-P-G-K--G-LE-WVSVIYSG------------GSTYY--A--D--SV--K---GRFTISR-D---N-S--KN----T-LYLQMNSLRA-EDTAVYYCARDLQIV------------------------GYGMDVWG-QGTTVTVSS</t>
  </si>
  <si>
    <t>DIQ-MTQSPSSLSASVGDRVTITCRASQDV-----------NTAVA-WYQQ-R-T-N-G--S-PR-LLIYSA----------------SFL--Y--S--GV--P---SRFSGSR-------S--GT----D-FTLTISSLQP-EDFATYYCQQSST----------------------------FPLTFG-GGTKVEIK-</t>
  </si>
  <si>
    <t>QVQ-LQQSGA-ELVKPGASVKISCKASGYTF---------SSYWMQ-WVKQ-R-P-G-Q--G-LE-WIGEINPS------------STSYQ--N--Q--KF--Q---GRATITV-D---T-S--AS----T-AYMEL---RS-EDTAVYYCASSTGY--------------------------YGMDVWG-KGTTVTVS-</t>
  </si>
  <si>
    <t>DIQ-MTQSPSTLSASVGDRVTITCRASQNI-----------SRYLN-WYQQ-K-P-G-K--A-PK-LLIYRA----------------SNL--E--S--GV--P---SRFSGSG-------S--GT----E-FTLTISSLQP-DDFATYYCQQYNN---------------------------YSTPTFG-QGTKVEIK-</t>
  </si>
  <si>
    <t>QVQ-LQQPGA-ELVKPGASVKLSCKASGYTF---------TSDWIH-WVKQ-R-P-G-H--G-LE-WIGEIIPS-----------YGRANY--N--E--KI--Q---KKATLTA-D---K-S--SS----T-AFMQLSSLTS-EDSAVYYCARERGD--------------------------GYFAVWG-AGTTVTVSS</t>
  </si>
  <si>
    <t>DIV-LTQSPASLAVSLGQRATISCRASESVDN-------YGISFMN-WFQQ-K-P-G-Q--P-PK-LLIYAA----------------SNL--D--S--GV--P---DRFSGSG-------S--GT----D-FTLNIHPVEE-EDAATYYCQQSNE----------------------------DPYTFG-GGTKLEIK-</t>
  </si>
  <si>
    <t>DIQ-MTQSPSSLSASVGDRVTITCRASQGI-----------SSYLA-WYQQ-K-P-G-K--A-PK-LLIYAA----------------STL--Q--S--GV--P---SRFSGSG-------S--GT----D-FTLTISSLQP-EDFATYYCQQS-------------------------------YLTFG-PGTKVDIR-</t>
  </si>
  <si>
    <t>EVQ-LQQSGP-ELVKPGASVKMSCKASGYTF---------SSYFIS-WVRQ-A-P-G-Q--G-LE-WMGWISYS-----------GGNTNY--A--Q--KF--Q---GRVTMTR-D---T-S--TS----T-VYMELSSLRS-EDTAVYYCARGWGGGQ---------------------YDYDAFDIWG-QGTLVTVSS</t>
  </si>
  <si>
    <t>DIV-LTQSPASLAVSLGQRATISCKASQSVD---------KDSYMN-WYQQ-K-P-G-Q--P-PK-LLIYAA----------------SNL--E--S--GI--P---ARFSGSG-------S--GT----D-FTLNIHPVEE-EDAATYYCQQSNE----------------------------DPWTFG-GGTKVEIK-</t>
  </si>
  <si>
    <t>lv3</t>
  </si>
  <si>
    <t>EVQ-LVQSGA-EVKKPGSSVKVSCKASGGTF---------SSYTIS-WVRQ-A-P-G-Q--G-LE-WMGGIIPI-----------FGTVAY--A--Q--KF--Q---GRVTITA-D---K-S--TS----T-AYMELSSLKS-EDTAVYYCARGVGNY-----------------------FNSGMDVWG-QGTTVTVSS</t>
  </si>
  <si>
    <t>-SV-LTQPPS-ASGTPGQRVTISCSGSSSNI---------GSNTVN-WYQQ-L-P-G-T--A-PK-LLIYSN----------------NQR--P--S--GV--P---DRFSGSK-------S--GT----S-ASLAISGLRS-EDEADYYCAAWDDSLS----------------------GPGTKVDFG-PGTKVT---</t>
  </si>
  <si>
    <t>-VQ-LVQSGA-EVKKPGSSVKVSCKASGGTF---------SSYAIS-WVRQ-A-P-G-Q--G-LE-WMGGIIIF------------GTSTY--A--Q--KF--Q---GRVTITA-D---E-S--TS----T-AYMELSSLRS-EDTAVYYCARGSGRYY----------------------YHNSFDNWG-QGTLVTVS-</t>
  </si>
  <si>
    <t>-IV-LTQSPASLAVSLGQRATISCKASQSVS---------TYDSMH-WYQQ-K-P-G-Q--P-PK-LLIYAA----------------SNL--E--S--GI--P---ARFSGSG-------S--GT----D-FTLNIHPVEE-EDAATYYCQQNNE----------------------------DPYTFG-SGTKLEIK-</t>
  </si>
  <si>
    <t>QVQ-LQQSGP-ELVKPGASVKVSCKASGYTF---------TSYNMH-WVKQ-S-H-G-K--S-LE-WIGYIDPN-----------NGGTSY--N--Q--KF--K---GKATLTV-D---K-S--SS----T-AYMELRSLTS-EDSAVYYCAREMD---------------------------WGGFYWG-QGTLVTVSA</t>
  </si>
  <si>
    <t>DIV-MTQSPDSLAVSLGERATINCKSSQSVLYS-----SNNKNYLA-WYQQ-K-P-G-Q--P-PN-LLIYWA----------------STR--E--S--GV--P---DRFSGSG-------S--GT----D-FTLTISSLQA-EDVAVYYCQQYYS----------------------------TPLTFG-GGTKVEIK-</t>
  </si>
  <si>
    <t>EVQ-LVESGG-GLIQPGGSLRLSCAASGFIV---------SRNYMS-WVRQ-A-P-G-K--G-LE-WVSSISRG------------HSTYY--A--D--SV--K---GRFTISR-D---N-S--KN----T-LYLQM---RA-EDTAVYYCARGYDGY------------------------GYAMDYWG-QGTSVTVSS</t>
  </si>
  <si>
    <t>DVV-MTQTPLSLPVSLGDQASISCRSSQSLVHS------NGNTYLH-WYLQ-K-P-G-Q--S-PK-LLIYKV----------------SNR--F--S--GV--P---DRFSGSG-------S--GT----D-FTLKISRVEA-EDLGVYFCSQSTH----------------------------VPFTFG-AGTKLELK-</t>
  </si>
  <si>
    <t>EVQ-LVESGG-GLVKPGGSLKLSCAASGFAF---------SGYDMS-WIRQ-A-P-G-K--G-LE-WVSYISSG------------STIYY--A--D--SV--K---GRFTISR-D---N-A--KN----S-LYLQMNSLRP-EDTAVYYCARMGY----------------------------YFDYWG-QGTLVTVSS</t>
  </si>
  <si>
    <t>DIQ-MTQSPSSLSASVGDRVTITCRASQSV-----------SSAVA-WYQQ-K-P-G-K--A-PK-LLIYSA----------------SSL--Y--S--GV--P---SRFSGSR-------S--GT----D-FTLTISSLQP-EDFATYYCQQDYT----------------------------YPLTFG-QGTKVEIK-</t>
  </si>
  <si>
    <t>EVQ-LLESGG-GLVKPGGSLRLSCAASGFTF---------SSYSMN-WVRQ-A-P-G-K--G-LE-WVSSISSS-----------SSYIYY--A--D--SV--K---GRFTISR-D---N-A--KN----S-LYLQMNSLRA-EDTAVYYCARRGY---------------------------YGSGYWG-QGTLVTVSS</t>
  </si>
  <si>
    <t>DIQ-MTQSPSSLSASVGDRVTITCQASQDI-----------SNYLN-WYQQ-K-P-G-K--A-PK-LLIYDA----------------SNL--E--T--GV--P---SRFSGSG-------S--GT----D-FTFTISSLQP-EDIATYYCQQYDN----------------------------LPLTFG-GGTKVEIK-</t>
  </si>
  <si>
    <t>QSV-LTQPPS-VSGAPGQRVTISCTGSSGA-----------GYDVH-WYQQ-L-P-G-T--A-PK-LLIYRN----------------NNR--P--S--GV--P---DRFSGSK-------S--GT----S-ASLAITGLQA-EDEADYYCQSYDS----------------------------SLYVFG-TGTKVTVL-</t>
  </si>
  <si>
    <t>EVQ-LVESGG-GLVQPGGSLRLSCAASGFTF---------SSYAMS-WVRQ-A-P-G-K--G-LE-WVSSISNT------------GSIGY--A--D--SV--K---GRFTISR-D---N-A--KN----S-LYLQMNSLRA-EDTALYYCAKDFDG-------------------------YEYGFYWG-QGTLVTVSS</t>
  </si>
  <si>
    <t>EIV-MTQSPLSLPVSLGDQASISCRSSQSLVHS------NGNTYLH-WYLQ-K-P-G-Q--S-PK-LLIYKV----------------SNR--F--S--GV--P---DRFSGSG-------S--GT----D-FTLKISRVEA-EDLGVYFCSQSTH----------------------------VPYTFG-GGTKLEIK-</t>
  </si>
  <si>
    <t>EVQ-LVESGG-GLVKPGGSLRLSCAASGFTF---------SSYSMN-WVRQ-A-P-G-K--G-LE-WVSSISSS-----------SSYIYY--A--D--SV--K---GRFTISR-D---N-A--KN----S-LYLQMNSLRA-EDTAVYYCARAFD----------------------------SSVYWG-QGTLVTVSS</t>
  </si>
  <si>
    <t>DIQ-MTQSPSSLSASVGDRVTITCRASQDI-----------SNWLA-WYQQ-K-P-G-K--A-PK-LLIYAA----------------SSL--Q--S--GV--P---SRFSGSG-------S--GT----D-FTLTISSLQP-EDFATYYCQQSYS----------------------------TPRTFG-QGTKVEIK-</t>
  </si>
  <si>
    <t>EVQ-LVESGG-GLVQPGGSLRLSCAASGFNF---------SSSSIH-WVRQ-A-P-G-K--G-LE-WVASISPS-----------YGYTSY--A--D--SV--K---GRFTISA-D---T-S--KN----T-AYLQMNSLRA-EDTAVYYCARGGGSSYSG------------------SYRYYGMDVWG-QGTTVTVSS</t>
  </si>
  <si>
    <t>DIQ-MTQSPSSLSASVGDRVTITCRASQSV-----------SSAVA-WYQQ-K-P-G-K--A-PK-LLIYSA----------------SSL--Y--S--GV--P---SRFSGSR-------S--GT----D-FTLTISSLQP-EDFATYYCQQSSS----------------------------SLFTFG-PGTKVDIK-</t>
  </si>
  <si>
    <t>EVQ-LVESGA-EVKKPGESLKISCKGSGYGF---------ITYWIG-WVRQ-M-P-G-K--G-LE-WMGIIIYS-----------GITNYG--S--P--SF--Q---GQVTISA-D---K-S--IS----T-AYLQWSSLKA-SDTAMYYCARLQVYD------------------------GYGMDVWG-QGTTVTVSS</t>
  </si>
  <si>
    <t>DIQ-MTQSPSSLSASVGDRVTITCRASQGI-----------SNYLA-WYQQ-K-P-G-K--A-PK-LLIYAA----------------STL--Q--S--GV--P---SRFSGSG-------S--GT----D-FTLTISSLQP-EDFATYYCQQSR-----------------------------TPLTFG-GGTKVEIK-</t>
  </si>
  <si>
    <t>QVQ-LVQSGA-EVKKPGSSVKVSCKASGGTF---------SSYGIS-WVRQ-A-P-G-Q--G-LE-WMGGIIIF------------GTANY--A--Q--KF--Q---GRVTITA-D---K-S--TS----T-AYMEL---RS-EDTAVYYCARAGDYDG----------------------QYYGMDYWG-QGTTVTVSS</t>
  </si>
  <si>
    <t>DIV-MSQSPSSLAVSAGEKVTMSCKSSQSLLNS-----RTRKNYLA-WYQQ-K-P-G-Q--S-PK-LLIYWA----------------STR--E--S--GV--P---DRFTGSG-------S--GT----D-FTLTISSVQA-EDLAVYYCQQYYS----------------------------YPLTFG-AGTKLELK-</t>
  </si>
  <si>
    <t>DIV-MTQSPDSLAVSLGERATINCKSSQSVLYS-----SNNKNYLA-WYQQ-K-P-G-Q--P-PK-LLIYWA----------------STR--E--S--GV--P---DRFSGSG-------S--GT----D-FTLTISSLQA-EDVAVYYCQQYYS----------------------------TPRTFG-QGTKVEIK-</t>
  </si>
  <si>
    <t>EVQ-LVESGG-GLVKPGGSLKLSCAASGFTF---------SSYGMS-WVRQ-T-P-D-K--R-LE-WVATISGG------------GSIYY--S--D--SV--K---GRFTISR-D---N-A--KN----S-LYLQM---RA-EDTAVYYCVIS-------------------------------GDYWG-QGTLVTVSS</t>
  </si>
  <si>
    <t>DIV-MTQSPSSLSASVGDRVTITCRASQSI-----------GSWLA-WYQQ-K-P-G-K--A-PK-LLIYAV----------------STL--Q--S--GV--P---SRFSGSG-------S--GT----D-FTLTISSLQP-EDFATYYCQQTYS----------------------------TPRTFG-QGTKVEIK-</t>
  </si>
  <si>
    <t>EVQ-LVESGG-GLVQPGGSLRLSCAASGFTF---------SSYAMS-WVRQ-A-P-G-K--G-LE-WVSAVSSS------------GISYY--S--Q--G---K---GRFTIS--D---T-S--TS----T-VYMELSSLRS-EDTAMYYCARRGRQA-----------------------YYQSYVQWG-QGTLVTVSS</t>
  </si>
  <si>
    <t>DIQ-MTQSPSSLSASVGDRVTITCRASQGI-----------SNYLA-WYQQ-K-P-G-K--V-PK-LLIYAA----------------STL--Q--S--GV--P---SRFSGSG-------S--GT----D-FTLTISSLQP-EDFATYYCQQSYN----------------------------NPPTFG-QGTKVEIK-</t>
  </si>
  <si>
    <t>QVQ-LQESGP-GLVKPSQTLSLTCTVSGGSVS-------SGGYFWS-WIRQ-S-P-G-K--G-LE-WIGCIYYS------------GSTNY--N--P--SL--K---SRVTISV-D---T-S--KN----Q-FSLKLSSVTA-ADTAVYYCARQSI----------------------------YGDVWG-RGTTVTVSS</t>
  </si>
  <si>
    <t>DIV-MTQSPKSMSMSVGERVTLSCKASENV-----------GTYVS-WYQQ-K-P-G-K--S-PK-PLIYAA----------------SNL--A--S--GV--P---DRFTGSG-------S--GT----D-FTLTISSVQA-EDLALYYCQQHYT----------------------------YPRTFG-GGTKLEIK-</t>
  </si>
  <si>
    <t>EVQ-LVESGG-GLVKPGGSLKLSCAASGFAF---------SSYDMS-WVRQ-T-P-E-K--R-LE-WVAYISSG-----------GGTYYY--P--D--TV--R---GRFTISA-D---T-S--KN----T-LYLQMSSLKS-EDTAMYYCARYGLD--------------------------GYYDYWG-QGTLVTVSA</t>
  </si>
  <si>
    <t>DIQ-MTQSPSSLSASVGDRVTITCRASQSV-----------SSAVA-WYQQ-K-P-G-K--A-PK-LLIYSA----------------SSL--Y--S--GV--P---SRFSGSR-------S--GT----D-FTLTISSLQP-EDFATYYCQQSYS----------------------------TPYTFG-QGTKVEIK-</t>
  </si>
  <si>
    <t>QVQ-LQESGP-GLVKPSQSLSLTCTVSGFSL---------TSYDFA-WIRQ-H-P-G-K--G-LE-WIGYIYSG-----------SDTTYY--N--P--SL--K---SRVTISV-D---T-S--KN----Q-FSLKMTSLTA-ADTAVYYCARGYY---------------------------PYFDFWG-QGTLVTVSS</t>
  </si>
  <si>
    <t>DIQ-MTQSPSSLSASVGDRVTITCQASQDI-----------NKYLN-WYQQ-K-P-G-K--A-PK-LLIYDA----------------SNL--E--T--GV--P---SRFSGSG-------S--GT----D-FTFTISSLQP-EDVATYYCQQGDS----------------------------FPPTFG-PGTKVEIK-</t>
  </si>
  <si>
    <t>EVQ-LQQSGP-ELVRPGASMKISCKASGYSF---------TGYTMN-WVQA-----T-R--G-LE-WIGWIGGF-----------DTSTNY--N--Q--KF--K---GKVTLTA-D---K-S--SS----T-AYMV---LTS-DDSAVYFCARDG------------------------------FDYWG-QGTLVTVSS</t>
  </si>
  <si>
    <t>DIV-LTQSPASLAVSLGQRATISCKASQSVDN-------NGKTYLN-WYQQ-K-P-G-Q--P-PK-LLIYAA----------------SNL--E--S--GI--P---ARFSGSG-------S--GT----D-FTLNIHPVEE-EDAATYYCQQSNE----------------------------DPYTFG-GGTKLEIK-</t>
  </si>
  <si>
    <t>EVQ-LVESGG-GLVQPGGSLRLSCAASGFTF---------SDYYMT-WVRQ-A-P-G-K--G-LE-WVSSISSS-----------SSYIYY--A--D--SV--K---GRFTISR-D---N-A--KN----S-LYLQMNSLRA-EDTAVYYCARWWW---------------------------GYSDVWG-QGTTVTVSS</t>
  </si>
  <si>
    <t>NIV-MTQSPATLSVSPGERATLSCRASQSV-----------SSNLA-WYQQ-K-P-G-Q--A-PR-LLIYGA----------------STR--A--T--GI--P---ARFSGSG-------S--GT----E-FTLTISSLQS-EDFAVYYCQQYNN----------------------------WPYTFG-QGTKLEIK-</t>
  </si>
  <si>
    <t>EVQ-LVQSGA-EVKKPGSSVKVSCKASGGTF---------SSFGTA-WVRQ-A-P-G-Q--G-LE-WMGGIIPI-----------LGIANY--A--Q--KF--Q---GRVTITA-D---E-S--TS----T-AYMELSSLRS-EDTAVYYCARGPRHGGS--------------------GSYYFLLNWG-QGTLVAVSS</t>
  </si>
  <si>
    <t>EIV-MTQSPATLSVSPGERATLSCRASESV-----------SSDLA-WYQQ-K-P-G-Q--A-PR-LLIYGA----------------STR--A--T--GV--P---ARFSGSG-------S--GT----E-FTLTISSMQS-EDFAVYYCQQYNN----------------------------WPRTFG-QGTKLEIK-</t>
  </si>
  <si>
    <t>-VQ-LQQSGA-EVMKPGASVKISCKASGYTF---------TDYYMN-WVKQ-S-H-G-K--S-LE-WIGYIDPYY----------GNGYAY--N--G--KF--TT--GTRFLTM-K---S-S--ST----S-EYMELRGLSSLGEVAGYYTYDYY-----------------------------AMDYWG-QGTSVTV--</t>
  </si>
  <si>
    <t>DIQ-MTQSSSSLSASLGDRVTISCRASQDI-----------SNYLN-WYQQ-K-P-D-G--T-VK-LLIYYT----------------SSL--H--S--GV--P---SRFSGSG-------S--GT----D-YSLTISNLEP-EDIATYYCLQHNF----------------------------YLYTFG-PGGGVTV--</t>
  </si>
  <si>
    <t>QVQ-LVQSGA-EVKKPGSSVKVSCKASGGTFS--------NNYAIS-WVRQ-A-P-G-Q--G-LE-WMGRIIPY------------IYTSY-----Q--KF--Q---GRVTITA-D---E-----D----T-AYME------------YFCSKDTTI-------------------------TDTYDVWG-PGTLVTVSS</t>
  </si>
  <si>
    <t>DIQ-LTQSPSSLSASVGDTVTITCQASQPI-----------SSYLA-WYQQ-K-P-G-K--A-PK-LLIYVA---------------ASSL--Q--S--GV--P---SRFSGSG-------S--GT----D-FTLTISSLQP-EDFATYYCQHYN-----------------------------APITFG-QGTKVEIK-</t>
  </si>
  <si>
    <t>EVQ-LVESGG-GLVQPGGSLRLSCAASGYTV---------RRNYMS-WVRQ-A-P-G-K--G-LE-WVSSISSS------------GSTSY--A--D--SV--K---GRFTISA-D---T-S--KN----T-AYLQMNSLRA-EDTAVYYCARGGTSYGV--------------------SGYYAMDYWG-QGTLVTVSS</t>
  </si>
  <si>
    <t>DIQ-MTQSPSSLSASVGDRVTITCRASQSI-----------SSYLN-WYQQ-K-P-G-K--A-PK-LLIYAA----------------SSL--Q--S--GV--P---SRFSGSG-------S--GT----D-FTLTISSLQP-EDFATYYCQQSYS---------------------------TLALTFG-GGTKVEIK-</t>
  </si>
  <si>
    <t>EVQ-LVESGG-GLVQPGGSLRLSCAASGFTF---------SSYAMS-WVRQ-A-P-G-K--G-LE-WVSAISGS-----------GGSTYY--A--D--SV--K---GRFTISR-D---N-S--KN----T-LYLQMNSLRA-EDTAVYYCARRWYR-------------------------SLGLDVWG-QGTTVTVSS</t>
  </si>
  <si>
    <t>DIQ-MTQSPSSLSASVGDRVTITCRASQSI-----------SNYLN-WYQQ-K-P-G-K--A-PK-LLIYAA----------------SSL--Q--S--GV--P---SRFSGSR-------S--GT----D-FTLTISSLQP-EDFATYYCQQSSK----------------------------TPPTFG-QGTKVEIK-</t>
  </si>
  <si>
    <t>QVQ-LLESGG-GLVQPGGSLRLSCAASGFTF---------SSYAMS-WVRQ-A-P-G-K--G-LE-WVSAISGS-----------GGSTYY--A--D--SV--K---GRFTISR-D---N-S--KN----T-LYLQMNSLRA-EDTAVYYCVKDP-----------------------------VSSYWG-QGTLVTVSS</t>
  </si>
  <si>
    <t>DIQ-MTQSPSSLSASVGDRVTITCRASQDV-----------NTAVA-WYQQ-K-P-G-K--A-PK-LLIYSA----------------SFL--Y--S--GV--P---SRFSGSG-------S--GT----D-FTLTISSLQP-EDFATYYCQQSYS----------------------------TLITFG-QGTKVEIK-</t>
  </si>
  <si>
    <t>EVQ-LVQSGA-EVKKPGESLKISCKGSGYSF---------TSYWIH-WVRQ-M-P-G-K--G-LE-WMGIIYGD------------SDTSY--N--Q--KF--K---GRVTITA-D---K-S--TS----T-AYLELSSLRS-EDTAVYYCAREGGSGYY-------------------PNYNYWFDPWG-QGTLVTVSS</t>
  </si>
  <si>
    <t>EIV-LTQSPGTLSLSPGERATLSCRASQSVS----------SSYLA-WYQQ-K-P-G-Q--A-PR-LLIYGA----------------SSR--A--T--GI--P---DRFSGSG-------S--GT----D-FTLTISRLEP-EDFAVYYCQQYGR----------------------------SPWTFG-QGTKVEIK-</t>
  </si>
  <si>
    <t>EVQ-LVESGG-GLVQPGGSLRLSCAASGFTF---------SDYYMA-WPVQ-A-R-G-R----VT-WVSGINNN-----------GGSTYY--A--D--SV--K---GRFTISR-D---N-A--KN----T-LYLQM---RA-EDTAVYYCARHVRGL-----------------------WGGFVDFWG-QGTLVTVSS</t>
  </si>
  <si>
    <t>-IQ-MTQSPSSLSASVGDRVTITCRASQSV-----------SSAVA-WYQQ-K-P-G-K--A-PK-LLIYSA----------------SSL--Y--S--GV--P---SRFSGSR-------S--GT----D-FTLTISSLQP-EDFATYYCQQYKY----------------------------VPVTFG-QGTKVEIK-</t>
  </si>
  <si>
    <t>EVK-LVESGG-GLVQPGGSLRLSCAASGFIV---------RSNYMS-WVRQ-A-P-G-K--G-LE-WVSGVYSG------------GSTSY--A--D--SV--K---GRFTISA-D---T-S--KN----T-AYLQMNSLRA-EDTAVYYCARGGQH-------------------------WSFLLIWG-QGTLVTVSS</t>
  </si>
  <si>
    <t>DIQ-MTQSPASLSASVGETVTITCRASENI-----------YSYLA-WYQQ-K-Q-G-K--S-PQ-LLVYYT----------------TTL--A--D--GV--P---SRFSGSG-------S--GT----Q-YSLKINSLQP-EDFGSYYCQHFWS----------------------------TPYTFG-AGTKLELK-</t>
  </si>
  <si>
    <t>EVQ-LVQSGA-EVKKPGASVKVSCKASGYTF---------TSYAMH-WVRQ-A-P-G-Q--G-LE-WMGWINPN-----------SGGTNY--A--Q--KF--Q---GRVTMTR-D---T-S--TS----T-VYMELSSLRS-EDTAVYYCARGYF---------------------------VYFDVWG-QGTTVTVSS</t>
  </si>
  <si>
    <t>DIV-MTQSPATLSVSPGERATLSCRASESV-----------SSDLA-WYQQ-K-P-G-Q--A-PR-LLIYGA----------------STR--A--T--GV--P---ARFSGSG-------S--GA----E-FTLTISSLQS-EDFAVYYCQQYNN---------------------------WPPWTFG-QGTKVEIK-</t>
  </si>
  <si>
    <t>QLQ-LQESGP-GLLKPSETLSLTCTVSGGSIS--------SYYYWG-WIRQ-P-P-G-K--G-LE-WIGSVYHS------------GSTYY--N--P--SL--E---SRVIISVSD---A-S--KN----L--YLHMITRTT-EDTAVYYCARGLG---------------------------PDYDYWG-QGTLVVNS-</t>
  </si>
  <si>
    <t>NIV-MTQSPKSMSMSVGERVTLSCKASENV-----------GTYVS-WYQQ-K-P-E-Q--S-PK-LLIYGA----------------SNR--Y--T--GV--P---DRFTGSG-------S--AT----D-FTLTISSVQA-EDLADYHCGQSYS----------------------------YPFTFG-GGTKLEIK-</t>
  </si>
  <si>
    <t>-VQ-LQQSGA-ELVKPGASVKLSCTASGFNI---------KDTYMY-WVKQ-R-P-E-Q--G-LE-WIGRIDPA-----------NGDTKY--D--P--KF--Q---GKATITA-D---T-S--SN----T-AYLQLSSLTS-EDTAVYYCARGG------------------------------FDPWG-QGTLVTVSS</t>
  </si>
  <si>
    <t>DIV-LTQSPASLAVSLGQRATISCRASESVDS-------YGNSFMH-WYQQ-K-P-G-Q--P-PK-LLIYLA----------------SNL--E--S--GV--P---ARFSGSG-------S--RT----D-FTLTINPVEA-DDVATYYCQQSNE----------------------------DPRTFG-GGTKLEIK-</t>
  </si>
  <si>
    <t>QVQ-LVQSGA-EVKKPGASVKVSCKASGYRF---------TSYFIH-WVRQ-A-P-G-Q--G-LE-WMGWINIA-----------GGTDSYT-N--E--KF--K---GRVTMTR-D---T-S--TS----T-VYMELSS-RS-EDTAVYYCARDYS----------------------------SRDYWG-QGTLVTVSS</t>
  </si>
  <si>
    <t>DIQ-MTQSPSSLSASVGDRVTITCQASQDI-----------KTYLN-WYQQ-K-P-G-K--A-PK-VLIYDA----------------SSL--Q--S--GV--P---SRFSGSG-------S--GT----D-FTLTISSLQP-EDFATYYCQQGNT----------------------------LPLTFG-QGTRLEIK-</t>
  </si>
  <si>
    <t>QVQ-LQQSGP-ELVRPGASVKISCKASGYSF---------TSYWMH-WVKQ-R-P-G-Q--G-LE-WIGMIHPS-----------DSETRY--N--Q--KF--K---GKATLTV-D---K-S--ST----T-AYMQLSSLTS-EDSAVYYCARGGY---------------------------RDFDYWG-QGTTLTVSS</t>
  </si>
  <si>
    <t>DIV-LTQSPASLAVSLGQRATISCRASKSVS---------ASMYMN-WFQQ-K-P-G-Q--P-PK-LLISAT----------------SNQ--G--S--GV--P---ARFTGSG-------S--GT----D-FSLNIHPVEE-DDTAMYFCQQSKE----------------------------VPYTFG-GGTKLEIK-</t>
  </si>
  <si>
    <t>EVQ-LVQSGA-EVKKPGSSVKVSCKASGGTF---------SSYAIS-WVRQ-A-P-G-Q--G-LE-WMGGIIIF------------GTANY--A--Q--KF--Q---GRVTITA-D---E-S--TS----T-AYMELSSLRS-EDTAVYYCAREGPQ--------------------------GAMDYWG-QGTTVTVSS</t>
  </si>
  <si>
    <t>AIR-MTQSPSSLSASVGDRVTITCRASQSI-----------SSYLN-WYQQ-K-P-G-R--A-PK-LLIYDA----------------SSL--Q--S--GV--P---SRFSGSG-------S--GT----D-FTLTISSLQP-EDFAAYYCQQSYD----------------------------TPPTFG-QGTKVEIK-</t>
  </si>
  <si>
    <t>EVQ-LVESGG-GLVKPGGSLKLSCAASGFTF---------SSYAMS-WVRQ-T-P-E-K--R-LE-WVAYWGGG------------SYTYY--P--D--TV--K---GRFTISR-D---N-A--KN----T-LYLQMSSLKS-EDTAMYYCTRDQY----------------------------WGKLWG-RGTLVTVSA</t>
  </si>
  <si>
    <t>DIV-MSQSPSSLAVSVGEKVTMSCKSSQSL-----------LTYLA-WYQQ-K-P-G-Q--S-PK-LLIYWA----------------STR--E--S--GV--P---DRFTGSG-------S--GT----E-FTLTISSVKA-EDLAVYYCQQYYN----------------------------YPYTFG-GGTKLEIK-</t>
  </si>
  <si>
    <t>EVQ-LVESGG-GLVQPGGSLRLSCAASGFTF---------SSYAMS-WVRQ-A-P-G-K--G-LE-WVAYISYG-----------GGSTYY--A--D--SV--K---GRFTISR-D---N-A--KN----S-LYLQMNSLRA-EDTAVYYCARAPGV-------------------------YDSSPYWG-QGTLVTVSS</t>
  </si>
  <si>
    <t>DIQ-MTQSPSSLSASVGDRVTITCRASQSI-----------SSYLG-WYQQ-K-P-G-K--A-PK-LLIYAA----------------SSL--Q--S--GV--P---SRFSGSG-------S--GT----D-FTLTISSLQP-EDFATYYCQQSYS----------------------------TLWTFG-QGTKVEIK-</t>
  </si>
  <si>
    <t>EVQ-LVESGG-GLVQPGGSLRLSCAASGFNF---------YSSYIH-WVRQ-A-P-G-K--G-LE-WVAYIYSS------------YYTSY--A--D--SV--K---GRFTISA-D---T-S--KN----T-AYLQMNSLRA-EDTAVYYCARHYGRR-----------------------VGWSFDYWG-QGTLVTVSS</t>
  </si>
  <si>
    <t>DIQ-MTQSPSSLSASVGDRVTITCRASQDV-----------NTAVA-WYQQ-K-P-G-K--A-PK-LLIYSA----------------SSL--Q--S--GV--P---SRFSGSR-------S--GT----D-FTLTISSLQP-EDFATYYCQQSYS----------------------------TLWTFG-QGTKVEIK-</t>
  </si>
  <si>
    <t>EVQ-LVESGG-GLVQPGGSLRLSCAASGFTF---------SSYAMS-WVRQ-A-P-G-K--G-LE-WVSTYSG-------------GSTYY--A--D--SV--K---GRFTISR-D---N-S--KN----T-LYLQM---RA-EDTAVYYCARGWG---------------------------PRLDYWG-QGTLVTVSS</t>
  </si>
  <si>
    <t>DIQ-MTQSPSSLSASVGDRVTITCRASQSV-----------SSAVA-WYQQ-K-P-G-K--A-PK-LLIYSA----------------SSL--Y--S--GV--P---SRFSGSR-------S--GT----D-FTLTISSLQP-EDFATYYCQQYYV----------------------------YGLTFG-QGTKVEIK-</t>
  </si>
  <si>
    <t>QVQ-LQESGP-GLVKPSETLSLTCTVSGGSIS--------SGYYWS-WIRQ-P-P-G-K--G-LE-WIGYINNR------------RVTYY--N--P--SL--K---SRVTISK-D---T-S--KN----Q-FSLKLSSVTA-ADTARYYCARERV---------------------------SYFDYWG-QGTTLTVSS</t>
  </si>
  <si>
    <t>EIV-MTQSPATLSVSPGERATLSCRASQSV-----------SSDLA-WYQQ-K-P-G-Q--A-PR-LLIYDA----------------SNR--A--T--GI--P---ARFSGSG-------S--GT----D-FTLTISSLEP-EDFAVYYCQQRGT---------------------------PPRWTFG-QGTKVEIK-</t>
  </si>
  <si>
    <t>-VK-LVESGG-GLVKPGGSLKLSCAASGFTF---------SNYAMS-WVRQ-T-P-E-K--R-LE-WVATISGD------------GYTHY--P--D--SV--K---GRFTISR-DT--N-A--EN----T-LYLQMSSLRS-EDTAMYYCNRNGYSG------------------------DYAMDYWG-QGTSVTVSS</t>
  </si>
  <si>
    <t>DIV-MTQSPASLAVSLGQRATISCRASESVDS-------YGNSFLN-WFQQ-K-P-G-Q--P-PK-LLIYAA----------------SKL--E--S--GI--P---ARFSGSG-------S--RT----D-FTLTINPVEA-DDVATYYCQQSNE----------------------------DPYTFG-GGTKLEIK-</t>
  </si>
  <si>
    <t>QVQ-LVESGG-GVVQPGRSLRLSCAASGFTF---------SSYGMH-WVRQ-A-P-G-K--G-LE-WVAIIWDG------------SNKYY--A--D--SV--K---GRFTISR-D---N-S--KN----T-LYLQM---RA-EDTAVYYCARDL-----------------------------IYDVWG-QGTMVTVSS</t>
  </si>
  <si>
    <t>DIQ-MTQSPSTLSASVGDRVTITCRASQSI-----------SSWLA-WYQQ-K-P-G-K--A-PK-LLIYKA----------------SSL--E--S--GV--P---SRFSGSG-------S--GT----E-FTLTISSLQP-DDFATYYCQQYNN----------------------------YPLTFG-QGTKVEIK-</t>
  </si>
  <si>
    <t>QVQ-LQQSGP-GLVKPSETLSLTCSVSGASV---------SSYYWS-WIRQ-P-P-G-K--G-LE-WIGYIYYN------------GRTYY--N--P--SL--K---SRVTISV-D---T-S--KD----Q-FSLKL---TA-ADTAVYYCARGGT---------------------------SVDDYWG-RGTLVTVSS</t>
  </si>
  <si>
    <t>DIQ-MTQSPSSLSASVGDRVTITCRASQGI-----------SNYLN-WYQQ-K-P-G-K--A-PK-LLIYAA----------------STL--Q--S--GV--P---SRFSGSG-------S--GT----D-FTLTISSLQP-EDFATYYCQQANS----------------------------FPYTFG-QGTKVEIK-</t>
  </si>
  <si>
    <t>EIV-MTQSPATLSLSPGERATLSCRASQSV-----------SSYLA-WYQQ-K-P-G-Q--A-PR-LLIYDA----------------SNR--A--T--GI--P---ARFSGSG-------S--GT----D-FTLTISSLEP-EDFAVYYCQQRRN----------------------------WPLTFG-GGTKVEIK-</t>
  </si>
  <si>
    <t>QVQ-LQESGP-GLVKPSQSLSLTCTVTGFSIT--------SDYAWN-WIRQ-F-P-G-N--K-LE-WMGYISYS------------GTTYY--N--P--SL--K---SRISITR-D---T-S--KN----Q-FFLQL--LRA-EDTAIYYCANW-------------------------------GGVWG-QGTTVTVSS</t>
  </si>
  <si>
    <t>DIV-MTQSPASLAVSLGERATL-CKSSQSV-----------LNDFA-WYQQ-K-P-G-Q--S-PK-LLIYWA----------------STR--E--S--GV--P---DRFSGSG-------S--GT----D-FTLTISSLQA-EDVAVYYCQYYS-----------------------------TLYTFG-QGTKVEIK-</t>
  </si>
  <si>
    <t>EVQ-LVESGG-GLVQPGGSLRLSCAASGFNF---------SSSSIH-WVRQ-A-P-G-K--G-LE-WVASISPS-----------YGYTSY--A--D--SV--K---GRFTISA-D---T-S--KN----T-AYLQMNSLRA-EDTAVYYCARGSWNY-----------------------YSWWKDYWG-QGTLVTVSS</t>
  </si>
  <si>
    <t>EVQ-LVQSGA-EVKKPGASVKVSCKASGYTF---------TDYYMY-WVRQ-A-P-G-Q--G-LE-WMGRIIPI-----------LGIANY--A--Q--NF--R---GRVTITA-D---E-S--TS----T-AYMELSSLRS-EDTAVYYCAREWSS--------------------------NAMDYWG-QGTLVTVSS</t>
  </si>
  <si>
    <t>AIR-MTQSPSSLSASVGDRVTITCKASQNV-----------GTAVA-WYQQ-K-P-G-K--A-PK-LLIYSA----------------SYL--Y--S--GV--P---SRFSGSG-------S--GT----D-FTLTISSLQP-EDFATYYCQQSYS----------------------------TPYTFG-QGTKVEIK-</t>
  </si>
  <si>
    <t>EVQ-LVESGG-GLVQPGGSLRLSCAASGFNV---------VDFSLH-WVRQ-A-P-G-K--G-LE-WVASIYPY-----------SGSTSY--A--D--SV--K---GRFTISA-D---T-S--KN----T-AYLQMNSLRA-EDTAVYYCARYWYYG------------------------YPYFDYWG-QGTLVTVSS</t>
  </si>
  <si>
    <t>DIQ-MTQSPSSLSASVGDRVTITCRASQSV-----------SSAVA-WYQQ-K-P-G-K--A-PK-LLIYSA----------------SSL--Y--S--GV--P---SRFSGSR-------S--GT----D-FTLTISSLQP-EDFATYYCQQYLY---------------------------YSLVTFG-QGTKVEIK-</t>
  </si>
  <si>
    <t>EVQ-LQESGP-GLVKPSQSLSLTCTVTGYSIT--------SDYAWN-WIRQ-F-P-G-N--K-LE-WMGYISYS-----------GSTTYY--N--P--SL--K---SRISITR-D---T-S--KN----Q-FFLQLNSVTT-EDTATYYCARAGDP--------------------------TAFDYWG-QGTLVTVSA</t>
  </si>
  <si>
    <t>DIV-MTQSPSSLSASVGDRVTITCRASQGI-----------RNDLG-WYQQ-K-P-G-K--A-PK-LLIYAA----------------SNL--Q--S--GV--P---SRFSGSG-------S--GT----D-FTLTISSLQP-EDFATYYCQQSYS----------------------------TPYTFG-QGTKVEIK-</t>
  </si>
  <si>
    <t>hv6</t>
  </si>
  <si>
    <t>-VQ-LVQSGA-EVKKPGSSVKVSCKASGGTF---------SSYAIS-WVRQ-A-P-G-Q--G-LE-WMGGIIPI-----------FGTANY--A--Q--KF--Q---GRVTITA-D---E-S--TS----T-AYMEL---RS-EDTAVYYCARSYN---------------------------SDYDVWG-QGTTVTV--</t>
  </si>
  <si>
    <t>-LV-LTQSPGTLSLSPGERATLSCRASQSF-----------DSYIH-WYQQ-K-P-G-Q--A-PR-LLIYGA----------------SSR--A--T--GI--P---DRFSGSG-------S--GT----D-FTLTISRLEP-EDFAVYYCQHYGS----------------------------SPLTFG-QGTKVEIK-</t>
  </si>
  <si>
    <t>EVQ-LVESGG-GLVQPGGSLRLSCAASGFTF---------SSYAMS-WVRQ-A-P-G-K--G-LE-WVSSISSS-----------SSYIYY--A--D--SV--K---GRFTISR-D---N-A--RN----S-LYLQMNSLRA-EDTAVYYCARGGPGPIT--------------------FAYWAMDVWG-QGTTVTVSS</t>
  </si>
  <si>
    <t>QSV-LTQPPS-VSAAPGQKVTISCSGSSSNI---------GNNYVS-WYQQ-L-P-G-T--A-PK-LLIYDN----------------NKR--P--S--GI--P---ERFRGSI----------SN----S-ASLIISGLKT-EDEADYYCQSYDSS--------------------------SSGVPFG-GGTKVTVL-</t>
  </si>
  <si>
    <t>QVQ-LKESGP-GLVAPSQSLSITCTVSGFSL---------TSYGVH-WVRQ-P-P-G-K--G-LE-WLGMIWGD------------GNTDY--N--S--AL--K---SRLSISK-D---N-S--KS----Q-VFLKMNNLQT-DDTARYYCARDPRN-------------------------YYGMDVWG-QGTSVTVSS</t>
  </si>
  <si>
    <t>DIV-MTQSPSFLSASVGDRVTITCRASQGI-----------SSYLA-WYQQ-K-P-G-K--A-PK-LLIYAA----------------STL--Q--S--GV--P---SRFSGSG-------S--GT----E-FTLTISSLQP-EDFATYYCQQLNS----------------------------YPYTFG-PGTKVDIK-</t>
  </si>
  <si>
    <t>QVQ-LQESGP-GLVKPSETLSLTCAVSGASI---------SSYGVG-WIRQ-P-P-G-K--G-LE-WIGEIGTT-----------SYNISW--A--K--SR--I---SRITISR-D---T-S--KN----Q-VSLQM---TA-EDTATYYCARVQYRDL----------------------VYYGMDVWG-QGTMVTVSS</t>
  </si>
  <si>
    <t>--E-LTQDPA-VSVALGQTVRVTPCQALLDY---------GNSFSG-WYQQ-R-P-G-Q--A-PR-LVIYED----------------NIR--P--S--GI--P---DRFSGST-------S--GN----T-ASLTISGLQA-EDEADYHCSYE-------------------------------VWVFG-GGTKLTVL-</t>
  </si>
  <si>
    <t>EVQ-LQQSGP-ELVKPGASVKISCKASGYTF---------ISYEMN-WVKQ-A-P-G-K--G-LE-WMGGIYPGD----------SDNTLY--N--Q--KF--K---DKATLTV-D---K-S--ST----T-AYMELSSLTS-EDSAVYYCARVGP----------------------------YFDYWG-QGTTLTVSS</t>
  </si>
  <si>
    <t>DIV-MTQSPDSLAVSLGERATINCKSSQNN-----------KNYLA-WYQQ-K-P-G-Q--S-PK-LLIYWA----------------STR--E--S--GV--P---DRFSGSG-------S--GT----D-FTLTISSLQA-EDVAVYYCQQYYS----------------------------TPRTFG-GGTKLEIK-</t>
  </si>
  <si>
    <t>DIQ-MTQTTSSLSASLGDRVTISCTQSSQS-----------IVYLN-WYQQ-K-P-D-G--T-VK-LLIYYT----------------SRL--H--S--GV--P---SRFSGSG-------S--GT----D-YSLTISNLEP-EDIATYFCQQGNT----------------------------LPFTFG-SGTKLEIK-</t>
  </si>
  <si>
    <t>-VQ-LQQSGA-ELMKPGASVKLSCTASGFNI---------KDYYIH-WVKQ-R-P-E-Q--G-LE-WIGRIDPA-----------NGNTKY--D--P--KF--Q---GKATITT-D---T-F--SN----T-AYLQLSSLTS-EDTAVYYCARKGLR--------------------------WAMDYWG-QGTSVTVS-</t>
  </si>
  <si>
    <t>DVL-MTQTPLSLPVSLGDQASISCRSSQSLVYS------DGTHYLN-WLL--V-P-G-I--H-PK-WMGPV------------------NL--V-----TA--P---KRFSGSL-------I--ES--------SRVSHTQF-EDLAIYYCQQYNE----------------------------DPYTFG-GGTKLEIK-</t>
  </si>
  <si>
    <t>EVQ-LVESGG-GLVQPGGSLRLSCVTSGFTF---------SNYTMH-WVRQ-P-P-G-K--G-LE-WVTVISYS------------GYTSY--A--D--SV--K---GRFTISR-D---N-P--KN----T-LYLQMNSLRA-EDTAVYYCARGSLYGG----------------------YDYWYSYWG-QGTLVTVSS</t>
  </si>
  <si>
    <t>EVQ-LVQSGG-GLVQPGGSLRLSCAASGFTF---------SSYWMS-WVRQ-A-P-G-K--G-LE-WVANIKQD-----------GSEKYY--V--D--SV--K---GRFTISR-D---N-A--KN----S-LYLQMNSLRA-EDTAVYYCTGTYDA--------------------------GYFDYWG-QGTLVTVS-</t>
  </si>
  <si>
    <t>QSV-LTQPPS-ASGTPGQRVTISCSGSSSNI---------GNNYVY-WYQQ-L-P-G-T--A-PK-LLIYKN----------------NQR--P--S--GV--P---DRFSGSK-------S--GT----S-ASLAISGLRS-EDEADYYCAAWDD----------------------------SLWVFG-GGTKLTVL-</t>
  </si>
  <si>
    <t>QVQ-LVQSGA-EVKKPGASVKVSCKASGYTF---------TTYAIH-WVRQ-A-P-G-Q--G-LE-WMGWINPT-----------NGATNY--N--E--KF--K---GRATITA-D---T-S--SN----T-AYMELRSLTS-EDTAVYYCARVW------------------------------FDYWG-QGTLVTVSS</t>
  </si>
  <si>
    <t>-SA-LTQPAS-VSGSPGQSITISCTGTSSDVG--------GYNYVS-WYQQ-H-P-G-K--S-PK-LMIYDV----------------SKR--P--S--GV--S---NRFSGSK-------S--GN----T-ASLTISGLQA-EDEADYYCCSYAG---------------------------SSTYVFG-GGTKLTVL-</t>
  </si>
  <si>
    <t>QVQ-LVQSGA-EVKKPGSSVKVSCKASGYTF---------TDYVIS-WVRQ-A-P-G-Q--G-LE-WMGWVNTN------------GNPNY--K--P--SL--Q---ARISITR-D---T-T--SN----T-AYMEL---KS-DDTAVYYCARLGRG-------------------------DAVDDYWG-QGTLVAV--</t>
  </si>
  <si>
    <t>DIQ-MTQSPSSLSASVGDRVTITCRASQGI-----------SSDLA-WYQQ-K-P-G-K--A-PK-LLIYYA----------------STL--Q--S--GV--P---SRFSGSG-------S--GT----D-FTLTISSLQP-EDFATYYCQHSIY----------------------------TPFTFG-PGTKVDIK-</t>
  </si>
  <si>
    <t>EVQ-LVESGG-GLVQPGGSLRLSCAASGFNF---------SSSSIH-WVRQ-A-P-G-K--G-LE-WVASIYSY-----------SGYTSY--A--D--SV--K---GRFTISA-D---T-S--KN----T-AYLQMNSLRA-EDTAVYYCARGWSYYIW-------------------SGYSYALDVWG-QGTTVTVSS</t>
  </si>
  <si>
    <t>DIQ-MTQSPSSLSASVGDRVTITCRASQSV-----------SSAVA-WYQQ-K-P-G-K--A-PK-LLIYSA----------------SSL--Y--S--GV--P---SRFSGSR-------S--GT----D-FTLTISSLQP-EDFATYYCQQYY-----------------------------SSPTFG-QGTKVEIK-</t>
  </si>
  <si>
    <t>DIQ-MTQSPSSLSASVGDRVTITCRASQGI-----------SNYLN-WYQQ-K-P-G-K--A-PK-LLIYAA----------------SSL--Q--S--GV--P---SRFSGSG-------S--GT----D-FTLTISSLQP-EDFATYYCQQSYS----------------------------TPRTFG-GGTKVEIK-</t>
  </si>
  <si>
    <t>EVQ-LLESGG-GLVQPGGSLRLSCAASGFTF---------SSYAMS-WVRQ-A-P-G-K--G-LE-WVSAISSG------------GSTYY--A--D--SV--K---GRFTISR-D---N-S--KN----T-LYLQMNSLRA-EDTAVYYCARSD-----------------------------LEQHWG-QGTLVTVSS</t>
  </si>
  <si>
    <t>DIQ-MTQSPASLSASVGETVTITCRASGNI-----------HNYLA-WYQQ-K-Q-G-K--S-PQ-LLVYSA----------------TGL--A--D--GV--P---SRFSGSG-------S--GT----Q-YSLKINSLQP-EDFGSYYCQHFWS----------------------------TPWTFG-AGTKLELK-</t>
  </si>
  <si>
    <t>EVQ-LVESGG-GLVQPGGSLRLSCAASGFNF---------SSSSIH-WVRQ-A-P-G-K--G-LE-WVASIYSY-----------YGSTSY--A--D--SV--K---GRFTISA-D---T-S--KN----T-AYLQMNSLRA-EDTAVYYCARGSYYSWSY------------------SYSPLAFDYWG-QGTLVTVSS</t>
  </si>
  <si>
    <t>QVQ-LQESGP-GLVKPSETLSLTCTVSGASI---------SGDYWS-WIRQ-P-P-G-K--G-LE-WIGRIYS-------------GSTNY--N--P--SL--K---SRVTISM-D---T-S--KN----Q-FSLKL---TA-ADTAVYYCARGPGS-------------------------SNYYDAWG-QGTLVTVSS</t>
  </si>
  <si>
    <t>DIQ-MTQSPSSLSASVGDRVTITCQASQDI-----------SNYLN-WYQQ-K-P-G-K--A-PK-LLIYE-----------------TSL--E--S--GV--P---SRFSGSR-------S--GT----D-YTLTISSLQP-EDFAAYYCQQYGT----------------------------SPLTFG-GGTKVEIK-</t>
  </si>
  <si>
    <t>EVQ-LVQSGA-EVKKPGESLKISCKGSGYSF---------TSYWIG-WVRQ-M-P-G-K--G-LE-WMGIIYPG-----------DSDTRY--S--P--SF--Q---GQVTISA-D---K-S--IS----T-AYLQWSSLKA-SDTAMYYCARGPGY--------------------------YSSDFWG-QGTLVTVSS</t>
  </si>
  <si>
    <t>QVQ-LQQSGA-ELARPGASVKMSCKASGYTF---------TRYAMH-WVKQ-R-P-G-Q--G-LE-WIGYINPYN---------GDSYTNY--N--E--KF--K---GKATLTV-D---R-S--SS----T-AYMQLSSLTS-EDSAVYYCARPYGYC-----------------------YYYGMDVWG-QGTTVTVSS</t>
  </si>
  <si>
    <t>DIQ-MTQSPSSLSASVGDRVTITCRASQSI-----------SSYLN-WYQQ-K-P-G-K--A-PK-LLIYAA----------------SSL--Q--S--GV--P---SRFSGSG-------S--GT----D-FTLTISSLQP-EDFATYYCQQSYN----------------------------LPITFG-QGTRLEIK-</t>
  </si>
  <si>
    <t>QVQ-LQESGP-GLVKPSGTLSLTCAVSGGSF---------SSGGIH-WVRQ-S-P-G-Q--G-PE-WVGRINTWD---------NAKSRYY--A--D--SL--K---GRVSISR-D---T-S--K-----T-AYLQLSSLTA-EDTAVYYCARAA-----------------------------YYDGWG-QGTLVTVSS</t>
  </si>
  <si>
    <t>DIQ-MTQSPSSLSASVGDRVTITCRASQGI-----------RNDLG-WYQQ-K-P-G-R--A-PK-LLIYAA----------------SSL--Q--S--GV--P---SRFSGSG-------S--GT----D-FTLTISSLQP-EDFATYYCQQSYS----------------------------TPYTFG-QGTKVEIK-</t>
  </si>
  <si>
    <t>EVQ-LVESGG-GLVQPGRSLRLSCAASGFTF---------DDYAMH-WVRQ-A-P-G-K--G-LE-WVSGIDWN-----------SGSIGY--A--D--SV--K---GRFTISR-D---N-A--KN----S-LYLQMNSLRA-EDTALYYCVKGD-----------------------------GFDLWG-RGTLVTVSS</t>
  </si>
  <si>
    <t>DIQ-MTQSPSSLSASVGDRVTITCRASQSV-----------SSAVA-WYQQ-K-P-G-K--A-PK-LLIYSA----------------SSL--Y--S--GV--P---SRFSGSR-------S--GT----D-FTLTISSLQP-EDFATYYCQQYSS----------------------------YPLTFG-GGTKVEIK-</t>
  </si>
  <si>
    <t>QVQ-LVESGG-GVVQPGRSLRLSCAASGFTF---------SNYGMH-WVRQ-A-P-G-K--G-LE-WVAVIWDG------------SNKYY--A--D--SV--K---GRFTISR-D---N-S--KN----T-LYLQM---RA-EDTAVYYCAKDR-----------------------------YFAYWG-QGTLVTVSS</t>
  </si>
  <si>
    <t>-IQ-MTQSPSTLSASVGDRVTITCRASQSI-----------SSWLA-WYQQ-K-P-G-K--A-PK-LLIYKA----------------SSL--E--S--GV--P---SRFSGSG-------S--GT----E-FTLTISSLQP-EDFATYYCQQYKY----------------------------SPLTFG-QGTKVEIK-</t>
  </si>
  <si>
    <t>DIQ-MTQSPSSLSASVGDRVTITCRASQSI-----------SSYLN-WYQQ-K-P-G-K--A-PK-LLIYAA----------------SSL--Q--S--GV--P---SRFSGSG-------S--GT----D-FTLTISSLQP-EDFATYYCQQHYS---------------------------TPPYTFG-QGTKVEIK-</t>
  </si>
  <si>
    <t>EVQ-LVESGG-GLVQPGGSLRLSCAASGFTF---------SSYWMS-WVRQ-A-P-G-K--G-LE-WVANIKDD------------GGTNY--A--A--SV--K---GRFTISR-D---N-A--KN----T-LYLQMNSLRA-EDTAVYYCARDQ------------------------------VDIWG-QGTLVTVSS</t>
  </si>
  <si>
    <t>DIQ-MTQSPSSLSASVGDRVTITCRASQGI-----------SSYLA-WYQQ-K-P-G-K--A-PK-LLIYQA----------------STL--Y--S--GV--P---SRFSGSG-------S--GT----D-FTLTISSLQP-EDFATYYCQQSV-----------------------------DLITFG-QGTKVEIK-</t>
  </si>
  <si>
    <t>QVQ-LVQSGA-EVKKPGASVKVSCKASGYTF---------ISYEMH-WVKQ-A-P-G-Q--S-LE-WIGYIDPS-----------SRYTSY--N--Q--KF--K---GKATLTA-D---K-S--SS----T-AYMQLSSLTS-EDSAVYYCARYYD---------------------------VYFDYWG-QGTTLTVSS</t>
  </si>
  <si>
    <t>DIV-MTQSPSSLAMSVGQKVTMSCKSSQSLLNS-----NNQKNYLA-WYQQ-K-P-G-Q--S-PK-LLIYWA----------------STR--E--S--GV--P---DRFTGSG-------S--GT----D-FTLTISSVQA-EDLAVYYCQQHYT----------------------------YPYTFG-GGTKLEIK-</t>
  </si>
  <si>
    <t>-VK-LVESGG-GLVKPGGSLKLSCAASGFTF---------SSYTMS-WVRQ-T-P-E-K--R-LE-WVATISGG-----------GTYTYY--P--D--TV--K---GRFTISR-D---N-A--KN----T-LYLQMSSLKS-EDTAMYYCARQVF---------------------------DYFDYWG-QGTTVTVSS</t>
  </si>
  <si>
    <t>DIV-MTQTPDSLAVSLGERATINCKSSQNN-----------KNYLA-WYQQ-K-P-G-Q--P-PK-LLIYWA----------------STR--E--S--GV--P---DRFSGSG-------S--GT----D-FTLTISSLQA-EDVAVYYCQQHD-----------------------------TPLTFG-QGTKLEIK-</t>
  </si>
  <si>
    <t>DIQ-MTQSPSSLSASVGDRVTITCRASQSV-----------SSAVA-WYQQ-K-P-G-K--A-PK-LLIYSA----------------SSL--Y--S--GV--P---SRFSGSR-------S--GT----D-FTLTISSLQP-EDFATYYCQQSSY----------------------------IPYTFG-QGTKVEIK-</t>
  </si>
  <si>
    <t>-VQ-LVQSGA-EVKKPGASVKVSCKASGYTF---------TSYAMH-WVRQ-A-P-G-Q--R-LE-WMGWINAG-----------NGNTKY--S--Q--KF--Q---DRVTITR-D---T-S--AS----T-AYMELSSLRS-EDTAVYYCARPPR---------------------------NWDDVWG-QGTTVTVSS</t>
  </si>
  <si>
    <t>DIQ-MTQSPSSLSASVGDTVTITCRASQSI-----------SSYLN-WYQQ-K-P-G-K--A-PK-LLIYAA----------------SSL--Q--S--GV--P---SRFSGSG-------S--GT----D-FTLTISSLQP-EDFATYYCQQSYS----------------------------TPYTFG-PGTKVEIK-</t>
  </si>
  <si>
    <t>EVQ-LVESGG-GLVQPGGSLRLSCAASGFDF---------SSYAMS-WVRQ-A-P-G-K--G-LE-WVSAIISD-----------GGATYY--A--D--SV--K---GRFTISR-D---N-S--KN----T-LFLQMNSLRA-EDTAVYYCARGTQ---------------------------SYSDYWG-QGTLVTVS-</t>
  </si>
  <si>
    <t>DIQ-LTQSPSSLSASVGDRVTITCQASQDI-----------SNYLN-WYQQ-K-P-G-K--A-PK-LLIYDA----------------SNL--E--T--GV--P---SRFSGSG-------S--GT----D-FTFTISSLQP-EDIATYYCQQYDN----------------------------LPLTFG-GGTKVEIK-</t>
  </si>
  <si>
    <t>DIV-MTQSPDSLAVSLGERATINCKSSQSVLYS-----SNNKNYLA-WYQQ-K-P-G-Q--P-PK-LLIYWA----------------STR--E--S--GV--P---DRFSGSG-------S--GT----D-FTLTISSLQA-EDVAVYYCQQYYS----------------------------TPRTFG-GGTKVEIK-</t>
  </si>
  <si>
    <t>QVQ-LQQSGP-ELVKPGASVKISCKASGYSF---------TDYNMN-WVKQ-S-H-G-K--S-LE-WIGDITYD-----------GATYNY--N--L--KF--K---DKATLTV-D---K-S--SS----T-AYMQLNSLTS-EDSAVYYCARSVR----------------------------PGAYWG-QGTLVTVSA</t>
  </si>
  <si>
    <t>DIQ-MTQSPSSLSASVGDRVTITCRASQDI-----------TNYVA-WYQQ-K-P-E-K--A-PK-LLIYWA----------------STR--H--T--GV--P---VRFSGSG-------S--GT----D-FTLTISNLEP-EDFAVYYCQHFWN----------------------------TPYTFG-QGTKLEIK-</t>
  </si>
  <si>
    <t>DIV-MTQSPDSLAVSLGERATINCKSSQSVLYS-----SNNKNYLA-WYQQ-K-P-G-Q--P-PK-LLIYWA----------------STR--E--S--GV--P---DRFSGSG-------S--GT----D-FTLTISSLQA-EDVAVYYCQQYYS----------------------------TPYTFG-QGTKVEIK-</t>
  </si>
  <si>
    <t>EVQ-LVESGG-GLVKPGGSLRLSCAASGFNF---------SSSSIH-WVRQ-A-P-G-K--G-LE-WVASISSS-----------YGSTYY--A--D--SV--K---GRFTISA-D---T-S--KN----T-AYLQMNSLRA-EDTAVYYCARAHGSS------------------------ADAFDIWG-QGTMVTVSS</t>
  </si>
  <si>
    <t>DIQ-MTQSPSSLSASVGDRVTITCRASQNI-----------SKYLA-WYQQ-K-P-G-K--A-PK-LLIYDA----------------SNL--Q--S--GV--P---SRFSGSG-------S--GT----D-FTLTISSLQP-EDFATYYCQQYS-----------------------------SYWTFG-QGTKVEIK-</t>
  </si>
  <si>
    <t>QVQ-LQQSGP-ELVKPGASMKISCKASGYSF---------TGYTMN-WVKQ-S-H-G-K--N-LE-WIGLINPY-----------NGGTSY--N--Q--KF--K---GKATLTV-D---K-S--SS----T-AYMELLSLTS-EDSAVYYCARDGDYYR----------------------YGRYFDYWG-QGTTLTVSS</t>
  </si>
  <si>
    <t>DIV-LTQSPASLAVSLGQRATISCRASESVEY--------GNSFIH-WYQQ-K-P-G-Q--P-PK-LLIYAA----------------SNL--E--S--GI--P---ARFSGSG-------S--RT----D-FTLTINPVEA-DDVATYYCQQSNE----------------------------DPRTFG-GGTKLEIK-</t>
  </si>
  <si>
    <t>QVQ-LVESGG-GVVQPGRSLRLSCAASGFTF---------SSYAMH-WVRQ-A-P-G-K--G-LE-WVAVISYD-----------GSNKYY--A--D--SV--K---GRFTISR-D---N-S--KN----T-LYLQMNSLRA-EDTAVYYCARSRGW--------------------------SALDYWG-QGTLVTVSS</t>
  </si>
  <si>
    <t>-VQ-LQQSGP-ELVKPGASVKISCKASGYAF---------SSYWIV-WVKQ-R-P-G-Q--G-LE-WIGEINPT-----------SGYTNY--N--E--KF--K---GKATLTA-D---K-S--SS----T-AYMQLSSLTS-EDSAVYYCARERGD--------------------------YYFDYWG-QGTTLTVSS</t>
  </si>
  <si>
    <t>DIQ-MTQTTSSLSASLGDRVTISCRASQDI-----------SNYLN-WYQQ-K-P-D-G--T-VK-LLIYYT----------------SRL--H--S--GV--P---SRFSGSG-------S--GT----D-YSLTISNLEQ-EDIATYFCQQDSK----------------------------LPWTFG-GGTKLEIK-</t>
  </si>
  <si>
    <t>QIQ-LVQSGR-EVKNPGETVKISCKASGYTF---------TEYPML-WVKQ-A-P-G-K--G-FR-WMGLIYTN-----------TGEPTY--A--E--EF--K---GRFVFSL-E---I-S--AS----T-AYLQINNLTN-EDTATYFCVRDYF---------------------------ISLDYWG-QGTTLTVSS</t>
  </si>
  <si>
    <t>QAV-VTQESA-LTTSPGETVTLTCRSNIGAVT--------SSNCAN-WVQE-K-P-D-H--F-FT-GLIGDT----------------NNR--R--S--GV--P---ARFSGSL-------I--GD----K-AALTITGAQT-EDEAIYFCALWYN----------------------------NLWVFG-GGTKLTVL-</t>
  </si>
  <si>
    <t>hv7</t>
  </si>
  <si>
    <t>lv7</t>
  </si>
  <si>
    <t>EVQ-LVESGG-GLVQPGGSLRLSCAASGFNF---------SSSSIH-WVRQ-A-P-G-K--G-LE-WVAYIYSS------------GYTSY--A--D--SV--K---GRFTISA-D---T-S--KN----T-AYLQMNSLRA-EDTAVYYCARHTYTSVY--------------------AYFGGFDYWG-QGTLVTVSS</t>
  </si>
  <si>
    <t>DIQ-MTQSPSSLSASVGDRVTITCRASQSV-----------SSAVA-WYQQ-K-P-G-K--A-PK-LLIYSA----------------SSL--Y--S--GV--P---SRFSGSR-------S--GT----D-FTLTISSLQP-EDFATYYCQQSYF---------------------------SPPLTFG-QGTKVEIK-</t>
  </si>
  <si>
    <t>EVQ-LVESGG-GLVQPGGSLRLSCAASGFTF---------SDYWMS-WVRQ-A-P-G-K--G-LE-WVANIKDG------------GSTYY--A--D--SV--K---GRFTISR-D---N-S--KN----T-LYLQMNSLRA-EDTAVYYCARDLS---------------------------SGVDYWG-QGTLVTVSS</t>
  </si>
  <si>
    <t>DIQ-MTQSPSSLSASVGDRVTITCRASQDV-----------STAVA-WYQQ-K-P-G-K--A-PK-LLIYSA----------------SFL--Y--S--GV--P---SRFSGSG-------S--GT----D-FTLTISSLQP-EDFATYYCQQFYS----------------------------SLITFG-QGTKVEIK-</t>
  </si>
  <si>
    <t>DIV-MTQSHKFMSTSVGDRVSITCKASQDV-----------SSAVA-WYQQ-K-P-G-Q--S-PK-LLIYSA----------------SYR--Y--T--GV--P---DRFTGSG-------S--GT----D-FTLTISNVQS-EDLADYFCQQYSS----------------------------YPLTFG-SGTKLEIK-</t>
  </si>
  <si>
    <t>EVQ-LVQSGA-E-MKPGASVKVSCRTSGYTF---------TEYTIH-WVRQ-A-P-G-Q--G-LE-WIGDIYPG-----------NGDTNY--N--G--KF--Q---GKATMTA-D---T-S--SN----T-AYMELSSLRS-EDTAVYYCVRNTAFV-----------------------TKGYYAYWG-QGTLVTVSS</t>
  </si>
  <si>
    <t>DIQ-MTQSPSSLSASVGDRVTITCRASQDI-----------TNYLN-WYQQ-K-P-G-K--A-PK-LLIYAA----------------STL--Q--S--GV--P---SRFSGSG-------S--GT----D-FTLTISSLQP-EDFATYYCQQSSS----------------------------SPRTFG-QGTKVEIK-</t>
  </si>
  <si>
    <t>QVQ-LVESGG-GVVQPGGSLRLSCAASGFTF---------SSYAMS-WVRQ-A-P-G-K--G-LE-WVAFIRYD-----------GGNKYY--A--D--SV--K---GRFTISR-D---N-S--KN----T-LYLQMNRLRA-EDTAVYYCVRMGS----------------------------GSDYWG-QGTLVTVSS</t>
  </si>
  <si>
    <t>DIQ-MTQSPSSLSASVGDRVTITCRASQSV-----------SSAVA-WYQQ-K-P-G-K--A-PK-LLIYSA----------------SSL--Y--S--GV--P---SRFSGSR-------S--GT----D-FTLTISSLQP-EDFATYYCQQSSS---------------------------YSLITFG-QGTKVEIK-</t>
  </si>
  <si>
    <t>EVQ-LVESGG-GLVQPGGSLRLSCAASGFNV---------VDFSLH-WVRQ-A-P-G-K--G-LE-WVASISSS-----------SGSTSY--A--D--SV--K---GRFTISA-D---T-S--KN----T-AYLQMNSLRA-EDTAVYYCARYGWAWG---------------------PGWSAMDYWG-QGTLVTVSS</t>
  </si>
  <si>
    <t>DIQ-MTQSPSSLSASVGDRVTITCRASQSV-----------SSAVA-WYQQ-K-P-G-K--A-PK-LLIYSA----------------SSL--Y--S--GV--P---SRFSGSR-------S--GT----D-FTLTISSLQP-EDFATYYCQQSSS----------------------------SLITFG-QGTRLEIK-</t>
  </si>
  <si>
    <t>QVT-LRESGP-TLVKPKQTLTLTCTFSGFS-----------RYYHS-WVRQ-P-P-G-K--A-LE-WIGIIYHS-----------GSTNYH--A--A--KV--K---GRLTV-R-D---K-S--KN----T-VFMELSSLTP-ADTADYFCLRGKAT-------------------------YDFFAYWG-QGTLVTVSA</t>
  </si>
  <si>
    <t>DIV-LTQSPASLAVSLGQRATISCKASQDG-----------YSFMN-WFQQ-K-P-G-Q--P-PK-LLIYAA----------------SNL--D--S--GI--P---ARFSGSG-------S--RT----D-FTLTINPVEA-DDFATYYCQQSHE----------------------------FPYTFG-GGTKLEIK-</t>
  </si>
  <si>
    <t>DIV-MTQSPDSLAVSLGERATINCKSSQSVLYS-----SNNKNYLA-WYQQ-K-P-G-Q--P-PK-LLIYWA----------------STR--E--S--GV--P---DRFSGSG-------S--GT----D-FTLTISSLQA-EDVAVYYCQQYYS----------------------------TPLTFG-GGTKVEIK-</t>
  </si>
  <si>
    <t>EVQ-LVESGG-GLVQPGGSLRLSCAASGFTF---------SSYWMS-WVRQ-A-P-G-K--G-LE-WVGRIKSK-----------TDKMYA--A--D--SV--K---GRFTISR-D---N-A--KN----S-LYLQM---RV-EDTAVYYCAR---------------------------------QYWG-QGTLVTVSS</t>
  </si>
  <si>
    <t>QSV-LTQPPS-VSAAPGQKVTISCSGSSIG-----------NNYVS-WYQQ-L-P-G-T--A-PK-LLIYDN----------------NKR--P--S--GI--P---DRFSGSK-------S--GT----S-ATLGITGLQT-GDEADYYCGTWDS----------------------------RLYVFG-TGTKVTVL-</t>
  </si>
  <si>
    <t>---------G-HLVKPGLTASLSLSCVGSDIL-------SGYDQWG-WIRQ-P-P-G-K--G-LE-WLGIIYS-------------GSTYY--S--P--SF--Q---GQVTISA-D---R-S--TT----T-AYMELSSLRS-EDTATYFCARPDSRY------------------------YYGLDVWG-QGTTVTVSS</t>
  </si>
  <si>
    <t>DIQ-MTQSPASLSVSVGETVTITCRASGNI-----------HNYLA-WYQQ-K-Q-G-K--S-PQ-LLVYYT----------------TNL--A--D--GV--P---SRFSGSG-------S--GT----Q-YSLKINSLQP-EDFGSYYCQHFWG----------------------------TPWTFG-GGTKLEIK-</t>
  </si>
  <si>
    <t>QVQ-LVQSGA-EVKKPGASVKVSCKASGYTF---------THYAMH-WVRQ-A-P-G-Q--R-LE-WMGWINAG-----------NGNTKY--A--Q--KF--Q---GRVTMTR-D---M-S--ID----T-AFME---LRS-EDTAVYYCARAVY---------------------------YGSDYWG-QGTLVTVSS</t>
  </si>
  <si>
    <t>DIV-MTQSPDSLAVSLGERATINCKSSQNN-----------KNYLA-WYQQ-K-P-G-Q--P-PK-LLIYWA----------------STR--E--S--GV--P---DRFSGSG-------S--GS----D-FTLTINRVEP-EDVGVYYCQQYDN----------------------------LPLTFG-AGTKLELR-</t>
  </si>
  <si>
    <t>QVQ-LVESGG-GVVQPGRSLRLSCAASGFTF---------SSYGMH-WVRQ-A-P-G-K--G-LE-WVAVISYD-----------GSNKYY--A--D--SV--K---GRFTISR-D---N-S--KN----T-LYLQMNSLRA-EDTAVYYCARGWG----------------------------YVDYWG-QGTLVTVSS</t>
  </si>
  <si>
    <t>EVQ-LVESGG-GLVQPGGSLRLSCAASGFNV---------SYSSIH-WVRQ-A-P-G-K--G-LE-WVASIYSY-----------SGYTSY--A--D--SV--K---GRFTISA-D---T-S--KN----T-AYLQMNSLRA-EDTAVYYCARYSYYG------------------------NSYYVYWG-QGTLVTVSS</t>
  </si>
  <si>
    <t>DIQ-MTQSPSSLSASVGDRVTITCRASQSV-----------SSAVA-WYQQ-K-P-G-K--A-PK-LLIYSA----------------SFL--Y--S--GV--P---SRFSGSR-------S--GT----D-FTLTISSLQP-EDFATYYCQQSYS----------------------------FPFTFG-QGTKVEIK-</t>
  </si>
  <si>
    <t>QVQ-LQQPGE--LVRPGASVKLSCKASGYTF---------TNYWMH-WVKQ-R-T-G-Q--G-LE-WIGDIYPG------------SGSNF--N--E--KF--K---GKATLTR-D---V-S--SS----T-AYMQLSSLTS-EDSAVYYCAGGT-----------------------------SDDYWG-QGTSVTVSS</t>
  </si>
  <si>
    <t>DIV-MTQSPDSLAVSLGERATINCKSSQNN-----------KNYLA-WYQQ-K-P-G-Q--P-PK-LLIYWA----------------STR--E--S--GV--P---DRFSGSG-------S--GT----D-FTLTISSLQA-EDVAVYYCQQYYS----------------------------TPRTFG-GGTKLEIK-</t>
  </si>
  <si>
    <t>-IQ-MTQSPSSLSASVGDRVTITCRASQSV-----------SSAVA-WYQQ-K-P-G-K--A-PK-LLIYSA----------------SSL--Y--S--GV--P---SRFSGSR-------S--GT----D-FTLTISSLQP-EDFATYYCQQYSGS--------------------------SPPALFG-GGTKVDIK-</t>
  </si>
  <si>
    <t>QVQ-LVQSGAEVMKKPGASVRVSCKASGYTF---------TDHYIH-WVRQ-A-P-G-Q--G-LE-WMGGIFPN-----------SGTISY--A--Q--KF--Q---GRVIITA-D---E-S--TN----T-AYMELSSLRS-EDTAVYYCAREG-----------------------------GFAYWG-QGTLVTVSS</t>
  </si>
  <si>
    <t>DIQ-MTQSPSSLSASVGDRVTITCRASQSI-----------SSYLN-WYQQ-K-P-G-K--A-PK-LLIYAA----------------SSL--Q--S--GV--P---SRFSGSG-------S--GT----D-FTLTISSLQP-EDFATYYCQQSYS----------------------------TPVTFG-QGTKVEIK-</t>
  </si>
  <si>
    <t>QIQ-LVQSGP-ELKKPGETVKISCKASGYTF---------TDYSMH-WL-Q-A-P-G-K--G-LK-WMGWINTYD----------GGEPTY--A--D--DF--K---GRFAFSL-E---T-S--AS----T-AYL--VNLTS-ADTAVYYCAREGQG-------------------------ADYFDFWG-QGTLVTVSS</t>
  </si>
  <si>
    <t>QSV-LTQPPS-VSEAP--RVTISCSGSSIGS----------YNYVS-WYQQ-L-P-G-T--A-PK-LLIYDN----------------NKR--P--S--GI--P---DRFSGSK-------S--GT----S-ATLGITGLQT-GDEADYYCGTWDS----------------------------SLSVFG-GGTKLTVL-</t>
  </si>
  <si>
    <t>EVQ-LLESGG-GLVQPGGSLRLSCAASGFTF---------STYAMN-WVRQ-A-P-G-K--G-LE-WVSSIGS--------------RGYY--A--D--SV--K---GRFTISR-D---N-S--KN----T-LYLQMNSLRA-EDTAVYYCAKDRYR--------------------------DYFDYWG-QGTLVTVSS</t>
  </si>
  <si>
    <t>DIQ-MTQSPSSLSASVGDRVTITCRASQDV-----------NTAVA-WYQQ-K-P-G-K--A-PK-LLIYDA----------------SNL--Q--S--GV--P---SRFSGSG-------S--GT----D-FTLTISSLQP-EDFATYYCQQSYS----------------------------TPYTFG-QGTKLEIK-</t>
  </si>
  <si>
    <t>DIQ-MTQSPSSLSASVGDRVTITCRASQSV-----------SSAVA-WYQQ-K-P-G-K--A-PK-LLIYSA----------------SSL--Y--S--GV--P---SRFSGSR-------S--GT----D-FTLTISSLQP-EDFATYYCQQSSW----------------------------YPFTFG-QGTKVEIK-</t>
  </si>
  <si>
    <t>EVQ-LLESGG-GLVQPGGSLRLSCAASGFTF---------SSYAMS-WVRQ-A-P-G-K--G-LE-WVSAISGS-----------GGSTYY--A--D--SV--K---GRFTISR-D---N-S--KN----T-LYLQMNSLRA-EDTAVYYCARDLGPYSG-------------------SYYSGSFDYWG-QGTLVTVSS</t>
  </si>
  <si>
    <t>DIQ-MTQSPSSLSASVGDRVTITCRASQSI-----------SSYLN-WYQQ-K-P-G-K--A-PK-LLIYAA----------------SSL--Q--S--GV--P---SRFSGSG-------S--GT----D-FTLTISSLQP-EDFATYYCQQSYY----------------------------LPLTFG-GGTKVEIK-</t>
  </si>
  <si>
    <t>QVQ-LVQSGA-EVKKPGASVKVSCKASGYTF---------TDYWIG-WVRQ-A-P-G-Q--G-LE-WMGRIMPS-----------RDRTNY--A--Q--KF--Q---GRVTMTS-D---T-S---S----T-AYMELSSLRS-EDTAVYYCARAGGAY-----------------------YFYGMDVWG-QGTTVTVSS</t>
  </si>
  <si>
    <t>DIV-MTQSPSSLAVSVGEKVTMSCKSSQNLLHT------NQKNYLA-WYQQ-K-P-G-Q--S-PK-LLIYWA----------------STR--E--S--GV--P---DRFTGSG-------S--GT----D-FTLTISSVKA-EDLAVYYCQHFF-----------------------------YPYTFG-GGTKLEIK-</t>
  </si>
  <si>
    <t>QVQ-LVESGG-GVVQPGRSLRLSCAASGFLF---------SNYGMH-WVRQ-A-P-G-K--G-LE-WVALIWDG------------SNKYY--A--D--SV--K---GRFTISR-D---N-S--KN----T-LYLQM---RA-EDTAVYYCARDPVV--------------------------GPFDYWG-QGTLVTVSS</t>
  </si>
  <si>
    <t>DIQ-MTQSPSTLSASVGDRVTITCRASQSI-----------SSWLA-WYQQ-K-P-G-K--A-PK-LLIYKA----------------SSL--E--S--GV--P---SRFSGSG-------S--GT----E-FTLTISSLQP-DDFATYYCQQYN------------------------------SYSFG-PGTKVDI--</t>
  </si>
  <si>
    <t>QVQ-LVQSGA-EVKKPGSSVKVSCKASGGTF---------SSYAIS-WVRQ-A-P-G-Q--G-LE-WMGGIIIF------------GTANY--A--Q--KF--Q---GRVTITA-D---K-S--TS----T-AYMELSRLRS-DDTAVYYCAREGT---------------------------TGWDYWG-QGTLVTVSS</t>
  </si>
  <si>
    <t>DIQ-MTQSPSTLSASVGDRVTITCRASQSI-----------SSWLA-WYQQ-K-P-G-K--A-PK-LLIYKA----------------SSL--E--S--GV--P---SRFSGSG-------S--GT----E-FTLTISSLQP-DDFATYYCQQYN-----------------------------SYWTFG-QGTKVEIK-</t>
  </si>
  <si>
    <t>QVQ-LVQSGA-EVKKPGSSVKVSCKSSGGTF---------SNYGIS-WVRQ-A-P-G-Q--G-LE-WMGRVSNI-----------AGDTRY--S--Q--KF--Q---GRVTMTE-D---T-S--TD----T-AYMEMTGLKS-EDTAVYYCARGVYRYV----------------------YVDAFDIWG-QGTMVTVSS</t>
  </si>
  <si>
    <t>DIQ-MTQSPSSLSASVGDRVTITCRASQDI-----------NSFLN-WYQQ-K-P-G-K--A-PK-LLIYYA----------------STL--Q--S--GV--P---SRFSGSG-------S--GT----D-FTLTISSLQP-EDFATYYCQQGG-----------------------------RYPTFG-QGTKVEIK-</t>
  </si>
  <si>
    <t>EVQ-LVESGG-GLVQPGGSLRLSCAASGFNV---------SYSSIH-WVRQ-A-P-G-K--G-LE-WVASIYPY-----------SGSTSY--A--D--SV--K---GRFTISA-D---T-S--KN----T-AYLQMNSLRA-EDTAVYYCARYWSD--------------------------YAMDYWG-QGTLVTVSS</t>
  </si>
  <si>
    <t>DIQ-MTQSPSSLSASVGDRVTITCQASQDI-----------SNYLN-WYQQ-K-P-G-K--A-PK-LLIYDA----------------SNL--E--T--GV--P---SRFSGSG-------S--GT----D-FTFTISSLQP-EDIATYYCQQYDN----------------------------LPRTFG-QGTKVEIK-</t>
  </si>
  <si>
    <t>QVQ-LVQSGA-EVKKPGASVKVSCKASGYTF---------TSYGIS-WVRQ-A-P-G-Q--G-LE-WMGWISAY-----------NGNTNY--A--Q--KL--Q---GRVTMTT-D---T-S--TS----T-AYMELRSLRS-DDTAVYYCARDKVSG------------------------YYAMDYWG-QGTTVTVSS</t>
  </si>
  <si>
    <t>-SA-LTQPRS-VSGSLGQSVTISCTGISSDVG--------GDNYVS-WYQQ-H-P-G-K--A-PK-LMIYDV----------------SKR--P--S--GV--S-----FSGSK-------S--GN----T-ASLTISGLQA-EDEADYYCSSYAF----------------------------SSDVFG-TGTKLTVL-</t>
  </si>
  <si>
    <t>QVQ-LQESGP-GLVKPSETLSLTCTVSGGSI---------SSHYWS-WIRQ-P-P-G-K--G-LE-WIGYIYYS------------GSTYY--N--P--SL--K---SRVTISV-D---T-S--KN----Q-FSLKLSSVTA-ADTAVYYCAREGLYSSS--------------------SVWGTGFDWG-QGTLVTVSS</t>
  </si>
  <si>
    <t>DIQ-MTQSPSSLSASVGDRVTITCRASQSV-----------SSAVA-WYQQ-K-P-G-K--A-PK-LLIYSA----------------SSL--Y--S--GV--P---SRFSGSR-------S--GT----D-FTLTISSLQP-EDFATYYCQQYNN----------------------------YPLTFG-QGTKVEIK-</t>
  </si>
  <si>
    <t>QVQ-LQESGP-GLVKPSGTLSLTCAVSGGSI---------SSSNWG-WIRQ-P-P-G-K--G-LE-WIGYIYYS------------GSTDY--N--P--SL--K---SRVSISV-D---R-S--KN----Q-FSLKLRSVTA-ADTAVYYCARGGY----------------------------RWDYWG-QGTLVTVSS</t>
  </si>
  <si>
    <t>EIV-LTQSPGTLSLSPGERATLSCRASQSI-----------SSYLA-WYQQ-K-P-G-Q--A-PR-LLIYGA----------------SSR--A--T--GI--P---DRFSGSG-------S--GT----D-FTLTISRLEP-EDFAVYYCQQYGS----------------------------SPWTFG-QGTKVEIK-</t>
  </si>
  <si>
    <t>QVQ-LVQSGA-EVKKPGESLKISCKGSGYSF---------TSYWIG-WVRQ-M-P-G-K--G-LE-WMGIIYPD-----------DSDTRY--S--P--SF--Q---GQVTISA-D---K-S--IS----T-AYLQWSSLKA-SDTAMYYCARGYVYT-----------------------QDYFFDVWG-QGTLVTVSS</t>
  </si>
  <si>
    <t>DIV-MTQSPATLSVSPGERATLSCRASQSV-----------SSNLA-WYQQ-K-P-G-Q--A-PR-LLIYGA----------------STR--A--T--GI--P---ARFSGSG-------S--GT----E-FTLTISSLEP-EDFAVYYCQQHNE---------------------------WPPWTFG-QGTKVEIK-</t>
  </si>
  <si>
    <t>EVQ-LVQSGA-EVKKPGASVKVSCKASGYTF---------TGYYMH-WVRQ-A-P-G-Q--G-LE-WMGWINPN-----------SGGTNY--A--Q--KF--Q---GRVTMTR-D---T-S--IS----T-AYMELSRLRS-DDTAVYYCARGWSRS------------------------GGFPDYWG-QGTLVTVS-</t>
  </si>
  <si>
    <t>QVQ-LQQSGA-ELVRPGTSVKLSCKASGYTF---------TSYWMH-WVKQ-R-P-G-Q--G-LE-WIGEILDG-----------SGNTNY--N--E--KF--K---GKATLTA-D---K-S--SS----T-AYMQLSSLTS-DDSAVYFCARSA-----------------------------YGAYWG-QGTLVTVSS</t>
  </si>
  <si>
    <t>DIV-LTQSPASLAVSLGQRATISCRASKSVST-------SGYSYMH-WFQQ-K-P-G-Q--P-PK-LLIYLA----------------SNL--D--S--GV--P---DRFSGSG-------S--GT----D-FTLNIHPVEE-EDAATYYCQQSKE----------------------------FPYTFG-GGTKLEIK-</t>
  </si>
  <si>
    <t>EVQ-LVESGG-GLVQPGGSLRLSCAASGFTF---------SSYAMS-WVRQ-A-P-G-K--G-LE-WVSAISGS-----------GGSTYY--A--D--SV--K---GRFTISR-D---N-S--KN----T-LYLQMNSLRA-EDTAVYYCARDLWF--------------------------GDLDVWG-QGTTVTVSS</t>
  </si>
  <si>
    <t>DIQ-MTQSPSSLSASVGDRVTITCRASQGI-----------SSYLA-WYQQ-K-P-G-K--A-PK-LLIYAA----------------STL--Q--S--GV--P---SRFSGSG-------S--GT----D-FTLTISSLQP-EDFATYYCQQWSS----------------------------YPLTFG-QGTKVEIK-</t>
  </si>
  <si>
    <t>QLQ-LQESGP-SLVKPSQTLSLTCSVTGDSI---------TSDYWS-WIRK-F-P-G-N--R-LE-YMGYVTSF------------GTAKY--N--P--VR--G----RILISR-D---M-S--KN----Q-FSLKLTSVTA-ADTALYYCARDLY---------------------------RYDLYWG-QGTSVTVSS</t>
  </si>
  <si>
    <t>DIV-MTQSPSSLAMSVGQKVTMSCKSSQSLLNS-----GNQKNYLT-WYQQ-I-P-G-Q--P-PK-LLIYWA----------------STR--E--S--GV--P---DRFTGSG-------S--GT----D-FTLTISSVQA-EDLAVYYCQQSY-----------------------------YPLTFG-AGTKLELK-</t>
  </si>
  <si>
    <t>QVQ-LVQSGA-EVKKPGSSVKVSCKASGGTF---------SSYAIS-WVRQ-A-P-G-Q--G-LE-WMGGIIIF------------GTANY--A--Q--KF--Q---GRVTITA-D---E-S--TS----T-AYMEL---RS-EDTAVYYCARED-----------------------------DGAYWG-QGTLVTVSS</t>
  </si>
  <si>
    <t>DIQ-MTQSPSTLSASVGDRVTITCRASQSI-----------SSWLA-WYQQ-K-P-G-K--A-PK-LLIYKA----------------SSL--E--S--GV--P---SRFSGSG-------S--GT----E-FTLTISSLQP-DDFATYYCQQYSS----------------------------YPLTFG-GGTKVEIK-</t>
  </si>
  <si>
    <t>EVQ-LVESGG-GLVQPGGSLRLSCAASGFNI---------SSYSIH-WVRQ-A-P-G-K--G-LE-WVASISPY-----------SGSTSY--A--D--SV--K---GRFTISA-D---T-S--KN----T-AYLQMNSLRA-EDTAVYYCARDLQGSSG-------------------YVSGYALDYWG-QGTLVTVSS</t>
  </si>
  <si>
    <t>DIQ-MTQSPSSLSASVGDRVTITCRASQSV-----------SSAVA-WYQQ-K-P-G-K--A-PK-LLIYSA----------------SSL--Y--S--GV--P---SRFSGSR-------S--GT----D-FTLTISSLQP-EDFATYYCQQSSY----------------------------SLITFG-QGTKVEIK-</t>
  </si>
  <si>
    <t>DIQ-MTQSPSSLSASVGDRVTITCRASQDI-----------NKYLN-WYQQ-K-P-G-K--A-PK-LLIYAA----------------SSL--Q--S--GV--P---SRFSGSG-------S--GT----D-FTLTISSLQP-EDFATYYCQQSYS----------------------------TPWTFG-QGTKVEIK-</t>
  </si>
  <si>
    <t>EVQ-LVQSGA-EVKKPGASVKVSCKASGYTF---------TSYYMY-WVRQ-A-P-G-Q--G-LE-WMGWINNS------------GGTNY--A--Q--KF--Q---GRVTMTR-D---T-S--IS----T-AYMELSRLRS-DDTAVYYCARGQRG-------------------------SSPMDYWG-QGTLVTVSS</t>
  </si>
  <si>
    <t>DIQ-MTQSPSSLSASVGDRVTITCQASQDI-----------SNYLN-WYQQ-K-P-G-K--A-PK-LLIYDA----------------SNL--E--T--GV--P---SRFSGSG-------S--GT----D-FTFTISSLQP-EDIATYYCQQYDN----------------------------LPITFG-QGTKVEIK-</t>
  </si>
  <si>
    <t>QVQ-LQQSGA-ELVRPGASVKLSCKASGYTF---------TSDWIH-WVKQ-R-P-G-Q--G-LE-WIGVIYPG-----------DGDTNY--N--G--KF--K---GKATLTA-D---K-S--SS----T-AYMQLSSLTS-EDSAVYFCARSAYG--------------------------SSSTYWG-QGTLVTVSA</t>
  </si>
  <si>
    <t>DIV-LTQSPASLAVSLGQRATISCRASESVDN-------YGISFLN-WFQQ-K-P-G-Q--P-PK-LLIYAA----------------SNL--Q--S--GV--P---ARFSGSG-------S--GT----D-FSLNIHPMEE-DDTAMYFCQQSKE----------------------------VPWTFG-GGTKLEIK-</t>
  </si>
  <si>
    <t>QVQ-LVESGG-GVVQPGKSLRLSCAASGFTF---------SSYDMH-WVRQ-A-P-G-K--G-LE-WVSAISSG-----------GGSTYY--A--D--SV--K---GRFTISR-D---N-S--KN----T-LYLQMNSLRA-EDTAVYYCARDRG---------------------------NYFDYWG-QGTLVTVSS</t>
  </si>
  <si>
    <t>DIQ-MTQSPSSLSASVGDRVTITCRASQSI-----------SSYLN-WYQQ-K-P-G-K--A-PK-LLIYAA----------------SSL--Q--S--GV--P---SRFSGSG-------S--GT----D-FTLTISSLQP-EDFATYYCQQAKL----------------------------LPFTFG-QGTKVEIK-</t>
  </si>
  <si>
    <t>QVQ-LVQSGA-EVKKPGASVKVSCKASGYTF---------TSYGIS-WVRQ-A-P-G-Q--G-LE-WMGWISYN------------GNTNY--A--Q--KF--Q---GRVTMTT-D---T-S--TS----T-AYMELRSLRS-DDTAVYYCARDPA----------------------------IYDPWG-QGTLVTVSS</t>
  </si>
  <si>
    <t>QVQ-LVQSGA-EVKKPGASVKVSCKASGYTF---------SSYEMH-WVRQ-A-P-G-Q--G-LE-WMGWISYN------------GNTNY--A--Q--KF--Q---GRVTMTT-D---T-S--TS----T-AYMELRSLRS-DDTAVYYCARAYGWI-----------------------SGYAMDYWG-QGTLVTVSS</t>
  </si>
  <si>
    <t>DIQ-MTQSPASLSVSVGETVTITCRASENI-----------YSNLA-WYQQ-K-Q-G-K--S-PQ-LLVYAA----------------TNL--A--D--GV--P---SRFSGSG-------S--GT----Q-YSLKINSLQS-EDFGSYYCQHFWD---------------------------SIPYTFG-GGTKLEIK-</t>
  </si>
  <si>
    <t>lv9</t>
  </si>
  <si>
    <t>EVQ-LQQSGP-ELVKPGASMKLSCKASGYTF---------TEYTMN-WVKQ-R-P-G-Q--G-LE-WIGWIDYS-----------NGNTGY--N--Q--KF--K---GKATLTA-D---K-S--SS----T-AYMQLSSLTS-EDSAVYFCARDPYYG------------------------NYGFDYWG-QGTTLTVSS</t>
  </si>
  <si>
    <t>DIV-MTQSPLSLPVTPGEPASISCRSSQSLLHS------NGYNYLD-WYLQ-K-P-G-Q--S-PQ-LLIYLG----------------SNR--A--S--GV--P---DRFSGSG-------S--GT----D-FTLKISRVEA-EDVGVYYCMQALQ----------------------------TPGTFG-QGTRLEIK-</t>
  </si>
  <si>
    <t>QVQ-LVQSGA-EVKKPGASVKVSCKASGYTF---------SSYGIH-WVRQ-A-P-G-Q--G-LE-WMGWISYT------------GNSNY--A--Q--KL--Q---GRVTMTT-D---T-S--TS----T-AYMELRSLRS-DDTAVYYCARSYYGS------------------------YDFFDYWG-QGTLVTVSS</t>
  </si>
  <si>
    <t>DIQ-MTQSPSSLSASVGDRVTITCRASQSI-----------SNWLA-WYQQ-K-P-G-K--A-PK-LLIYV-----------------SSL--E--S--GV--P---SRFSGSG-------S--GT----D-FTLTISSLQP-EDFATYYCQQSHT----------------------------FPRTFG-QGTRLEIK-</t>
  </si>
  <si>
    <t>QVQ-LQESGP-GLVKPSQTLSLTCTVSGGSIS--------SGDYWT-WIRQ-P-P-G-K--G-LE-WIGYIYYS------------GSTNY--N--P--SL--K---SRVTISV-D---T-S--KN----Q-FSLKLSSVTA-ADTAVYYCAR---------------------------------QLWG-QGTLVTVSG</t>
  </si>
  <si>
    <t>DIV-LTQSPASLAVSLGQRATISCRASESVDN-------YGISSMN-WFQQ-K-A-G-Q--P-PK-FLIYAA----------------SKQ--G--S--GV--P---ARFSGSG-------S--GT----D-FSLNIHPMEE-DDIAMYFCQQSKE----------------------------VPYTFG-GGTKLEIK-</t>
  </si>
  <si>
    <t>EVQ-LLESGG-GLVQPGGSLRLSCAASGFTF---------SSYAMS-WVRQ-A-P-G-K--G-LE-WVSAISGG------------GSTYY--A--D--SV--K---GRFTISR-D---N-S--KN----T-LYLQMNSLRA-EDTAVYYCARVAV---------------------------SIFGYWG-QGTLVTVSS</t>
  </si>
  <si>
    <t>DIV-MTQSPATLSVSPGERATLSCRASQSV-----------SSNLA-WYQQ-K-P-G-Q--A-PR-LLIYGA----------------STR--A--T--GI--P---ARFSGSG-------S--GT----E-FTLTISSLQS-EDFAVYYCQHYNN---------------------------WPPITFG-QGTRLEIK-</t>
  </si>
  <si>
    <t>EVQ-LVESGG-GLVRPGGSLRLSCAASGFKSS-------GGYYWIV-WVRQ-M-P-G-K--G-LE-WMGGII---------------YD----S--D--SV--K---GRFTISR-D---N-S--KN----T-LYLEM---RA-EDTAVYYCARDT-----------------------------AWDYWG-QGTLVTVSS</t>
  </si>
  <si>
    <t>QVQ-LVQSGA-EVKKPGASVKVSCKASGYTF---------TSYGIS-WVRQ-A-P-G-Q--G-LE-WMGWISYN------------GNTNY--A--Q--KL--Q---GRVTMTT-D---T-S--TS----T-AYMELRSLRS-DDTAVYYCAREGAYGYR-------------------SPYHNWFDPWG-QGTLVTVSS</t>
  </si>
  <si>
    <t>EIV-LTQSPGTLSLSPGERATLSCRASQSVS----------SSYLA-WYQQ-K-P-G-Q--A-PR-LLIYGA----------------SSR--A--T--GI--P---DRFSGSG-------S--GT----D-FTLTISRLEP-EDFAVYYCQQYGN----------------------------SPWTFG-QGTKVEIK-</t>
  </si>
  <si>
    <t>-VQ-LQQSGA-ELVRPGASVKLSCKASGYTF---------TDYWMH-WVKQ-R-P-G-Q--G-LE-WIGAIYPG-----------SGSTNY--N--E--KF--K---GKATLTL-D---T-S--SS----T-AYMQLSSVTS-EDSAVYYCARERG---------------------------DYFAYWG-QGTLVTVSA</t>
  </si>
  <si>
    <t>DIQ-LTQSPSFLSASVGDRVTITCRASQGI-----------SSYLA-WYQQ-K-P-G-K--A-PK-LLIYAA----------------SSL--E--S--GV--P---SRFSGSG-------S--GT----E-FTLTISSLQP-EDFATYYCQQYNN----------------------------YPWTFG-QGTKVEIK-</t>
  </si>
  <si>
    <t>QVQ-LVESGG-GVVPPGRLLRLSCG-SGFGF---------SIYGMH-WVRQ-A-P-G-K--G-LE-WVAIIWDG-----------SRNFYY--A--D--SV--K---GRFTISR-D---N-S--KN----T-LYLQM---RA-EDTAVYYCARAGSG--------------------------SFDDYWG-QGTLVTVSS</t>
  </si>
  <si>
    <t>DIQ-MTQSPSSLSASVGDRVTITCRASQDV-----------STAVA-WYQQ-K-P-G-K--A-PK-LLIYSA----------------SDL--Y--S--GV--P---SRFSGSR-------S--GT----D-FTLTISSLQP-EDFATYYCQQSYS----------------------------TPRTFG-QGTKVEIK-</t>
  </si>
  <si>
    <t>QVQ-LQESGP-GLVKPSETLSLTCSVSGDSM---------NNYYWS-WIRQ-S-P-G-K--G-LE-WIGYISYS------------GSTYY--N--P--SL--K---SRVTISV-D---T-S--KN----Q-FSLKLSSVTA-ADTAVYYCARVQSY-------------------------GNWFAYWG-QGTLVTVSA</t>
  </si>
  <si>
    <t>DIQ-MTQSPSTLSASVGDRVTITCRASQSI-----------SSWLA-WYQQ-K-P-G-K--A-PK-LLIYKA----------------SSL--E--S--GV--P---SRFSGSG-------S--GT----E-FTLTISSLQP-DDFATYYCQQYSS----------------------------YPLTFG-QGTKVEIK-</t>
  </si>
  <si>
    <t>EVQ-LVESGG-GLVKPGGSLRLSCAASGFTF---------SSTAMS-WVRQ-A-P-G-K--G-LE-WVSYISN-------------GSTIY--A--D--SV--K---GRFTISR-D---N-S--KN----T-LYLQMNSLRA-EDTAVYYCARYRGGYDNY-----------------GLTLYYAMDYWG-QGTLVTVSS</t>
  </si>
  <si>
    <t>DIQ-MTQSPSSLSASVGDRVTITCRASQSS------------YSVA-WYQQ-K-P-G-K--A-PK-LLIYSA----------------SSL--Q--S--GV--P---SRFSGSG-------S--GT----D-FTLTISSLQP-EDFATYYCQQYSY----------------------------YSHTFG-QGTKVEIK-</t>
  </si>
  <si>
    <t>EVQ-LVESGG-GLVQPGGSLRLSCAASGFTF---------SSYAMS-WVRQ-A-P-G-K--G-LE-WVSSISSS------------SYIHY--A--D--SV--K---GRFTISR-D---N-A--KN----S-LYLQM---RA-EDTAVYYCAREGLS--------------------------SALDYWG-QGTLVTVSS</t>
  </si>
  <si>
    <t>QVQ-LVQSGA-EVKKPGSSVKVSCKASGGTF---------SSYAIS-WVRQ-A-P-G-Q--G-LE-WMGGIIIF------------GTANY--A--Q--KF--Q---GRVTITA-D---K-S--TS----T-AYMEL---RS-EDTAVYYCAREGT---------------------------TGWDYWG-QGTLVTVSS</t>
  </si>
  <si>
    <t>EIV-LTQSPGTLSLSPGERATLSCRASQVS-----------SSYLA-WYQQ-K-P-G-Q--A-PR-LLIYGA----------------SSR--A--T--GI--P---DRFSGSG-------S--GT----D-FTLTISRLEP-EDFAVYYCQQYG-----------------------------SSSTFG-QGTKVEIK-</t>
  </si>
  <si>
    <t>EVQ-LVESGG-GLVQPGGSLRLSCAASGFNV---------SSSYIH-WVRQ-A-P-G-K--G-LE-WVASISSY-----------YGYTYY--A--D--SV--K---GRFTISA-D---T-S--KN----T-AYLQMNSLRA-EDTAVYYCARSRQFW------------------------YSGLDYWG-QGTLVTVSS</t>
  </si>
  <si>
    <t>DIQ-MTQSPSSLSASVGDRVTITCRASQSV-----------SSAVA-WYQQ-K-P-G-K--A-PK-LLIYSA----------------SSL--Y--S--GV--P---SRFSGSR-------S--GT----D-FTLTISSLQP-EDFATYYCQQSYW---------------------------SYPITFG-QGTKVEIK-</t>
  </si>
  <si>
    <t>QVQ-LVQSGA-EVKKPGASVKVSCKASGYTF---------TSYYIH-WVRQ-A-P-G-Q--G-LE-WMGWINNR------------GTIGY--A--Q--KF--Q---GRVTMTR-D---T-S--IS----T-AYMEL---RS-DDTAVYYCARGGW---------------------------GTTDYWG-QGTLVTVSS</t>
  </si>
  <si>
    <t>DIV-MTQSPDSLAVSLGERATINCKSSQKLYSS------NNKNYLA-WYQQ-K-P-G-Q--P-PK-LLIYWA----------------STR--E--S--GV--P---DRFSGSG-------S--GT----D-FTLTISSLQA-EDVAVYYCQQYYS----------------------------APWTFG-QGTKVEIK-</t>
  </si>
  <si>
    <t>QVQ-LQQSGA-ELVKPGASVKLSCKASGYTF---------TSYWIE-WVKQ-R-P-G-Q--G-LE-WIGRFDFG-----------SDKTTY--N--Q--KF--K---DKATLTV-D---K-S--ST----T-AYMEKSSSRVYMDVWTSGLTSGGAYI------------------------ETRGAYWG-QGTLVTVSA</t>
  </si>
  <si>
    <t>DIQ-MTQSPSSLSASVGDRVTITCRASQDI-----------SNYLN-WYQQ-K-P-G-K--A-PK-LLIYDA----------------SNL--E--T--GV--P---SRFSGSG-------S--GT----D-FTLTISSLQP-EDAASYYCQQSSG---------------------------QALFTFG-PGTKVEIK-</t>
  </si>
  <si>
    <t>QVQ-LVQSGA-EVKKPGSSVKVSCKASGGTFS--------SSYGIS-WVRQ-A-P-G-Q--G-LE-WMGGIIPI-----------LGIANY--A--Q--KF--Q---GRVTITA-D---K-S--TS----T-AYMEL---RS-EDTAVYYCALRDF---------------------------RGGDYWG-QGTLVTVSS</t>
  </si>
  <si>
    <t>QSV-LTQPPS-ASGTPGQRVTISCSGSSIG-----------SNYVY-WYQQ-L-P-G-T--A-PK-LLIYRN----------------NRR--P--S--GV--P---DRFSGSK-------S--GT----S-ASLAISGLQS-EDEADYYCAAWDD----------------------------SLWVFG-GGTKLTVL-</t>
  </si>
  <si>
    <t>EVQ-LVESGG-GLVQPGGSLRLSCAASGFNI---------SSSSIH-WVRQ-A-P-G-K--G-LE-WVASIYSY-----------YGSTSY--A--D--SV--K---GRFTISA-D---T-S--KN----T-AYLQMNSLRA-EDTAVYYCARGYFAYW----------------------YGYAMDYWG-QGTLVTVSS</t>
  </si>
  <si>
    <t>DIQ-MTQSPSSLSASVGDRVTITCRASQSV-----------SSAVA-WYQQ-K-P-G-K--A-PK-LLIYSA----------------SSL--Y--S--GV--P---SRFSGSR-------S--GT----D-FTLTISSLQP-EDFATYYCQQYYR---------------------------YVPFTFG-QGTKVEIK-</t>
  </si>
  <si>
    <t>QVQ-LVESGG-GVVQPGRSLRLSCAASGFTF---------SKYGMH-WVRQ-A-P-G-K--G-LE-WVAIIWDG------------SNKYY--A--D--SV--K---GRFTISR-D---N-S--KN----T-LYLQM---RA-EDTAVYYCAKLSG----------------------------PRDYWG-QGTLVTVSS</t>
  </si>
  <si>
    <t>-YE-LTQPPS-VSVAPGQTARITCGGNNIG-----------SKSVH-WYQQ-K-P-G-Q--A-PV-LVVYDD----------------SDR--P--S--GI--P---ERFSGSN-------S--GN----T-ATLTISRVEA-GDEADYYCQVWDSS--------------------------SDHVLFG-GGTKLTVL-</t>
  </si>
  <si>
    <t>QVQ-LQESGP-GLVKPSQTLSLTCTVTGFSIT--------SDYAWN-WIRQ-F-P-G-N--K-LE-WMGYINFD------------GGTTY--N--P--SL--R---GRISITR-D---T-S--KN----Q-FSLQLTSLTA--DTAVYYCARRVS----------------------------YFDYWG-QGTLVTVSS</t>
  </si>
  <si>
    <t>DIV-MTQSPSSLSASVGDRVTITCRASQSI-----------SSYLN-WYQQ-K-P-G-K--A-PK-LLIYAA----------------SSL--Q--S--GV--P---SRFSGSG-------S--GT----D-FTLTISSLQP-EDFATYYCQQSS-----------------------------SSLTFG-GGTKVEIK-</t>
  </si>
  <si>
    <t>EVQ-LVESGG-GLVQPGGSLRLSCAASGFTF---------SSYDMG-WVRQ-A-P-G-K--G-LE-WVSSISSS-----------GGTIYY--A--D--SV--K---GRFTISR-D---N-S--KN----T-LYLQMNSLRA-EDTAVYYCARHGYN--------------------------YAMDYWG-QGTLVTVSS</t>
  </si>
  <si>
    <t>DIQ-MTQSPSSLSASVGDRVTITCRASQDV-----------STAVA-WYQQ-K-P-G-K--A-PK-LLIYSA----------------SFL--Y--S--GV--P---SRFSGSG-------S--GT----D-FTLTISSLQP-EDFATYYCQQSFS----------------------------TPLTFG-GGTKVEIK-</t>
  </si>
  <si>
    <t>EVQ-LVESGG-GLVKPGGSLRLSCAASGFTF---------SSYWMN-WVRQ-A-P-G-K--G-LE-WVSSISSS-----------SSYIYY--A--D--SV--K---GRFTISR-D---N-A--KN----S-LYLQMNSLRA-EDTAVYYCARDYG---------------------------YGFDYWG-QGTLVTVSS</t>
  </si>
  <si>
    <t>DIQ-MTQSPSSLSASVGDRVTITCQASQDI-----------SDYLN-WYQQ-K-P-G-K--A-PK-LLIYAA----------------SSL--Q--S--GV--P---SRFSGSG-------S--GT----D-FTLTISSLQP-EDFATYYCQQSYS----------------------------TPYTFG-QGTKVEIK-</t>
  </si>
  <si>
    <t>EVQ-LVQSGA-EVKKPGASVKVSCKASGYTF----------TNYIN-WVRQ-A-P-G-Q--G-LE-WMGWISYS-----------GDITNY--A--Q--KF--Q---GRVSMTR-D---T-S--IS----T-AYMELSRLRS-DDTAVYYCVKQTFSLR----------------------ILTLFDYWG-QGTLVTVSS</t>
  </si>
  <si>
    <t>DIQ-MTQSPSSLSASVGDRVTITCRASQSI-----------GTSLA-WYQQ-K-P-G-K--A-PK-LLIYAA----------------SSL--Q--S--GV--P---SRFSGSG-------S--GT----D-FTLTISSLQP-EDFATYYCQQYNN----------------------------YPLTFG-GGTKVEIK-</t>
  </si>
  <si>
    <t>EVQ-LLESGG-GLVQPGGSLRLSCAASGFTF---------SDYYMT-WIRQ-A-P-G-K--G-LE-WVSYISGS-----------SGDIYY--A--D--SV--K---GRFTISR-D---N-S--KN----T-LYLQM---KS-EDTAMYYCAKGYRSDSA--------------------YSGYDYDYWG-QGTLVTVSS</t>
  </si>
  <si>
    <t>SYV-LTQPPS-VSVAPGQTARITCGGNNIG-----------SKSVH-WYQQ-K-P-G-Q--A-PV-LVVYDD----------------SDR--P--S--GI--P---ERFSGSN-------S--GN----T-ATLTISRVEA-GDEADYYCQVWDSS--------------------------SDHVVFG-GGTKLTVL-</t>
  </si>
  <si>
    <t>QVQ-LVQSGA-EVKKPGSSVKVSCKASGYTF---------TNYWIG-WVRQ-A-P-G-Q--G-LE-WMGGIIPIF----------GGTANY--A--Q--KF--Q---GRVTITA-D---E-S--TS----T-AYMELSSLRS-EDTAVYYCARGW------------------------------LSYWG-QGTLVTVSS</t>
  </si>
  <si>
    <t>SYE-LTQPPS-VSVAPGQTARITCGGNNIG-----------SKGVH-WYQQ-K-P-G-Q--A-PV-LVVYDD----------------SDR--P--S--GI--P---ERFSGSN-------S--GN----T-ATLTISRVEA-GDEADYYCQVWDS----------------------------GSVVFG-GGTKLTVG-</t>
  </si>
  <si>
    <t>QSV-LTQPPS-ASGTPGQRVTISCSGSSSNI---------GSNTVN-WYQH-L-P-G-T--A-PK-LLIYGN----------------SNR--P--S--GV--P---DRFSGSK-------S--GT----S-ASLAISGLQS-EDEADYYCATWDD----------------------------SLWVFG-GGTQLTVL-</t>
  </si>
  <si>
    <t>EVQ-LVESGG-GLVQPGGSLKLSCAASGFTF---------SSYAMS-WVRQ-A-P-G-K--G-LE-WVSAISGG------------GATYY--A--D--SV--K---GRFTISR-D---N-S--KN----T-LYLQMNSLRA-EDTAVYYCAKAWSYSGY--------------------SGYDAFDIWG-QGTMVTVSS</t>
  </si>
  <si>
    <t>DIQ-MTQSPSSLSASVGDRVTITCQASQDI-----------SNYLN-WYQQ-K-P-G-K--A-PK-LLIYDA----------------SNL--E--T--GV--P---SRFSGSG-------S--GT----D-FTFTISSLQP-EDIATYYCQQYDN----------------------------LPITFG-QGTRLEIK-</t>
  </si>
  <si>
    <t>EVQ-LVESGG-GLVQPGGSLRLSCVTSGFTF----------NNYIH-WVRQ-A-P-G-K--G-LE-WVSVIYSG------------GSTYY--A--D--SV--K---GRFTISR-D---N-S--KN----T-LFLQMNSLRA-EDTAVYYCAREVVQF------------------------YYGLDVWG-QGTTVTVSS</t>
  </si>
  <si>
    <t>DIQ-MTQSPSSLSASVGDRVTITCRASQDV-----------NTAVA-WYQQ-K-P-G-K--A-PK-LLIYSA----------------SDL--Y--S--GV--P---SRFSGSG-------S--GT----D-FTLTISSLQP-EDFATYYCQQYNN----------------------------YPLTFG-GGTKVEIK-</t>
  </si>
  <si>
    <t>EVQ-LVESGG-GLVQPGGSLRLSCAASGFTF---------SSYGMH-WVRQ-A-P-G-K--G-LE-WVAFIRYD-----------GGNNYY--A--D--SV--K---GRFTISR-D---N-S--KN----T-LYLQMNSLRA-EDTAVYYCARDPRV-------------------------WSSDGYWG-QGTLVTVSS</t>
  </si>
  <si>
    <t>DIQ-MTQSPSSLSASVGDRVTITCRASQSI-----------GSYLN-WYQQ-K-P-G-K--A-PK-LLIYAA----------------SSL--Q--S--GV--P---SRFSGSG-------S--GT----D-FTLTISSLQP-EDFATYYCQQSYS----------------------------TPRTFG-QGTKVEIK-</t>
  </si>
  <si>
    <t>EVQ-LVESGG-GLVQPGGSLRLSCAASGFTF---------SNYAMS-WVRQ-A-P-G-K--G-LE-WVSIIYSS-----------SGSTSY--A--D--SV--K---GRFTISR-D---NNS--KN----T-LYLQM---RV-EDTAVYYCARGDY----------------------------GIDYWG-QGTLVTVSS</t>
  </si>
  <si>
    <t>-YE-LTQPPS-VSVSPGQTARITCSGDALP-----------KQYAY-WYQQ-K-P-G-Q--A-PV-LMIYYT----------------SDR--P--S--GI--P---ERFSGSN-------S--GN----T-ATLTISGTQA-MDEADYYCQAWD-----------------------------SSTVFG-GGTKLTVL-</t>
  </si>
  <si>
    <t>EVQ-LVESGG-GLVQPGGSLRLSCAASGFNV---------YSSSIH-WVRQ-A-P-G-K--G-LE-WVASISSY-----------YGYTYY--A--D--SV--K---GRFTISA-D---T-S--KN----T-AYLQMNSLRA-EDTAVYYCARSRQFW------------------------ASWFAYWG-QGTLVTVSS</t>
  </si>
  <si>
    <t>-IQ-MTQSPSSLSASVGDRVTITCRASQSV-----------SSAVA-WYQQ-K-P-G-K--A-PK-LLIYSA----------------SSL--Y--S--GV--P---SRFSGSR-------S--GT----D-FTLTISSLQP-EDFATYYCQQSSS----------------------------SLITFG-QGTKVEIK-</t>
  </si>
  <si>
    <t>EVQ-LVESGG-GLVQPGGSLRLSCSASGFSL---------SSYWMS-WVRQ-A-P-G-K--G-LE-WIGTVYFS-----------GNIAHY--A--D--SV--K---GRFTISA-D---T-S--KN----T-AYLQMNSLRA-EDTAVYYCARGSRISVA--------------------GSLFWFDYWG-QGTLVTVSS</t>
  </si>
  <si>
    <t>-SV-LTQPPS-VSGAPGQRVTISCTGSSSNIG--------AGYDVH-WYQQ-L-P-G-T--A-PK-LLIYDN----------------NKR--P--S--GV--P---DRFSGSK-------S--GT----S-ASLAITGLQS-EDEADYYCQSYDSS--------------------------LSGSVFG-GGTKLTVL-</t>
  </si>
  <si>
    <t>EVQ-LQQSGP-ELVKPGASVKMSCKASGYSF---------TSYWMH-WVKQ-R-P-G-Q--G-LE-WIGDIYPG-----------SGKTNY--N--E--KF--K---DKATLTA-D---K-S--SS----T-VYMQLSSLTS-EDSAVYFCARFDGS-------------------------SYDFFVWG-PGTVVDFST</t>
  </si>
  <si>
    <t>DVL-MTQTPLSLPVSLGDQASISCRSSQSIVHS------NGNTYLE-WYLQ-K-P-G-Q--S-PK-LLIYKV----------------SNR--F--S--GV--P---DRFSGSG-------S--GT----D-FTLKISRVEA-EDLGVYYCFQGSH----------------------------VPLTFG-AGTKLELK-</t>
  </si>
  <si>
    <t>EVQ-LVESGG-GLVQPGGSLRLSCAASGFNI---------KDTYIH-WVRQ-A-P-G-K--G-LE-WVASISPY-----------SGSTSY--A--D--SV--K---GRFTISA-D---T-S--KN----T-AYLQMNSLRA-EDTAVYYCARGYFSLRTF------------------VLSPSWFDYWG-QGTLVTVSS</t>
  </si>
  <si>
    <t>QSV-LTQPPS-VSAAPGQKVTISCSGSSSNI---------GNNYVS-WYQQ-L-P-G-T--A-PK-LLIYDN----------------NKR--P--S--GI--P---DRFSGSK-------S--GT----S-ATLGITGLQT-GDEADYHCQYNSD---------------------------SSGAVFG-GGTKLTVL-</t>
  </si>
  <si>
    <t>QVQ-LVQSGA-EVKKPGASVKVSCKASGYTF---------TSYGIS-WVRQ-A-P-G-Q--G-LE-WMGWISYT-----------NGNTRY--S--Q--KF--Q---GRVSMTR-D---T-S--IS----T-AYMELRSLRS-DDTAVYYCASLGQS-------------------------VGFFDYWG-QGTLVTVSS</t>
  </si>
  <si>
    <t>DIQ-MTQSPSSLSASVGDRVTLTCQASQDI-----------RKFLN-WYQQ-K-P-G-K--A-PK-LLIYDA----------------SNL--E--T--GV--P---SRFSGSG-------S--GT----D-YSLTISNLEQ-EDIATYFCQQGFT----------------------------LPWTFG-GGTKLEIK-</t>
  </si>
  <si>
    <t>EVQ-LVESGG-GLVQPGGSLRLSCAASGFTF---------SSYDMS-WVRQ-T-T-G-K--G-LE-WVSAVPSG------------NTIYY--A--D--SV--K---GRFTISR-D---N-S--KN----T-LYLQMNSLRA-EDTAVYYCARGSYSGG----------------------SSYYFDYWG-QGTLVTVSS</t>
  </si>
  <si>
    <t>-IV-MTQSPSSLSASVGDRVTITCRASQGIGS--------RADYLN-WYQQ-K-P-G-K--A-PK-LLIYAA----------------SSL--Q--S--GV--P---SRFSGSG-------S--GT----D-FTLTISSLQP-EDFATYYCQQYD-----------------------------LPITFG-QGTRLEIK-</t>
  </si>
  <si>
    <t>EVQ-LVESGG-GLVQPGGSLRLSCAASGFTF---------SSYWMN-WVRQ-P-P-G-K--G-LE-WVSGISGS-----------GGSTYY--A--D--SV--K---GRFTISR-D---N-S--KN----T-LYLQMNSLRA-EDTAVYYCAKGSAT-------------------------YGNHDYWG-QGTLVTVSS</t>
  </si>
  <si>
    <t>DIQ-MTQSPSSLSASVGDRVTITCRASQSV-----------SSAVA-WYQQ-K-P-G-K--A-PK-LLIYSA----------------SDL--Y--S--GV--P---SRFSGSR-------S--GT----D-FTLTISSLQP-EDFATYYCQQAKV---------------------------QIPVTFG-QGTKVEIK-</t>
  </si>
  <si>
    <t>EVQ-LLESGG-GLVQPGGSLRLSCAASGFTF---------SSYAMS-WVRQ-A-P-G-K--G-LE-WVSYITSG------------GTTYY--A--D--SV--K---GRFTISR-D---N-S--KN----T-LYLQMNSLRA-EDTAVYYCAKAWAG-------------------------WELSTYWG-QGTLVTVSS</t>
  </si>
  <si>
    <t>DIQ-MTQSPSSLSASVGDRVTITCRASQSV-----------SSAVA-WYQQ-K-P-G-K--A-PK-LLIYSA----------------SSL--Y--S--GV--P---SRFSGSR-------S--GT----D-FTLTISSLQP-EDFATYYCQQYS-----------------------------SPYTFG-QGTKVEIK-</t>
  </si>
  <si>
    <t>EVQ-LQQSGA-ELVRPGSSVKISCKGSGYVF---------SNYWIH-WVKQ-R-P-G-Q--G-LE-WIGVYPYN-----------DDDTNY--N--Q--NF--K---DKAKLTA-S---V-D--TT----S-YNMQLTSVSS-ATSATYFCTRY-------------------------------FDYWG-QGTTLTVSS</t>
  </si>
  <si>
    <t>DIV-LTQSPSSLSASVGDRVTITCRASSSVYH-------SDGNIYY-WYQQ-K-P-G-S--A-PK-LLIYEA----------------SSL--E--S--GV--P---SRFSGSG-------S--GT----D-FTLTISSLQA-EDVATYYCQKYNS----------------------------APWTFG-QGTKVEIK-</t>
  </si>
  <si>
    <t>EVQ-LVESGG-GLVQPGGSLRLSCAASGFNF---------SSSSIH-WVRQ-A-P-G-K--G-LE-WVASISSS-----------YGSTYY--A--D--SV--K---GRFTISA-D---T-S--KN----T-AYLQMNSLRA-EDTAVYYCARHVS---------------------------PWYDVWG-QGTLVTVSS</t>
  </si>
  <si>
    <t>DIQ-MTQSPSSLSASVGDRVTITCRASQSV-----------SSAVA-WYQQ-K-P-G-K--A-PK-LLIYSA----------------SSL--Y--S--GV--P---SRFSGSR-------S--GT----D-FTLTISSLQP-EDFATYYCQQYNT----------------------------YPLTFG-QGTKVEIK-</t>
  </si>
  <si>
    <t>EVQ-LLESGG-GLVQPGGSLRLSCAASGFTF---------SSYAMS-WVRQ-A-P-G-K--G-LE-WVSAISSG------------GSTYY--A--D--SV--K---GRFTISR-D---N-S--KN----T-LYLQM---RA-EDTAVYYCAKSG-----------------------------AFDVWG-QGTLVTVSS</t>
  </si>
  <si>
    <t>EVQ-LVESGG-GLVQPGGSLRLSCAASGFIV---------SRNYMS-WVRQ-A-P-G-K--G-LE-WVAYISSS-----------SGSTSY--A--D--SV--K---GRFTISA-D---T-S--KN----T-AYLQMNSLRA-EDTAVYYCARGGG----------------------------YFDYWG-QGTLVTVSS</t>
  </si>
  <si>
    <t>DIQ-MTQSPSSLSASVGDRVTITCRASQSV-----------SSAVA-WYQQ-K-P-G-K--A-PK-LLIYSA----------------SSL--Y--S--GV--P---SRFSGSR-------S--GT----D-FTLTISSLQP-EDFATYYCQQYYWS--------------------------WPPFTFG-QGTKVEIK-</t>
  </si>
  <si>
    <t>QVQ-LQQSGP-ELVRPGVSVKISCKGSGYTF---------TDYAIH-WVKQ-S-H-A-K--S-LE-WIGVFSYY------------GNTNY--N--Q--KF--K---GKATMTV-D---K-S--SS----T-AYMEL---TS-EDSAIYYCARKSY---------------------------YVDDYWG-QGTSVT---</t>
  </si>
  <si>
    <t>QIV-LTQSPAIMSASPGEKVTMTCSASSSV------------SYMH-WYQQ-K-S-G-T--S-PK-RWIYDT----------------SKL--A--S--GV--P---ARFSGSG-------S--GT----S-YSLTISSMEA-EDAATYYCQQWSS----------------------------HPPTFG-GGTKLEI--</t>
  </si>
  <si>
    <t>QVQ-LQQSGA-ELVKPGASVKLSCTASGFNI---------KDTYIH-WVKQ-R-P-E-Q--G-LE-WIGRIDPAN----------GNYTKY--D--P--KF--Q---GKATITA-D---T-S--SN----T-AYLQLSSLTS-EDTAVYYCARKAYYYGA-------------------PTYGNAMDYWG-QGTSVTVSS</t>
  </si>
  <si>
    <t>DIV-MTQSPDSLAVSLGERATINCKSSQNN-----------KNYLA-WYQQ-K-P-G-Q--P-PK-LLIYWA----------------STR--E--S--GV--P---DRFSGSG-------S--GT----D-FTLTISSLQA-EDVAVYYCQQYYS----------------------------IPRTFG-GGTKLEIK-</t>
  </si>
  <si>
    <t>EVQ-LLESGG-GLVQPGGSLRLSCAASGFTF---------SSYAMS-WVRQ-A-P-G-K--G-LE-WVSAISGA------------TGSDY--A--D--SV--K---GRFTISR-D---N-S--KN----T-LYLQMNSLRA-EDTAVYYCARGGYWS------------------------PYALDYWG-QGTLVTVSS</t>
  </si>
  <si>
    <t>EVQ-LQQSGP-ELVRPGASMKISCKASGYSF---------TGYTMN-WVKQ-S-H-G-K--N-LE-WIGLINPY-----------NGGTSY--N--Q--KF--K---GKATLTV-D---K-S--SS----T-AYMELLSLTS-EDSAVYYCARS--------------------------------DYWG-QGTLVTVSA</t>
  </si>
  <si>
    <t>DIV-LTQSPASLAVSLGQRATISCRASES-------------VE---IY---A-G-Q-Q--T-PR-LLIKYA----------------SQS--I--S--GI--P---SRFSGSG-------S--GT----D-FTLTINSVES-EDIADYFCQQSTV----------------------------FPWTFG-AGTKLELK-</t>
  </si>
  <si>
    <t>QVQ-LVQSGA-EVKKPGASVKVSCKASGYTF---------TNYGIS-WVRQ-A-P-G-Q--G-LE-WMGWIKLPV----------DGGTNY--A--Q--KF--Q---GRVTMTR-D---T-S--TS----T-AYMELSSLRS-EDTAVYYCARGQGYD------------------------DYTMDVWG-KGTTVTVSS</t>
  </si>
  <si>
    <t>DIL-LTQSPAILSVSPGERVSFSCRASQSI-----------GTDIH-WYQQ-R-T-N-G--S-PR-LLIKYA----------------SES--I--S--GI--P---SRFSGSG-------S--GT----D-FTLSINSVES-EDIANYYCQQSN-----------------------------WPLTFG-AGTKLELK-</t>
  </si>
  <si>
    <t>EVQ-LVESGG-GLVQPGGSLRLSCAASGFTF---------SSYWMH-WVRQ-A-P-G-K--G-LE-WVSGIGS-------------GGTIY--A--D--SV--K---GRFTISR-D---N-S--KN----T-LYLQMNSLRA-EDTAVYYCARGFWYH------------------------YHGLDYWG-QGTLVTVSS</t>
  </si>
  <si>
    <t>DIQ-MTQSPSSLSASVGDRVTITCRASQGI-----------SSYLA-WYQQ-K-P-G-K--A-PK-LLIYAV---------------ASTL--Q--S--GV--P---SRFSGSG-------S--GT----D-FTLTISSLQP-EDFATYYCQQSSS----------------------------SLITFG-QGTKVEIK-</t>
  </si>
  <si>
    <t>-VQ-LQQSGA-ELVQPGASVKLSCKASGYTF---------TSYWMH-WVKQ-R-P-G-Q--G-LE-WIGAFIYP-----------GNGDNY--N--G--KF--K---GKATLTA-D---K-S--SS----T-AYMQLSSLTS-EDSAVYYCARLGL---------------------------GYFDYWG-QGTTLTVSS</t>
  </si>
  <si>
    <t>DIV-MTQSHKFMSTSVGDRVSITCKASQNV------------RTIS-WYRQ-K-P-G-Q--S-PK-LLIYWA----------------STR--H--T--GV--P---DRFTGSG-------Y--GT----D-FTFTISSLQP-EDIATYYCQQYDN----------------------------LQFTFG-PGTKVDIR-</t>
  </si>
  <si>
    <t>EVQ-LVESGG-GLVQPGGSLRLSCAASGFNV---------SYYSIH-WVRQ-A-P-G-K--G-LE-WVASIYY--------------YYSY--A--D--SV--K---GRFTISA-D---T-S--KN----T-AYLQM---RA-EDTAVYYCARGYRG-------------------------SGYYDYWG-QGTLVTVSS</t>
  </si>
  <si>
    <t>DIQ-MTQSPSSLSASVGDRVTITCRASQSV-----------SSAVA-WYQQ-K-P-G-K--A-PK-LLIYSA----------------SSL--Y--S--GV--P---SRFSGSR-------S--GT----D-FTLTISSLQP-EDFATYYCQQANS----------------------------FPITFG-QGTRLEIK-</t>
  </si>
  <si>
    <t>QVQ-LQQSGP-GLVKPSQTLSLTCAISGDSV---------SSNSAAWWIRQ-P-P-G-K--G-LE-WIGCIYKS------------GSTNY--N--P--SL--K---SRVTISV-D---T-S--KN----Q-FSLKLSSVTA-ADTAVYYCARDYY----------------------------GSDVWG-QGLV-----</t>
  </si>
  <si>
    <t>DIV-MTQSPSFLSASVGDRVTITCRASQGI-----------SSYLA-WYQQ-K-P-G-Q--A-PR-LLIYDA----------------SNR--A--T--GI--P---ARFSGSG-------S--GT----E-FTLTISSLQP-EDFATYYCQHLT-----------------------------SSYTFG-QGTRVEIK-</t>
  </si>
  <si>
    <t>QVQ-LVESGG-GVVQPGRSLRLSCAASGFIF---------SSYGMA-WVRQ-A-P-G-K--G-LE-WVAVISYD-----------GSNKYY--A--D--SV--K---GRFTISR-D---N-S--KN----T-LYLQMNSLRA-EDTAVYYCARDPLLDGG--------------------FVTVSSDYWG-QGTLVTVSS</t>
  </si>
  <si>
    <t>EVQ-LLESGG-GLVQPGGSLRLSCAASGFTF---------SSYAMS-WVRQ-A-P-G-K--G-LE-WVSSIGGS------------GYIHY--A--D--SV--K---GRFTISR-D---N-S--KS----T-LYLQMTSLRS-EDTALYYCVSGGFG-------------------------DDIFMHWG-QGTLVTVSS</t>
  </si>
  <si>
    <t>-IV-LTQSPF-QSVSPKEKVTMTCRASSV-------------SYMS-WYQQ-K-P-G-Q--P-PK-LLIYAAS--------------NQGV--S--S--GI--P---SRFSGSG-------S--GT----D-FTLTINSLQP-EDFATYYCQQHYS----------------------------GPLTFG-GGTKVEIK-</t>
  </si>
  <si>
    <t>EVQ-LVESGG-GLVQPGGSLRLSCAASGFTF---------SDHWID-WVRQ-A-P-G-K--G-LE-WIGEINPT-----------GEPTYY--N--Q--KF--K---GRFTISR-D---N-S--KN----T-LFLQMNSLRA-EDTAVYYCARGI-----------------------------TGDIWG-QGTMVTVS-</t>
  </si>
  <si>
    <t>DIQ-MTQSPSSLSASVGDRVTITCRASQGI-----------SNYLA-WYQQ-K-P-G-K--A-PK-LLIYYA----------------SNL--E--S--GV--P---SRFSGSG-------S--GT----D-FTLTISSLQP-EDFATYYCQQSYY----------------------------PPFTFG-PGTKVDIK-</t>
  </si>
  <si>
    <t>EVQ-LVESGG-GLVQPGGSLKLSCTASGFTF----------SDSIH-WVRQ-A-P-G-K--G-LE-WVAFISYD-----------GSNKYY--A--D--SV--K---GRFTISR-D---N-S--KN----T-LYLQMNSLRA-EDTAVYYCANWGSIS-----------------------VSYALDYWG-QGTLVTVSS</t>
  </si>
  <si>
    <t>DIQ-MTQSPSSLSASVGDRVTITCRASQSV-----------SSAVA-WYQQ-K-P-G-K--A-PK-LLIYSA----------------SSL--Y--S--GV--P---SRFSGSR-------S--GT----D-FTLTISSLQP-EDFATYYCQQFNN----------------------------YPLTFG-QGTKVEIK-</t>
  </si>
  <si>
    <t>QVQ-LVQSGA-EVKKPGASVKVSCKASGYTF---------TSYGLS-WVRQ-A-P-G-Q--G-LE-WMGWISAY-----------NGNTNY--A--Q--KL--Q---GRVTMTT-D---T-S--TS----T-AYMELRSLRS-DDTAVYYCAIDDTSAG----------------------GYYGFDYWG-QGTLVTVSS</t>
  </si>
  <si>
    <t>DIE-LTQSPATLSLSPGERATLSCRASQSV-----------SSYLA-WYQQ-K-P-G-Q--A-PR-LLIYDA----------------SNR--A--T--GI--P---ARFSGSG-------S--GT----D-FTLTISSLEP-EDFAVYYCQQRSN----------------------------WPLTFG-GGTKVEIK-</t>
  </si>
  <si>
    <t>EVQ-LVESGG-GLVQPGGSLRLSCAASGFTF---------SSYAMT-WVRQ-A-P-G-K--G-LE-WVSAIGSG------------GATYY--A--D--SV--K---GRFTISR-D---N-S--KN----T-LYLQMNSLRA-EDTAVYYCARDLGD-------------------------WQAFDYWG-QGTLVTVSS</t>
  </si>
  <si>
    <t>DIQ-MTQSPSSLSASVGDRVTITCRASQSV-----------SSAVA-WYQQ-K-P-G-K--A-PK-LLIYSA----------------SSL--Y--S--GV--P---SRFSGSR-------S--GT----D-FTLTISSLQP-EDFATYYCQQYS-----------------------------SYWTFG-QGTKVEIK-</t>
  </si>
  <si>
    <t>QVQ-LVQSGA-EVKKPGASVKVSCKASGYTF---------TNYGIS-WVRQ-A-P-G-Q--G-LE-WMGWISID------------GPKKY--P--S--KF--RQ--GRATITR-D---T-S--TS----T-AYLEL---RS-DDTAVYYCVGSSYQ-------------------------GVYFAFWG-QGTLVTVSS</t>
  </si>
  <si>
    <t>DIQ-MTQSPSSLSASVGDRVTITCRASQDI-----------SSYLN-WYQQ-K-P-G-K--A-PK-LLIYDA----------------SSL--Q--S--GV--P---SRFSGSG-------S--GT----D-FTLTISSLQP-EDFATYYCQQASY----------------------------APYTFG-QGTKVEIK-</t>
  </si>
  <si>
    <t>EVQ-LVESGG-GLVQPGGSLRLSCAASGFTF---------SDYYIH-WVRQ-A-P-G-K--G-LE-WVANIKQD-----------GSEKYY--V--D--SV--K---GRFTISR-D---N-A--KN----S-LYLQMNSLRA-GDTAVYYCARVDRG--------------------------YYLDYWG-QGTLVTVSS</t>
  </si>
  <si>
    <t>DIQ-MTQSPSSLSASVGDRVTITCRASQSI-----------SSYLN-WYQQ-K-P-G-K--A-PK-LLIYAA----------------SSL--Q--S--GV--P---SRFSGSG-------S--GT----D-FTLTISSLQP-EDFATYYCQQIY-----------------------------TPPTFG-QGTKVEIK-</t>
  </si>
  <si>
    <t>EVQ-LQQSGP-ELVKPGASMKISCKASGYSF---------TGYTMN-WVKQ-S-H-G-K--N-LE-WIGLINPY-----------NGGTSY--N--Q--KF--K---GKATLTV-D---K-S--SS----T-AYMELLSLTS-EDSAVYYCARSD-----------------------------GSSYWG-QGTLVTVSA</t>
  </si>
  <si>
    <t>DIV-MTQSPSSLTVTAGEKVTMSCKSSQSLLNS-----GNQKNYLT-WYQQ-K-P-G-Q--S-PK-LLIYWA----------------STR--D--S--GV--P---DRFTGSG-------S--GT----D-FTLTISSVQA-EDLAVYYCQNDYT----------------------------YPLTFG-AGTKLELK-</t>
  </si>
  <si>
    <t>EVQ-LQQSGP-ELVRPGASMKISCKASGYSF---------TGYTMN-WVKQ-S-H-G-K--N-LE-WIGLINPY-----------NGGTSY--N--Q--KF--K---GKATLTV-D---K-S--SS----T-AYMELLSLTS-EDSAVYYCARSGNYRYS--------------------GSYFAMDYWG-QGTSVTVSS</t>
  </si>
  <si>
    <t>DIV-MTQSHKFMSTSVGDRVSITCKASQVS------------SNLA-WYQQ-K-P-G-Q--S-PN-LLIYSA----------------SNR--Y--T--GV--P---DRFTGSG-------S--GT----D-FTFTISSVQA-EDLAVYYCQQHYS----------------------------YPFTFG-SGTKLEIK-</t>
  </si>
  <si>
    <t>EVQ-LVESGG-GLVQPGGSLRLSCAASGFTF---------SSYWMS-WVRQ-A-P-G-K--G-LE-WVAYITDG------------SEKYY--A--D--SV--K---GRFTISR-D---N-S--KN----T-LYLQMNSLRA-EDTAVYYCVKDRI----------------------------GSKRWG-QGTLVTVSS</t>
  </si>
  <si>
    <t>DIQ-MTQSPSSLSASVGDRVTVTCRASQITGD--------INNYLS-WYQQ-K-P-G-K--A-PK-LLIYDA----------------SNL--E--T--GV--P---SRFSGSG-------S--GT----D-FTLTISSLQP-EDFATYYCQQYSS----------------------------YPLTFG-QGTKVEIK-</t>
  </si>
  <si>
    <t>EVQ-LVESGG-GLVQPGGSLRLSCAASGFNF---------SSSSIH-WVRQ-A-P-G-K--G-LE-WVASISPYS----------SSYADY--A--D--SV--K---GRFTISA-D---T-S--KN----T-AYLQMNSLRA-EDTAVYYCARGGW----------------------------ALDYWG-QGTLVTVSS</t>
  </si>
  <si>
    <t>DIQ-MTQSPSSLSASVGDRVTITCRASQSV-----------SSAVA-WYQQ-K-P-G-K--A-PK-LLIYSA----------------SSL--Y--S--GV--P---SRFSGSR-------S--GT----D-FTLTISSLQP-EDFATYYCQQYNS----------------------------YPITFG-QGTKVEIK-</t>
  </si>
  <si>
    <t>QVQ-LVQSGA-EVKKPGASVKVSCKASGYTF---------TSYAIH-WVRQ-A-P-G-Q--G-LE-WMGWISHS-----------NGNTGY--A--Q--KL--Q---GRVTMTR-D---T-S--TS----T-VYMELRSLRS-DDTAVYYCARGGSAQ------------------------YYDFFHWG-PGTLVTVSS</t>
  </si>
  <si>
    <t>DIQ-MTQSPSSLSASVGDRVTITCKASQDV-----------STAVA-WYQQ-K-P-G-K--A-PK-LLIYSA----------------SFL--Y--S--GV--P---SRFSGSG-------S--GT----D-FTLTISSLQP-EDFATYYCLQYDS----------------------------SPYTFG-QGTKLEIK-</t>
  </si>
  <si>
    <t>EVQ-LVESGG-GLVQPGGSLRLSCAASGFTF---------STYGMH-WVRQ-A-P-G-K--G-LE-WVSIIYSG------------GSTYY--A--D--SV--K---GRFTISR-D---N-S--KN----T-LYLQMNSLRA-EDTAVYYCARGFY----------------------------GMDYWG-QGTLVTVSS</t>
  </si>
  <si>
    <t>DIQ-MTQSPSSLSASVGDRVTITCRASQSI-----------SNYLN-WYQQ-K-P-G-K--A-PK-LLIYAA----------------SSL--Q--S--GV--P---SRFSGSG-------S--GT----D-FTLTISSLQP-EDFATYYCQHYT-----------------------------TPYTFG-QGTKVDIK-</t>
  </si>
  <si>
    <t>EVQ-LVESGG-GLVQPGGSLRLSCAASGFTFS--------DHNYMQ-WVRQ-V-P-G-K--G-LE-WVANIQDK------------GNNHY--A--D--SV--K---GRFTISR-D---N-A--KN----S-LYLQMNSLRA-EDTAVYHCARDYVY-------------------------PNHFDPWG-QGTLVTVSS</t>
  </si>
  <si>
    <t>DIV-MTQTPLSLPVTPGEPASISCRSSQSLVTY------FTNYGMH-WYQQ-K-P-G-Q--A-PK-LLIYKA----------------SHS--E--S--GL--T-----FSGSG-------S--GT----D-FTLTINPVEA-DDFATYFCQAYNS----------------------------LPTTFG-AGTKLELK-</t>
  </si>
  <si>
    <t>DIQ-MTQSPSSLSASVGDRVTITCRASQGI-----------SSWLA-WYQQ-K-P-G-K--A-PK-LLIYKA----------------SSL--E--S--GV--P---SRFSGSG-------S--GT----E-FTLTISSLQP-DDFATYYCQQYNS----------------------------YSWTFG-QGTKLEIK-</t>
  </si>
  <si>
    <t>EVQ-LVESGG-GLVQPGGSLRLSCAASGFTL---------SDNYMT-WVRQ-A-P-G-K--G-LE-WVSGINYNN----------GGTTYY--L--D--SV--K---GRFTISR-D---N-A--KN----S-LYLQMKSLRA-EDTAVYYCARDLISYGG-------------------TTQYYAMDYWG-QGTSVTVSS</t>
  </si>
  <si>
    <t>DIQ-MTQSPSSLSASVGDRVTITCRASQSV-----------SSAVA-WYQQ-K-P-G-K--A-PK-LLIYSA----------------SSL--Y--S--GV--P---SRFSGSR-------S--GT----D-FTLTISSLQP-EDFATYYCQQHYN---------------------------IPLFTFG-QGTKVEIK-</t>
  </si>
  <si>
    <t>EVQ-LVESGG-GLVQPGGSLRLSCAASGFTF---------SDYYMS-WIRQ-A-P-G-K--G-LE-WVSYISSS-----------GSNIYY--A--D--SV--K---GRFTISR-D---N-A--KN----S-LYLQMNSLRA-EDTAVYYCAKVPPW--------------------------YAFDYWG-QGTLVTVSS</t>
  </si>
  <si>
    <t>DIQ-MTQSPSSLSASVGDRVTITCRASQDI-----------NKYLN-WYQQ-K-P-G-K--A-PK-LLIYAA----------------SSL--Q--S--GV--P---SRFSGSG-------S--GT----D-FTLTISSLQP-EDFATYYCQQANS----------------------------FPYTFG-QGTKLEIK-</t>
  </si>
  <si>
    <t>EVQ-LVESGG-GLVQPGGSLRLSCAASGFNV---------SYSSIH-WVRQ-A-P-G-K--G-LE-WVASISSY-----------YGYTYY--A--D--SV--K---GRFTISA-D---T-S--KN----T-AYLQMNSLRA-EDTAVYYCARSWYSWSV--------------------FGYSAMDYWG-QGTLVTVSS</t>
  </si>
  <si>
    <t>DIQ-MTQSPSSLSASVGDRVTITCRASQSV-----------SSAVA-WYQQ-K-P-G-K--A-PK-LLIYSA----------------SSL--Y--S--GV--P---SRFSGSR-------S--GT----D-FTLTISSLQP-EDFATYYCQQSYS----------------------------TPPTFG-QGTKVEIK-</t>
  </si>
  <si>
    <t>EVQ-LVESGG-GLVQPGGSLRLSCAASGFTF---------SSYGMH-WVRQ-A-P-G-K--G-LE-WVAYISSS------------GYTSY--A--D--SV--K---GRFTISR-D---N-A--KN----S-LYLQMNSLRA-EDTAVYYCARDGSS--------------------------GPDDYWG-QGTLVTVSS</t>
  </si>
  <si>
    <t>DIQ-MTQSPSSLSASVGDRVTITCRASQDV-----------STAVA-WYQQ-K-P-G-K--A-PK-LLIYSA----------------SSL--Y--S--GV--P---SRFSGSR-------S--GT----D-FTLTISSLQP-EDFATYYCQQYNI----------------------------YPLTFG-QGTKVEIK-</t>
  </si>
  <si>
    <t>QVQ-LQQPGA-ELVRPGASVKLSCKASGYTF---------TSYWMQ-WVKQ-R-P-G-Q--G-LE-WIGAIYPG-----------SGDTSY--N--Q--KF--K---GKATLTA-D---K-S--SS----T-AYMQLSSLTS-DDSAVYYCSRSDPYYD---------------------YYYYAMDYWG-QGTSVTVSS</t>
  </si>
  <si>
    <t>DIV-LTQSPASLAVSLGQRATISCRASESVDN-------YGISSMN-WFQQ-K-P-G-Q--P-PK-LLIYAA----------------SNQ--G--S--GV--P---ARFSGSG-------S--GT----D-FSLNIHPMEE-DDTAMYFCQQSKE----------------------------VPWTFG-GGTKLEIK-</t>
  </si>
  <si>
    <t>QVQ-LVQSGA-EVKKPGASVKVSCKASGYTF---------TDYYIH-WVRQ-A-P-G-Q--G-LE-WMGWISTY-----------NGNTNY--A--Q--KF--Q---GRVTMTT-D---T-S--TS----T-AYMEL---RS-DDTAVYYCARGLGV--------------------------GYLDYWG-QGTLVTVSS</t>
  </si>
  <si>
    <t>DIV-MTQSPLSLPVTPGEPASISCRSSQSLVHS-----DGYNFYLA-WHQQ-K-P-G-Q--P-PK-LLIHLKS--------------VSNL--E--S--GV--P---SRFSGSG-------S--GT----D-FTLKISRVEA-EDVGLYYCMQELQ----------------------------TPWTFG-QGTKVEIK-</t>
  </si>
  <si>
    <t>EVQ-LVESGG-GLVQPGGSLRLSCAASGFNI---------YYSSIH-WVRQ-A-P-G-K--G-LE-WVASIYSY-----------YGSTSY--A--D--SV--K---GRFTISA-D---T-S--KN----T-AYLQM---RA-EDTAVYYCARTSR---------------------------YEGDYWG-QGTLVTVSS</t>
  </si>
  <si>
    <t>EIV-LTQSPATLSLSPGERATLSCRASQSV-----------SSYLA-WYQQ-K-P-G-Q--A-PR-LLIYDA----------------SNR--A--T--GI--P---ARFSGSG-------S--GT----D-FTLTISSLEP-EDFAVYYCQQANS---------------------------WPPFTFG-QGTKLEIK-</t>
  </si>
  <si>
    <t>EVQ-LVQSGA-EVKKPGASVKVSCKASGYTF---------TSYYMH-WVRQ-A-P-G-Q--G-LE-WMGWINNS------------GGTNY--A--Q--KF--Q---GRVTMTR-D---T-S--TS----T-VYMELSSLRS-DDTAVYYCAREVG----------------------------GFAYWG-QGTLVTVSS</t>
  </si>
  <si>
    <t>DIQ-MTQSPSSLSASVGDRVTITCRASQSI-----------SSYLN-WFQQ-K-P-G-K--A-PK-LLIYAA----------------SSL--Q--S--GV--P---SRFSGSG-------S--GT----D-FTLTISSLQP-EDFATYYCQQSYS----------------------------TPRTFG-QGTKVEIK-</t>
  </si>
  <si>
    <t>DVQ-LQESGG-GLVQPGGSLRLSCAASGFNF----------SYAMC-WVRQ-A-P-G-K--G-LE-WVAYITQK-----------GGTISK--A--DV-SF--K---GRFTISR-D---N-S--EN----T-LYLQM---RV-EDTAVYYCARAVS----------------------------YSDYWG-QGTLVTVSS</t>
  </si>
  <si>
    <t>EIV-LTQSPGILSLSPGERATLSCRASQSVS----------SSYLA-WYQQ-K-P-G-Q--A-PR-LLIYGA----------------SSR--A--T--GI--P---DRFSGSG-------S--GT----D-FTLTISRLEP-EDFAVYYCQQYGS----------------------------SPRTFG-QGTKVEIK-</t>
  </si>
  <si>
    <t>QVQ-LVESGG-GVVQPGRSLRLSCAASGFTF---------SSYGMH-WVRQ-A-P-G-K--G-LE-WVAVISYD-----------GSNKYY--A--D--SV--K---GRFTISR-D---N-S--KN----T-LYLQMNSLRA-EDTAVYYCARQLG---------------------------AGFDYWG-QGTLVTVSS</t>
  </si>
  <si>
    <t>DIQ-MTQSPSSLSASVGDRVTITCRASQGI-----------RNDLG-WYQQ-K-P-G-K--A-PK-LLISAA----------------STL--Q--S--GV--P---SRFSGSG-------S--GT----D-FTLTISSLQP-EDFATYYCQQDL-----------------------------SLPTFG-GGTKVEIK-</t>
  </si>
  <si>
    <t>EVQ-LVESGG-GLVQPGGSLRLSCAASGFTF---------SDYYMS-WIRQ-A-P-G-K--G-LE-WVASISPY-----------SSSTYY--A--D--SV--K---GRFTISA-D---T-S--KN----T-AYLQMNSLRA-EDTAVYYCARDLG---------------------------HYYDVWG-QGTLVTVSS</t>
  </si>
  <si>
    <t>DIQ-MTQSPSSLSASVGDRVTITCRASQSV-----------SSAVA-WYQQ-K-P-G-K--A-PK-LLIYSA----------------SSL--Y--S--GV--P---SRFSGSR-------S--GT----D-FTLTISSLQP-EDFATYYCQQYYE---------------------------WPPFTFG-QGTKVEIK-</t>
  </si>
  <si>
    <t>QVQ-LVQSGA-EVKKPGASVKVSCKASGYTF---------TSYGIS-WVRQ-A-P-G-Q--G-LE-WMGWISTY-----------NGNTNY--A--Q--KF--Q---GRVTMTT-D---T-S--TS----T-AYMEL---RS-DDTAVYYCARDPY---------------------------YGSDVWG-QGTTVTVSS</t>
  </si>
  <si>
    <t>DIV-MTQSPDSLAVSLGERATINCKSSQNN-----------KNYLA-WYQQ-K-P-G-Q--P-PK-LLIYWA----------------STR--E--S--GV--P---DRFSGSG-------S--GT----D-FTLTISSLQA-EDVAVYHCQQYYS----------------------------SPYTFG-GGTKLEIK-</t>
  </si>
  <si>
    <t>DVQ-LQESGP-SLVKPSQTLSLTCSVTGDSI---------TSDYWS-WIRK-F-P-G-N--R-LE-YMGYVSYS------------GSTYY--N--P--SL--K---SRISITR-D---T-S--KN----Q-FFLQLNSVTT-EDTATYYCARPYYYG------------------------GRAMDYWG-QGTSVTVSS</t>
  </si>
  <si>
    <t>DIV-LTQSPASLAVSLGQRATISCRASESVDN-------YGISFMN-WFQQ-K-P-G-Q--P-PK-LLIYAA----------------SNQ--G--S--GV--P---ARFSGSG-------S--GT----D-FSLNIHPMEE-DDTAMYFCQQSKE----------------------------VPYTFG-GGTKLEIK-</t>
  </si>
  <si>
    <t>QVQ-LVQSGS-ELKKPGASVKVSCKASGYTF---------TNYGIS-WVRQ-A-P-G-Q--G-LE-WMGWISAY-----------NGNTNY--A--Q--KL--Q---GRVTMTT-D---T-S--TS----T-AYMELRSLRS-DDTAVYYCARDPS----------------------------SYDVWG-KGTTVTVSS</t>
  </si>
  <si>
    <t>EIV-LTQSPATLSLSPGERATLSCRASQSV-----------SSYLA-WYQQ-K-P-G-Q--A-PR-LLIYDA----------------SNR--A--T--GI--P---ARFSGSG-------S--GT----D-FTLTISSLEP-EDFAVYYCQQRRN----------------------------WPLTFG-GGTKVEIK-</t>
  </si>
  <si>
    <t>QVQ-LVESGG-GVVQPGRSLRLSCAASGFTF---------SSYGMH-WVRQ-A-P-G-K--G-LE-WVAVIWDG------------SNKFY--A--D--SV--K---GRFTISR-D---N-S--KN----T-LYLQM---RA-EDTAVYYCARDLITL-----------------------GSDYYDVWG-QGTTVTVSS</t>
  </si>
  <si>
    <t>DIQ-MTQSPSSLSASVGDRVTITCRASQSV-----------SSAVA-WYQQ-K-P-G-K--A-PK-LLIYSA----------------SSL--Y--S--GV--P---SRFSGSR-------S--GT----D-FTLTISSLQP-EDFATYYCQQYSS----------------------------YPITFG-QGTKVEIK-</t>
  </si>
  <si>
    <t>QLQ-LQESGP-GLVKPSETLSLTCTVSGDSI---------SSYYWS-WIRQ-P-P-G-K--G-LE-WIGYIYYS------------GSTNY--N--P--SL--K---SRVTISV-D---T-S--KN----Q-FSLKL---TA-ADTAVYYCARAAY----------------------------YGDYWG-QGALVTVSS</t>
  </si>
  <si>
    <t>DIQ-MTQSPSSLSASVGDRVTITCQASQDI-----------NKYLN-WYQQ-K-P-G-K--A-PK-LLIYDA----------------SNL--K--T--GV--P---SRFSGSG-------S--GT----D-FTLTISSLQP-EDFATYYCLQHN-----------------------------SYRTFG-QGTKLEIK-</t>
  </si>
  <si>
    <t>QVQ-LQQPGA-ELVKPGASVKLSCKASGFTF----------SDYIH-WVRQ-T-T-G-K--G-LE-WMGMIIN-------------SGTNY--A--Q--KF--Q---GKVTMTR-D---T-S--TS----T-AYMEL---RS-EDTAVYYCAREGAY-------------------------GYAMDYWG-QGTSVTVSS</t>
  </si>
  <si>
    <t>DIV-LTQSPASLAVSLGQRATISCRASEYG-----------ISFMN-WFQQ-K-P-G-Q--P-PK-LLISAT----------------SNQ--G--S--GV--P---ARFIGSG-------S--GT----D-FSLNIHPVEE-DDTAMYFCQQSKE----------------------------VPYTFG-GGTKLEIK-</t>
  </si>
  <si>
    <t>EVQ-LVESGG-GLVKPGGSLKLSCAASGFTF---------SSYAMS-WVRQ-T-P-E-K--R-LE-WVATISGG------------SYTYY--P--D--SV--K---GRFTISR-D---N-A--KN----T-LYLQMSSLRS-EDTAMYYCSREGYRSY----------------------DYYGMDVWG-QGTTVTVSS</t>
  </si>
  <si>
    <t>SYE-LTQPPS-VSVSPGQTASISCSGTSDIG---------TNFDYA-WYQQ-K-P-G-Q--S-PV-LVLYQD----------------SKR--P--S--GI--P---ERFSGSN-------S--GN----T-ATLTISGTQA-MDEADYYCQAWDS---------------------------SSDYVFG-TGTKVTVG-</t>
  </si>
  <si>
    <t>QVQ-LVESGG-GLVQPGGSLRLSCAASGFNF---------SYYSMH-WVRQ-A-P-G-K--G-LE-WVATIYSS-----------YGLTYY--A--D--SV--K---GRFTISA-D---T-S--KN----T-AYLQMNSLRA-EDTAVYYCARYYYGSG---------------------SYWYPPWYWG-QGTLVTVSA</t>
  </si>
  <si>
    <t>QTV-VTQEPS-FSVTPGGTVTLTCGLSSGSV---------STSYAN-WYQQ-K-P-G-Q--A-PR-TLIYSG---------------STRR--P--S--GV--P---DRFSGSK-------S--GT----S-AYL--SGLKAIRADGVYYCQGYDS---------------------------SDHWVFG-GGTKLTVL-</t>
  </si>
  <si>
    <t>lv8</t>
  </si>
  <si>
    <t>EVQ-LVESGG-GLVQPGGSLRLSCAASGFNI---------SSSSIH-WVRQ-A-P-G-K--G-LE-WVASIYSY-----------SGSTSY--A--D--SV--K---GRFTISA-D---T-S--KN----T-AYLQMNSLRA-EDTAVYYCARYSWYF-----------------------GYSAMDYWG-QGTLVTVSS</t>
  </si>
  <si>
    <t>DIQ-MTQSPSSLSASVGDRVTITCRASQSV-----------SSAVA-WYQQ-K-P-G-K--A-PK-LLIYSA----------------SSL--Y--S--GV--P---SRFSGSR-------S--GT----D-FTLTISSLQP-EDFATYYCQQYYS----------------------------YPITFG-QGTKVEIK-</t>
  </si>
  <si>
    <t>EIV-LTQSPGTLSLSPGERATLSCRASQSVS----------SSYLA-WYQQ-K-P-G-Q--A-PR-LLIYGA----------------SSR--A--T--GI--P---DRFSGSG-------S--GT----D-FTLTISRLEP-EDFAVYYCQQYGT----------------------------SPWTFG-QGTKVEIK-</t>
  </si>
  <si>
    <t>QVQ-LVQSGA-EVKKPGASVKVSCKASGYTF---------TDYYIH-WVRQ-A-P-G-Q--G-LQ-WMGWMKSG------------SNTGY--A--Q--KF--Q---GRVTMTR-D---T-S--TS----T-VYMELSSLRS-DDTAVYYCARRRGNF------------------------DLWFAYWG-QGTLVTVSS</t>
  </si>
  <si>
    <t>DIQ-MTQSPSSLSASVGDRVTITCRASQDI-----------SNYLN-WYQQ-K-P-G-K--A-PK-LLIYDA----------------SNL--E--T--GV--P---SRFSGSG-------S--GT----D-FTFTISSLQP-EDIATYYCQQYDN----------------------------LPFTFG-PGTKVDIK-</t>
  </si>
  <si>
    <t>EVQ-LVESGG-GLVQPGGSLRLSCAASGFNI---------YYSSIH-WVRQ-A-P-G-K--G-LE-WVASIYSY-----------YGSTSY--A--D--SV--K---GRFTISA-D---T-S--KN----T-AYLQMNSLRA-EDTAVYYCARYGYSG------------------------YPSFDYWG-QGTLVTVSS</t>
  </si>
  <si>
    <t>DIQ-LTQSPDSLAVSLGERATINCKSSQSVLYS-----SINKNYLN-WYQQ-K-P-G-Q--P-PK-LLIYWA----------------STR--E--S--GV--P---DRFSGSG-------S--GT----D-FTLTISSLQA-EDVAVYYCQQYYS----------------------------SLPTFG-QGTKVEIK-</t>
  </si>
  <si>
    <t>DIQ-MTQSPSSLSASVGDRVTITCRASQSV-----------SSAVA-WYQQ-K-P-G-K--A-PK-LLIYSA----------------SSL--Y--S--GV--P---SRFSGSR-------S--GT----D-FTLTISSLQP-EDFATYYCQQYNS----------------------------YPLTFG-QGTKVEIK-</t>
  </si>
  <si>
    <t>EVQ-LVESGG-GLVQPGGSLRLSCAASGFTF---------SSYWMT-WVRQ-A-P-G-K--G-LE-WVANIKQD-----------GSEKYY--V--D--SV--K---GRFTISR-D---N-A--KN----S-LYLQMNSLRA-EDTAVYYCAKES-----------------------------YGSYWG-QGTLVTVSS</t>
  </si>
  <si>
    <t>DIQ-MTQSPSSLSASVGDRVTITCRASQSV-----------SSAVA-WYQQ-K-P-G-K--A-PK-LLIYSA----------------SSL--Y--S--GV--P---SRFSGSR-------S--GT----D-FTLTISSLQP-EDFATYYCQQYSY----------------------------YPFTFG-QGTKVEIK-</t>
  </si>
  <si>
    <t>QVQ-LQQPGA-ELVKPGASVKLSCKASGYTF---------TSYWMH-WVKQ-R-P-G-Q--G-LE-WIGEIYPG-----------DGDTNY--N--E--KF--K---GKATLTA-D---K-S--SS----T-AYMQLSSLTS-EDSAVYYCARVSY----------------------------YFDYWG-QGTTLTVSS</t>
  </si>
  <si>
    <t>DIV-LTQSPAIMSASPGEKVTMTCSASSSV-----------SYMIY-WYQQ-K-S-G-S--S-PR-LLIYDT----------------SRR--A--S--GV--P---DRFSGSG-------S--GT----S-YSLTISSMEA-EDAATYYCQQYHS----------------------------YPRTFG-GGTKLEIK-</t>
  </si>
  <si>
    <t>EVQ-LVQSGA-EVKKPGESLRISCKGSGYSF---------STYWIG-WVRQ-M-P-G-K--G-LE-WMGRIDP-------------SDSYT--S--P--SF--E---GQVTISA-D---K-S--IS----T-AYLQW---KA-SDTAMYYCARGNGL--------------------------FGGDYWG-QGTLVTVSS</t>
  </si>
  <si>
    <t>DIQ-MTQSPSSLSASVGDRVTITCSASSRV------------SYMY-WYQQ-K-P-G-K--A-PK-LLIYSA----------------SSL--E--S--GV--P---SRFSGSG-------S--GT----D-FTLTISSLQP-EDFATYYCQQYNS----------------------------YPLTFG-GGTKVEIK-</t>
  </si>
  <si>
    <t>QVQ-LQESGP-GLVKPSQTLSLTCTVSGDSIS--------NSYYWS-WIRQ-P-P-G-K--G-LE-WIGYIYYS------------GSTNY--N--P--SL--K---SRVTVTSDD---K-S--SN----S-LYLQLNSLRA-EDTAVYYCARDAWYYG----------------------SGSYFDYWG-QGTLVTVSS</t>
  </si>
  <si>
    <t>QVQ-LVESGG-GLVQPGGSLRLSCAASGFTF---------STYAMH-WVRQ-A-P-G-K--G-LE-WVAGIYAS-----------GGTTYY--A--D--SV--K---GRFTISR-D---N-S--KN----T-LYLQMNSLRA-EDTAVYYCAKDLGY-------------------------GNSFDYWG-QGTLVTVSS</t>
  </si>
  <si>
    <t>DIQ-MTQSPSSLSASVGDRVTITCRASQSV-----------SSAVA-WYQQ-K-P-G-K--A-PK-LLIYSA----------------SFL--Y--S--GV--P---SRFSGSR-------S--GT----D-FTLTISSLQP-EDFATYYCQQSYS----------------------------TLWTFG-QGTKVEIK-</t>
  </si>
  <si>
    <t>QVQ-LQESGP-GLVKPSETLSLTCTVSGGSI---------SSSNWG-WIRQ-P-P-G-K--G-LE-WIGYIYYS------------GSTDY--N--P--SL--K---SRVTISV-D---T-S--KN----Q-FSLKL---TA-ADTAVYYCARGS------------------------------YSTWG-QGTLVTVSS</t>
  </si>
  <si>
    <t>EIV-MTQSPATLSVSPGERATLSCRASQSV-----------SSNLA-WYQQ-K-P-G-Q--A-PR-LLIYGA----------------STR--A--T--GI--P---ARFSGSG-------S--GT----E-FTLTISSLQS-EDFAVYYCQHYNS---------------------------WPPWTFG-QGTKVEIK-</t>
  </si>
  <si>
    <t>EVQ-LLESGG-GLVQPGGSLRLSCAASGFTF---------SSYWMS-WVRQ-A-P-G-K--G-LE-WVANIKQD-----------GGEKYY--V--D--SV--K---GRFTISR-D---N-S--KN----T-LYLQMNSLRA-EDTAVYYCARGGWAG------------------------YDYFDYWG-QGTLVTVSS</t>
  </si>
  <si>
    <t>DIQ-MTQTTSSLSASLGDRVTISCRASQDI-----------SNYLN-WYQQ-K-P-D-G--T-VK-LLIYYT----------------SRL--H--S--GV--P---SRFSGSG-------S--GT----D-YSLTISNLEQ-EDIATYFCQQGNT----------------------------LPPTFG-AGTKLELK-</t>
  </si>
  <si>
    <t>EVQ-LVQSGA-EVKKPGASVKVSCKASGYTF---------TSYGIS-WVRQ-A-P-G-Q--G-LE-WMGWISTY-----------NGNTNY--A--Q--KF--Q---GRVTMTT-D---T-S--TT----T-GYMELRRLRS-DDTAVYYCARDYTRGAWF-----------------GESLIGGFDNWG-QGTLVTVSS</t>
  </si>
  <si>
    <t>EIV-LTQSPGTLSLSPGERATLSCRASQTVS----------STSLA-WYQQ-K-P-G-Q--A-PR-LLIYGA----------------SSR--A--T--GI--P---DRFTGSG-------S--GT----D-FTLTISRLEP-EDFAVYYCQQFGD----------------------------SPFTFG-QGTKLEIK-</t>
  </si>
  <si>
    <t>DIL-LTQSPAILSVSPGERVSFSCRASQSI-----------GTDIH-WYQQ-R-T-N-G--S-PR-LLIKYA----------------SES--I--S--GI--P---SRFSGSG-------S--GT----D-FTLSINSVES-EDIANYYCQQSNR----------------------------WPFTFG-SGTKLEIK-</t>
  </si>
  <si>
    <t>QVQ-LVQSGA-EVKKPGSSVKVSCKASGGTF---------SSYAIS-WVRQ-A-P-G-Q--G-LE-WMGGIIIF------------GTANY--A--Q--KF--Q---GRVTITA-D---K-S--TS----T-AYMEL---RS-EDTAVYYCAREGTL-------------------------GYYFDYWG-QGTLVTVSS</t>
  </si>
  <si>
    <t>DIQ-MTQSPSSLSASVGDRVTITCRASQGI-----------SSYLA-WYQQ-K-P-G-K--A-PK-LLIYAA----------------STL--Q--S--GV--P---SRFSGSG-------S--GT----D-FTLTISSLQP-EDFATYYCQQDY-----------------------------FPLTFG-GGTKVEIK-</t>
  </si>
  <si>
    <t>EVQ-LLESGG-GLVQPGGSLRLSCAASGFTF---------SSYAMS-WVRQ-A-P-G-K--G-LE-WVSAISGS-----------GGSTYY--A--D--SV--K---GRFTISR-D---N-S--KN----T-LYLQMNSLRA-EDTAVYYCARG-------------------------------GQYWG-QGTLVTVSS</t>
  </si>
  <si>
    <t>DIQ-MTQSPS-MSASVGDRVTITCRASQGI-----------SSWLA-WYQQ-K-P-G-K--A-PK-LLIYDA----------------SSL--Q--S--GV--P---SRFSGSG-------S--GT----E-FTLTISSLQP-EDFATYYCQQLNS---------------------------DPPWTFG-QGTKVEIK-</t>
  </si>
  <si>
    <t>QVQ-LQQPGA-ELVKPGASVKLSCKASGYTF---------TSDWIH-WVKQ-R-P-G-Q--G-LE-WIGDIIPS-----------YGRANY--N--E--KI--Q---KKATLTA-D---K-S--SS----T-AFMQLSSLTS-EDSAVYYCARERG---------------------------NYGDYWG-QGTTLTVSS</t>
  </si>
  <si>
    <t>DIV-LTQSPASLAVSLGQRATISCRASESV------------EYMH-WYQQ-K-P-G-Q--P-PK-LLIYLA----------------SNL--E--S--GV--P---ARFNGSG-------S--GT----D-FTLNIHPVEE-EDAATYYCHHSR-----------------------------ELPSFG-GGTKLEIK-</t>
  </si>
  <si>
    <t>QVQ-LQESGP-GLVKPSETLSLTCTVSGGSI---------SNYYWS-WIRQ-S-P-G-K--G-LE-WIGYIYYS------------GSTYY--N--P--SL--K---SRVIISV-D---T-S--KN----Q-FSLKL---TA-ADTAVYYCARGTY----------------------------YYDHWG-QGTLVTVSS</t>
  </si>
  <si>
    <t>DIQ-MTQSPSSLSASVGDRVTITCRASQSI-----------SSYLN-WYQQ-K-P-G-K--A-PK-LLIYAA----------------SSL--Q--S--GV--P---SRFSGSG-------S--GT----D-FTLTISSLQP-EDFATYYCQQSYS----------------------------TPYTFG-QGTKLEIK-</t>
  </si>
  <si>
    <t>DVQ-LQESGP-GLVAPSQSLSITCTVSGFSL---------TNYAVH-WVRQ-S-P-G-K--G-LE-WLGVIWSG------------GNTDY--N--A--AF--I---SRLSISK-D---N-S--KS----Q-VFFKMNSLQA-DDTAIYYCARKLN---------------------------YGMDVWG-QGTTVTVSS</t>
  </si>
  <si>
    <t>DIV-LTQSPASLAVSLRRRATISCRASESVDG-------YGHSFMH-WYQQ-K-S-G-Q--P-PK-LLIYRA----------------SNL--E--S--GV--P---ARFSGSG-------S--RT----D-FTLTIDPVEA-DDAATYYCQQNNE----------------------------DPYTFG-SGTKLEIK-</t>
  </si>
  <si>
    <t>hv2</t>
  </si>
  <si>
    <t>QVQ-LQQSGP-GLVKPSQTLSLTCTVSGGSI---------SSYYWS-WIRQ-P-P-G-K--G-LE-WIGYIYYS------------GSTNY--N--P--SL--K---SRVTISV-D---T-S--KN----Q-FSLKLSSVTA-ADTAVYYCARVPY---------------------------YYDVYWG-QGTLVTVSS</t>
  </si>
  <si>
    <t>DIQ-MTQSPSSLSASVGDRVTITCRASQSI-----------SSYLN-WYQQ-K-P-G-K--A-PK-LLIYAA----------------SSL--Q--S--GV--P---SRFSGSG-------S--GT----D-FTLTISSLQP-EDFATYYCQQANS----------------------------FPPTFG-PGTKVEIK-</t>
  </si>
  <si>
    <t>EVQ-LVESGG-GLVQPGGSLRLSCAASGFTF---------SSYWMS-WVRQ-A-P-G-K--G-LE-WVANINQD------------GGEKY--A--A--SV--K---GRFTISR-D---N-A--KN----S-LYLQMNSLRA-EDTAVYYCAREGFY--------------------------YGMDVWG-QGTTVTVSS</t>
  </si>
  <si>
    <t>DIQ-MTQSPSSLSASVGDRVTITCRASQSV-----------SSAVA-WYQQ-K-P-G-K--A-PK-LLIYSA----------------SSL--Y--S--GV--P---SRFSGSR-------S--GT----D-FTLTISSLQP-EDFATYYCQQGSS----------------------------PLITFG-QGTKVEIK-</t>
  </si>
  <si>
    <t>EVQ-LVESGG-GLVQPGGSLRLSCAASGFTF---------SSYWMS-WVRQ-A-P-G-K--G-LE-WVANIKQD-----------GSEKYY--V--D--SV--K---GRFTISR-D---N-A--KN----S-LYLQMNSLRA-EDTAVYYCARDLSS-------------------------LSGGDIWG-QGTMVTVSS</t>
  </si>
  <si>
    <t>EIV-LTQSPGTLSLSPGERATLSCRASQSVS----------SSYLA-WYQQ-K-P-G-Q--A-PR-LLIYGA----------------SSR--A--T--GI--P---DRFSGSG-------S--GT----D-FTLTISRLEP-EDFAVYYCQQYGTS--------------------------PRLLTFG-GGTKVEIK-</t>
  </si>
  <si>
    <t>QVQ-LQQPGA-ELVKPGASVKLSCKASGYAF---------SDYWMN-WVKQ-R-P-G-Q--G-LE-WIGMIDPS------------DSETK--N--Q--KF--K---DKATLTV-D---K-S--ST----T-AYMQLSSPTS-EDSAVYYCARRVY---------------------------YGSDYWG-QGTTLTVSS</t>
  </si>
  <si>
    <t>DIV-MTQSPATLSVTPGDSVSLSCRASQSI-----------SDNLH-WYQQ-K-S-H-E--S-PR-LLIKYTS--------------QSGI--P--S--GI--P---SRFSGSG-------S--GT----D-FTLSINSVET-EDFGMYFCQQSNS----------------------------WPLTFG-AGTKLELK-</t>
  </si>
  <si>
    <t>QVQ-LVESGG-GVVQPGRSLRLSCAASGFTF---------SSYAMH-WVRQ-A-P-G-K--G-LE-WVAVIWYD-----------GSNKYY--A--D--SV--K---GRFTISR-D---N-S--KN----T-LYLQMNSLRA-EDTAVYYCARVRHGGTG--------------------YWGYAMDYWG-QGTLVTVSS</t>
  </si>
  <si>
    <t>-VQ-LQQSGA-ELVKPGASVKLSCTASGFNI---------KDTYMY-WVKQ-R-P-E-Q--G-LE-WIGRIDPA-----------NGNTKY--N--E--KF--K---DKATLTA-D---K-S--SS----T-AYMQLSSLTS-EDSAVYYCARERGD--------------------------GYFAVWG-AGTTVTVSS</t>
  </si>
  <si>
    <t>DVL-MTQTPLSLPVSLGDQASISCRSSQGI-----------NNYLH-WYLQ-K-P-G-Q--S-PK-LLIYKV----------------SNR--F--S--GV--P---DRFSGSG-------S--GT----D-FTLKISRVEA-EDLGVYYCFQGSH----------------------------VPWTFG-GGTKLEIK-</t>
  </si>
  <si>
    <t>QVQ-LVQSGA-EVKKPGASVKVSCKASGYTF---------TGYYIH-WVRQ-A-P-G-Q--G-LE-WMGWISAY-----------NGNTNY--A--Q--KF--Q---GRVTMTT-D---T-S--TS----T-AYMELRSLRS-DDTAVYYCAREGAY--------------------------GYRDLWG-QGTLVTVSS</t>
  </si>
  <si>
    <t>EIV-LTQSPGTLSLSPGERATLSCRASQSVS----------SSYLA-WYQQ-K-P-G-Q--A-PR-LLIYGA----------------SSR--A--T--GI--P---DRFSGSG-------S--GT----D-FTLTISRLEP-EDFAVYYCQQYGS----------------------------SPSTFG-QGTKVEIK-</t>
  </si>
  <si>
    <t>QVQ-LQQPGA-ELVKPGASVKLSCKASGYTF---------TSDWIH-WVKQ-R-P-G-H--G-LE-WIGEIINPT----------NGGTSY--N--Q--KF--K---DKATLTV-D---K-S--ST----T-SAIYL---QS-SVTSSYFCARVDY----------------------------GSDYWG-QGTLVTVSA</t>
  </si>
  <si>
    <t>DIQ-MTQSPSSLSASVGDRVTITCRASQTIN----------DNHLT-WYQQ-K-P-G-K--A-PN-LLIYAA----------------SYL--E--S--GV--P---SRFSGSG-------S--GT----D-FTLTISSLQP-EDFATYYCQHNF-----------------------------YSAPFG-QGTKVEIK-</t>
  </si>
  <si>
    <t>DIQ-MTQSPSSLSASVGDRVTITCRASQDI-----------SNYLN-WYQQ-K-P-G-K--A-PN-LLIYAA----------------SSL--Q--S--GV--P---SRFSGSG-------S--GT----D-FTLTISSLQP-EDFATYYCQQSYS----------------------------TPRTFG-QGTKVEIK-</t>
  </si>
  <si>
    <t>EVQ-LVESGG-GLVQPGGSLRLSCAASGFNV---------YSSSIH-WVRQ-A-P-G-K--G-LE-WVASIYSS-----------SGYTSY--A--D--SV--K---GRFTISA-D---T-S--KN----T-AYLQMNSLRA-EDTAVYYCARQYTR--------------------------GSSDYWG-QGTLVTVSS</t>
  </si>
  <si>
    <t>QVQ-LQQSGP-ELVKPGASVKMSCKASGYTF---------TSYWMH-WVKQ-R-P-G-Q--G-LE-WIGEINHS------------GGTNY--N--E--KF--K---GKATLTA-D---K-S--SS----T-AYMQLSSLTS-EDSAVYYCARERD---------------------------GYGNYWG-QGTLVTVSA</t>
  </si>
  <si>
    <t>QVQ-LVESGG-GVVQPGRSLRLSCAASGFTF---------SSYAMH-WVRQ-A-P-G-K--G-LE-WVAVIWDG------------SNKYY--A--D--SV--K---GRFTISR-D---N-S--KN----T-LYLQMNSLRA-EDTAVYYCARELG----------------------------DYDYWG-QGTLVTVSS</t>
  </si>
  <si>
    <t>DIQ-MTQSPSSLSASVGDRVTITCRASQSV-----------SSAVA-WYQQ-K-P-G-K--A-PK-LLIYSA----------------SSL--Y--S--GV--P---SRFSGSR-------S--GT----D-FTLTISSLQP-EDFATYYCQQYYN----------------------------YPVTFG-QGTKVEIK-</t>
  </si>
  <si>
    <t>EVQ-LVESGG-GLVQPGGSLRLSCAASGFTF---------SNYAMS-WVRQ-A-P-G-K--G-LE-WVSSISSS-----------GGTTYY--A--D--SV--K---GRFTISR-D---N-S--KN----T-LYLQMNSLRA-EDTAVYYCARQGSY--------------------------SSYDVWG-QGTTVTVSS</t>
  </si>
  <si>
    <t>DIQ-MTQSPSSLSASVGDRVTITCRASQSV-----------SSAVA-WYQQ-K-P-G-K--A-PK-LLIYSA----------------SSL--Y--S--GV--P---SRFSGSR-------S--GT----D-FTLTISSLQP-EDFATYYCQQYYN---------------------------NYRTTFG-QGTKVEIK-</t>
  </si>
  <si>
    <t>EVQ-LVESGG-GLVKPGGSLRLSCAASGFIF---------SNYAMT-WVRQ-A-P-G-K--G-LE-WVSVIYSG------------GSTYY--A--D--SV--K---GRFTISR-D---N-S--KN----T-LYLQMNSLRA-EDTAVYYCARGPGG--------------------------YGMDVWG-QGTTVTVSS</t>
  </si>
  <si>
    <t>DIQ-MTQSPSSLSASVGDRVTITCQASQDI-----------SSFLN-WYQQ-K-P-G-K--A-PK-LLIYRA----------------SN---R--L--GV--P---DRFSGSG-------S--GT----D-FTLTISSLQP-EDFATYYCQQYLY----------------------------PLFTFG-PGTKVDIK-</t>
  </si>
  <si>
    <t>EVQ-LVESGG-GLVQPGGSLRLSCAASGFNV---------SSYSIH-WVRQ-A-P-G-K--G-LE-WVASISSY-----------YGYTYY--A--D--SV--K---GRFTISA-D---T-S--KN----T-AYLQMNSLRA-EDTAVYYCARGYGY-------------------------GNYFDYWG-QGTLVTVSS</t>
  </si>
  <si>
    <t>EVQ-LVESGG-GLVQPGGSLRLSCAASGFTF---------SSYAMS-WVRQ-A-P-G-K--G-LE-WVSLIYSG------------GSTYY--A--D--SV--K---GRFTISR-D---N-S--KN----T-LYLQMNSLRA-EDTAVYYCARSLD---------------------------VYGDVWG-QGTLVTVSS</t>
  </si>
  <si>
    <t>EVQ-LVESGG-GLVQPGGSLRLSCAASGFNF---------SYSSIH-WVRQ-A-P-G-K--G-LE-WVASIYSY-----------SGYTSY--A--D--SV--K---GRFTISA-D---T-S--KN----T-AYLQMNSLRA-EDTAVYYCARDLT----------------------------PYDYWG-QGTLVTVSS</t>
  </si>
  <si>
    <t>DIQ-MTQSPSSLSASVGDRVTITCRASQSV-----------SSAVA-WYQQ-K-P-G-K--A-PK-LLIYSA----------------SSL--Y--S--GV--P---SRFSGSR-------S--GT----D-FTLTISSLQP-EDFATYYCQQYSS---------------------------YSLVTFG-QGTKVEIK-</t>
  </si>
  <si>
    <t>QVQ-LQESGP-GLVKPSETLSLTCTVSGGSIS--------SSNYY--WIRQ-P-P-G-K--G-LE-WIGYIYHS------------GSTYY--N--P--SL--K---SRVTISV-D---T-S--KN----Q-FSLKLTSVTA-ADTAVYYCARHGT----------------------------LRSDWG-QGTLVTVSS</t>
  </si>
  <si>
    <t>QVQ-LQESGP-GLVKPSETLSLTCTVSGGSIS--------DDYYWS-WIRQ-P-P-G-K--G-LE-WIGYIYSG------------STYNY--N--P--SL--K---SRVTMSV-D---T-S--KN----Q-FSLKLSSVTA-ADTAVYYCAREGQ----------------------------IFDYWG-QGTLVTVSS</t>
  </si>
  <si>
    <t>DIQ-MTQSPSSLSASVGDRVTITCRASQSI------------SYLN-WYQQ-K-P-G-K--A-PK-LLIYAA----------------STL--Q--S--GV--P---SRFSGSG-------S--GT----D-FTLTISSLQP-EDFATYYCQQSYT----------------------------TPPTFG-QGTKVEIK-</t>
  </si>
  <si>
    <t>EVQ-LVESGG-GLVQPGGSLRLSCAASGFNV---------SYSSIH-WVRQ-A-P-G-K--G-LE-WVASISPY-----------SGYTYY--A--D--SV--K---GRFTISA-D---T-S--KN----T-AYLQMNSLRA-EDTAVYYCARYYRS--------------------------GRLDYWG-QGTLVTVSS</t>
  </si>
  <si>
    <t>EVQ-LVESGG-GLVQPGGSLRLSCAASGFTF---------SSYAMS-WVRQ-A-P-G-K--G-LE-WVSAIYSS------------GATYY--A--D--SV--K---GRFTISR-D---N-S--KN----T-LYLQMNSLRA-EDTAVYYCAKNG-----------------------------GKAYWG-QGTLVTVSS</t>
  </si>
  <si>
    <t>DIQ-MTQSPSSLSASVGDRVTITCRASQSV-----------SSAVA-WYQQ-K-P-G-K--A-PK-LLIYSA----------------SSL--Y--S--GV--P---SRFSGSR-------S--GT----D-FTLTISSLQP-EDFATYYCQQYYS----------------------------YPLTFG-QGTKVEIK-</t>
  </si>
  <si>
    <t>EVQ-LVESGG-GLVQPGGSLRLSCAASGFNI---------YYSSIH-WVRQ-A-P-G-K--G-LE-WVASIYSS------------GYTSY--A--D--SV--K---GRFTISA-D---T-S--KN----T-AYLQMNSLRA-EDTAVYYCARLWY---------------------------YGMDVWG-QGTTVTVSS</t>
  </si>
  <si>
    <t>DIQ-MTQSPSSLSASVGDRVTITCRASQSV-----------SSAVA-WYQQ-K-P-G-K--A-PK-LLIYSA----------------SSL--Y--S--GV--P---SRFSGSR-------S--GT----D-FTLTISSLQP-EDFATYYCQQSYV----------------------------PPWTFG-QGTKVEIK-</t>
  </si>
  <si>
    <t>QVQ-LVESGG-GVVQPGRSLRLSCAASGFTF---------SSYGMH-WVRQ-A-P-G-K--G-LE-WVAVISYS------------GGSGY--A--D--SV--K---GRFTISR-D---N-S--KN----T-LYLQMNSLRA-EDTAVYYCAKDDPFGYAGH----------------SSSFSYGLDVWG-QGTLVTVSS</t>
  </si>
  <si>
    <t>DIQ-MTQSPSSLSASVGDRVTITCRASQSV-----------SSAVA-WYQQ-K-P-G-K--A-PK-LLIYSA----------------SSL--Y--S--GV--P---SRFSGSR-------S--GT----D-FTLTISSLQP-EDFATYYCQQSYF----------------------------PPWTFG-QGTKVEIK-</t>
  </si>
  <si>
    <t>EVQ-LVQSGA-EVKKPGESLKISCKGSGYSF---------SRYWIG-WVRQ-M-P-G-K--G-LE-WMGIIYPG-----------DSDTRY--S--P--SF--Q---GQVTISA-D---K-S--IS----T-AYLQWSSLKA-SDTAMYYCARLDP---------------------------GYDDYWG-QGTLVTVSS</t>
  </si>
  <si>
    <t>QVQ-LVQSGA-EVKKPGASVKVSCKASGYTF---------TSYGIS-WVRQ-A-P-G-Q--G-LE-WMGWISTY-----------NGNTNY--A--Q--KF--Q---GRVTMTR-D---T-S--TT----T-VYMELSSLRS-EDTAVYYCAREGPETED--------------------GYYIWFDPWG-QGTLVTVSS</t>
  </si>
  <si>
    <t>DIQ-MTQSPSSLSASVGDRVTITCRASQSI-----------SSYLN-WYQQ-K-P-G-K--A-PK-LLIYAA----------------SSL--Q--S--GV--P---SRFSGSG-------S--GT----D-FTLTISSLQP-EDFATYYCQQSYS----------------------------TLRTFG-QGTKVEIK-</t>
  </si>
  <si>
    <t>EVQ-LVESGG-GLVKPGGSLRLSCAASGFAF---------STYWMS-WVRQ-A-P-G-K--G-LE-WVGRITTS------------GSTYY--A--D--SV--K---GRFTISR-D---N-S--KN----T-LYLQMNSLRA-EDTAVYYCARGWSSG------------------------YHWFDSWG-QGTLVTVSS</t>
  </si>
  <si>
    <t>QVQ-LQQSGP-ELVRPGASVKMSCKASGYTF---------TSYWMH-WVKQ-S-H-G-K--S-LE-WIGGINPY-----------NGGTRY--N--Q--KF--K---GKATLTV-D---K-S--SS----T-AYMELRSLTS-EDSAVYYCARESGTS------------------------GYYFVYWG-QGTLVTVSA</t>
  </si>
  <si>
    <t>DIV-MTQSPSSLAVSVGEKVTMSCKSSQSLLYS-----SNQKNYLA-WYQQ-K-P-G-Q--S-PK-LLIYWA----------------STR--E--S--GV--P---DRFTGSG-------S--GT----D-FTLTISSVKA-EDLAVYYCQQYYS----------------------------YPLTFG-GGTKLEIK-</t>
  </si>
  <si>
    <t>EVQ-LVESGG-GLVQPGGSLRLSCAASGFNV---------SYSSIH-WVRQ-A-P-G-K--G-LE-WVASISSY-----------YGYTSY--A--D--SV--K---GRFTISA-D---T-S--KN----T-AYLQMNSLRA-EDTAVYYCARSYYDYY----------------------DSSGYPYWG-QGTLVTVSS</t>
  </si>
  <si>
    <t>DIQ-MTQSPSSLSASVGDRVTITCRASQSV-----------SSAVA-WYQQ-K-P-G-K--A-PK-LLIYSA----------------SSL--Y--S--GV--P---SRFSGSR-------S--GT----D-FTLTISSLQP-EDFATYYCQQYKY----------------------------VPWTFG-QGTKVEIK-</t>
  </si>
  <si>
    <t>QVQ-LVQSGA-EVKKPGASVKVSCKASGYTF---------TSYAMH-WVRQ-A-P-G-Q--G-LE-WMGWINTY-----------NGNTNY--A--Q--KF--Q---GRVTMTR-D---T-S--IS----T-AYMELSRLRS-DDTAVYYCARGSHN-------------------------GNIFDVWG-QGTTVTVSS</t>
  </si>
  <si>
    <t>EIV-LTQSPGTLSLSPGERATLSCRASQVS-----------SSYLA-WYQQ-K-P-G-Q--A-PR-LLIYGA----------------SSR--A--T--GI--P---DRFSGSG-------S--GT----D-FTLTISRLEP-EDFAVYYCQQYGS----------------------------SPFTFG-QGTKVEIK-</t>
  </si>
  <si>
    <t>EVQ-LVESGG-GLVQPGGSLRLSCAASGFNV---------SYSSIH-WVRQ-A-P-G-K--G-LE-WVASIYSY-----------YGSTYY--A--D--SV--K---GRFTISA-D---T-S--KN----T-AYLQMNSLRA-EDTAVYYCARSRQFW------------------------YSGLDYWG-QGTLVTVSS</t>
  </si>
  <si>
    <t>EVQ-LVESGG-GLVQPGGSLRLSCAASGFNV---------SYSSIH-WVRQ-A-P-G-K--G-LE-WVASISSY-----------YGYTSY--A--D--SV--K---GRFTISA-D---T-S--KN----T-AYLQMNSLRA-EDTAVYYCARSAAYYSGSY----------------WYYHNWFFDYWG-QGTLVTVSS</t>
  </si>
  <si>
    <t>QVQ-LVQSGA-EVKKPGASVKVSCKASGYTF---------TGYYMH-WVRQ-A-P-G-Q--G-LE-WMGWINPN-----------SGGTNY--A--Q--KF--Q---GRVTMTR-D---T-S--TS----T-VYMELSSLRS-DDTAVYYCARDYTRG------------------------DLWFDVWG-QGTAVTVSS</t>
  </si>
  <si>
    <t>DIQ-MTQSPSTLSASVGDRVTITCRASQSI-----------SSWLA-WYQQ-K-P-G-K--A-PK-LLIYKA----------------SSL--E--S--GV--P---SRFSGSG-------S--GT----E-FTLTISSLQP-DDFATYYCQQYNS----------------------------YSITFG-QGTKVEIK-</t>
  </si>
  <si>
    <t>EVQ-LVESGG-GLVQPGGSLRLSCAASGFNF---------SSSSIH-WVRQ-A-P-G-K--G-LE-WVAYISSS-----------YGSTYY--A--D--SV--K---GRFTISA-D---T-S--KN----T-AYLQMNSLRA-EDTAVYYCARYYDY-------------------------FYGMDVWG-QGTTVTVSS</t>
  </si>
  <si>
    <t>QVQ-LVQSGA-EVKKPGASVKVSCKASGYTF---------TSYGIS-WVRQ-A-P-G-Q--G-LE-WMGWISAY-----------NGNTNY--A--Q--KF--Q---GRVTMTR-D---T-S--TS----T-VYMELSSLRS-DDTAVYFCARERDG--------------------------SAYDVWG-QGTTVTVSS</t>
  </si>
  <si>
    <t>DIQ-MTQSPSSLSASVGDRVTITCQASQDI-----------RKYLN-WYQQ-K-P-G-K--A-PK-LLIYDA----------------SNL--E--T--GV--P---SRFSGSG-------S--GT----D-FTFTISSLQP-EDIATYYCQQYDN----------------------------LPFTFG-PGTKVDIK-</t>
  </si>
  <si>
    <t>EVQ-LVESGG-GLVQPGGSLRLSCAASGFNL---------YSSSIH-WVRQ-A-P-G-K--G-LE-WVAYISSS-----------SGSTSY--A--D--SV--K---GRFTISA-D---T-S--KN----T-AYLQMNSLRA-EDTAVYYCARVLYD--------------------------YYFDYWG-QGTLVTVSS</t>
  </si>
  <si>
    <t>EVQ-LVESGG-GLVQPGGSLRLSCAASGFTF---------SSYAMS-WVRQ-A-P-G-K--G-LE-WVSVIYSG------------GSTYY--A--D--SV--K---GRFTISR-D---N-S--KN----T-LYLQMNSLRA-EDTAVYYCAKSGGGY------------------------SGYFDYWG-QGTLVTVSS</t>
  </si>
  <si>
    <t>DIQ-MTQSPSSLSASVGDRVTITCRASQDV-----------STAVA-WYQQ-K-P-G-K--A-PK-LLIYSA----------------SSL--Y--S--GV--P---SRFSGSR-------S--GT----D-FTLTISSLQP-EDFATYYCQQSSY----------------------------SLITFG-QGTKVEIK-</t>
  </si>
  <si>
    <t>EVQ-LVESGG-GLVQPGGSLRLSCAASGFNV---------SYSSIH-WVRQ-A-P-G-K--G-LE-WVASIYSY-----------YGSTYY--A--D--SV--K---GRFTISA-D---T-S--KN----T-AYLQMNSLRA-EDTAVYYCAREWYYG-----------------------SLWAFDYWG-QGTLVTVSS</t>
  </si>
  <si>
    <t>DIQ-MTQSPSSLSASVGDRVTITCRASQSV-----------SSAVA-WYQQ-K-P-G-K--A-PK-LLIYSA----------------SSL--Y--S--GV--P---SRFSGSR-------S--GT----D-FTLTISSLQP-EDFATYYCQQYYW----------------------------SPITFG-QGTKVEIK-</t>
  </si>
  <si>
    <t>QVQ-LQQSGP-ELVKPGASVKISCKASGYTF---------TSDWIH-WVKQ-R-P-G-H--G-LE-WIGEIIPS-----------YGRANY--N--E--KI--Q---KKATLTA-D---K-S--SS----T-AFMQLSSLTS-EDSAVYYCARERG---------------------------DYFDYWG-QGTTLTVSS</t>
  </si>
  <si>
    <t>DIV-LTQSPASLAVSLGQRATISCRASESVDS-------YGNSFMH-WYQQ-K-P-G-Q--P-PK-LLIYAA----------------SNL--D--S--GV--P---ARFSGSG-------S--GT----D-FTLNIHPVEE-EDAATYYCQQSNE----------------------------DPYTFG-GGTKLEIK-</t>
  </si>
  <si>
    <t>EVQ-LVESGG-GLVKPGGSLRLSCAASGFTF---------SSYSMN-WVRQ-A-P-G-K--G-LE-WVSSISSS------------SYIYY--A--D--SV--K---GRFTISR-D---N-A--KN----S-LYLQMNSLRA-EDTAVYYCAKDGYGD------------------------LWFAFSWG-QGTLVTVSS</t>
  </si>
  <si>
    <t>DIQ-MTQSPSSLSASVGDRVTITCRASQSV-----------SSAVA-WYQQ-K-P-G-K--A-PK-LLIYSA----------------SSL--Y--S--GV--P---SRFSGSR-------S--GT----D-FTLTISSLQP-EDFATYYCQQSYT----------------------------TPFTFG-PGTKVDIK-</t>
  </si>
  <si>
    <t>EVQ-LVQSGA-EVKKPGASVKVSCKASGYTF---------TGYYMH-WVRQ-A-P-G-Q--G-LE-WMGWINNS-----------GGNTNY--A--Q--KF--Q---GRVTMTR-D---T-S--TT----T-VYMELRRLRS-DDTAVYYCARDYR---------------------------GSSSYWG-QGTLVTVSS</t>
  </si>
  <si>
    <t>DIQ-MTQSPSSLSASVGDRVTITCRASQDV-----------STAVA-WYQQ-K-P-G-K--A-PK-LLIYSA----------------SSL--Y--S--GV--P---SRFSGSR-------S--GT----D-FTLTISSLQP-EDFATYYCQQYYG----------------------------SPITFG-QGTKVEIK-</t>
  </si>
  <si>
    <t>EVQ-LVQSGA-EVKKPGESLKISCKGSGYSF---------TSYWIG-WVRQ-M-P-G-K--G-LE-WMGIIYPG-----------DSDTRY--S--P--SF--Q---GQVTISA-D---K-S--IS----T-AYLQWSSLKA-SDTAIYYCARLPT---------------------------VYFDYWG-QGTLVTVSS</t>
  </si>
  <si>
    <t>DIQ-MTQSPSSLSASVGDRVTITCRASQSV-----------SSAVA-WYQQ-K-P-G-K--A-PK-LLIYSA----------------SSL--Y--S--GV--P---SRFSGSR-------S--GT----D-FTLTISSLQP-EDFATYYCQQYSS----------------------------YSWTFG-QGTKVEIK-</t>
  </si>
  <si>
    <t>EVQ-LVESGG-GLVQPGGSLRLSCAASGFNV---------SYYSIH-WVRQ-A-P-G-K--G-LE-WVASISSS-----------SGSTSY--A--D--SV--K---GRFTISA-D---T-S--KN----T-AYLQMNSLRA-EDTAVYYCARSYYSYSY-------------------YSYSYAMDYWG-QGTLVTVSS</t>
  </si>
  <si>
    <t>DIQ-MTQSPSSLSASVGDRVTITCRASQSV-----------SSAVA-WYQQ-K-P-G-K--A-PK-LLIYSA----------------SSL--Y--S--GV--P---SRFSGSR-------S--GT----D-FTLTISSLQP-EDFATYYCQQYLY---------------------------YSLITFG-QGTKVEIK-</t>
  </si>
  <si>
    <t>EVQ-LVESGG-GLVQPGGSLRLSCAASGFNV---------SYSSIH-WVRQ-A-P-G-K--G-LE-WVASISSY-----------YGYTSY--A--D--SV--K---GRFTISA-D---T-S--KN----T-AYLQMNSLRA-EDTAVYYCARGYDLR------------------------YYAMDYWG-QGTLVTVSS</t>
  </si>
  <si>
    <t>DIQ-MTQSPSSLSASVGDRVTITCRASQSV-----------SSAVA-WYQQ-K-P-G-K--A-PK-LLIYSA----------------SSL--Y--S--GV--P---SRFSGSR-------S--GT----D-FTLTISSLQP-EDFATYYCQQSYF----------------------------YPITFG-QGTKVEIK-</t>
  </si>
  <si>
    <t>EVQ-LVESGG-GLVQPGGSLRLSCAASGFNI---------SSSSIH-WVRQ-A-P-G-K--G-LE-WVASISSY-----------YGYTSY--A--D--SV--K---GRFTISA-D---T-S--KN----T-AYLQMNSLRA-EDTAVYYCARQSSGYYY--------------------DILYGMDYWG-QGTLVTVSS</t>
  </si>
  <si>
    <t>QVQ-LQQSGA-ELVKPGASVKLSCKASGYTF---------TSDWIH-WVKQ-R-P-G-H--G-LE-WIGEIIPS-----------YGRANY--N--E--KF--K---GKATFTA-D---T-S--SN----T-AYMQLSSLTS-EDSAVYYCARERD---------------------------GYYDYWG-QGTTVTVSS</t>
  </si>
  <si>
    <t>DIV-LTQSPATLSVTPGDSVSLSCRASQSI-----------SDNLH-WYQQ-K-S-H-E--S-PR-LLIKYA----------------SQS--I--S--GI--P---SRFSGSG-------S--GT----D-FTLSINSVES-EDIADYYCQQSNR----------------------------WPFTFG-SGTKLEIK-</t>
  </si>
  <si>
    <t>QVQ-LVQSGA-EVKKPGASVKVSCKASGYTF---------TSYGMH-WVRQ-A-P-G-Q--G-LE-WMGWINPN-----------SGGTNY--A--Q--KF--Q---GRVTMTR-D---T-S--IS----T-AYMEL---RS-EDTAVYYCAREGS----------------------------DVLLWG-QGTLVTVSS</t>
  </si>
  <si>
    <t>DIQ-MTQSPSSLSASVGDRVTITCRASQGI-----------SSYLA-WYQQ-K-P-G-K--A-PK-LLIYAA----------------SSL--E--S--GV--P---SRFSGSG-------S--GT----E-FTLTISSLQP-DDFATYYCQQYNN----------------------------YPLTFG-GGTKVEIK-</t>
  </si>
  <si>
    <t>EVQ-LVQSGA-EVKKPGASVKVSCKASGYTF---------TGYYMH-WVRQ-A-P-G-Q--G-LE-WMGWINPN-----------SGGTNY--A--Q--KF--Q---GRVTMTR-D---T-S--IS----T-AYMELSRLRS-DDTAVYYCARDYTRGAWF-----------------GESLIGGFDNWG-QGTLVTVSS</t>
  </si>
  <si>
    <t>QVQ-LQESGP-GLVKPSETLSLTCTVSGGSIS-------DDIYYWS-WIRQ-P-P-G-K--G-LE-WIGYIYYS------------GSTYY--N--P--SL--K---SRVTISV-D---T-S--KN----Q-FSLKLSSVTA-ADTAVYYCARRYRY--------------------------EGYDYWG-QGTLVTVSS</t>
  </si>
  <si>
    <t>DIQ-MTQSPSSLSASVGDRVTITCRASQSI-----------SRWLA-WYQQ-K-P-G-K--A-PK-LLIYKA----------------SSL--E--S--GV--P---SRFSGSG-------S--GT----E-FTLTISSLQP-DDFATYYCQQYSS----------------------------YPLTFG-QGTKVEIK-</t>
  </si>
  <si>
    <t>EVQ-LVQSGA-EVKKPGESLKISCKGSGYSF---------TSYWIG-WVRQ-M-P-G-K--G-LE-WMGIIYPG-----------DSDTRY--S--P--SF--Q---GQVTISA-D---K-S--IS----T-AYLQWSSLKA-SDTAMYYCARQG-----------------------------SYDYWG-QGTLVTVSS</t>
  </si>
  <si>
    <t>EVQ-LVESGG-GLVQPGGSLRLSCAASGFTF---------SSYAMS-WVRQ-A-P-G-K--G-LE-WVSVIYSG------------GSTYY--A--D--SV--K---GRFTISR-D---N-S--KN----T-LYLQM---RA-EDTAVYYCARDL-----------------------------SSDVWG-QGTTVTVSS</t>
  </si>
  <si>
    <t>DIQ-MTQSPSSLSASVGDRVTITCRASQSV-----------SSAVA-WYQQ-K-P-G-K--A-PK-LLIYSA----------------SSL--Y--S--GV--P---SRFSGSR-------S--GT----D-FTLTISSLQP-EDFATYYCQQSYV----------------------------PPFTFG-QGTKVEIK-</t>
  </si>
  <si>
    <t>DIQ-MTQSPSSLSASVGDRVTITCRASQDV-----------NTAVA-WYQQ-K-P-G-K--A-PK-LLIYSAS--------------YRYT--G--S--GV--P---SRFSGSG-------S--GT----D-FTLTISSLQP-EDFATYYCQQSYS----------------------------TPYTFG-QGTKVEIK-</t>
  </si>
  <si>
    <t>EVQ-LVESGG-GLVQPGGSLRLSCAASGFNF---------SNYGMH-WVRQ-A-P-G-K--G-LE-WVSVIYSG------------GSTYY--A--D--SV--K---GRFTISR-D---N-S--KN----T-LYLQMNSLRA-EDTAVYYCAKTPGGKDLW------------------VSSGDYFDYWG-QGTLVTVSS</t>
  </si>
  <si>
    <t>DIQ-MTQSPSSLSASVGDRVTITCRASQSV-----------SSAVA-WYQQ-K-P-G-K--A-PK-LLIYSA----------------SSL--Y--S--GV--P---SRFSGSR-------S--GT----D-FTLTISSLQP-EDFATYYCQQYVY---------------------------SSLITFG-QGTKVEIK-</t>
  </si>
  <si>
    <t>EVQ-LQQSGA-ELVKPGASVKLSCTASGFNI---------KDTYMY-WVKQ-R-P-E-Q--G-LE-WIGRIDPA-----------NGNTQY--D--P--KF--Q---GKATITT-D---T-F--SN----T-AYLQLSSLTS-EDTAVYYCARGPY---------------------------YGFAYWG-QGTLVTVSA</t>
  </si>
  <si>
    <t>QVQ-LQQSGP-ELVKPGASVKISCKASGYTF---------TSDYIH-WVKQ-R-P-G-Q--G-LE-WIGEIDPS------------DGTNY--N--E--KF--K---GKATLTA-D---K-S--SS----T-AYMQLSSLTS-EDSAVYYCAREGYYD------------------------YYAMDYWG-QGTSVTVSS</t>
  </si>
  <si>
    <t>DIQ-MTQSPASLSASVGETVTITCRASGNI-----------HNYLA-WYQQ-K-Q-G-K--S-PQ-LLVYNA----------------KTL--A--D--GV--P---SRFSGSG-------S--GT----Q-YSLKINSLQP-EDFGSYYCQHFWS----------------------------TPYTFG-GGTKLEIK-</t>
  </si>
  <si>
    <t>EVQ-LVESGG-GLVQPGGSLRLSCAASGFNV---------YSSSIH-WVRQ-A-P-G-K--G-LE-WVASISSY-----------YGYTYY--A--D--SV--K---GRFTISA-D---T-S--KN----T-AYLQMNSLRA-EDTAVYYCARSRQFW------------------------YSGLDYWG-QGTLVTVSS</t>
  </si>
  <si>
    <t>-VQ-LQQSGA-ELVRPGASVKMSCKASGYIF---------ITYWMH-WVKQ-R-P-G-Q--G-LE-WIGDIYPG------------GGTSY--N--Q--KF--K---GKATLTA-D---K-S--SS----T-AYMQLSSLTS-EDSAVYFCARGGN---------------------------YGYDYWG-QGTLVTVSA</t>
  </si>
  <si>
    <t>DIV-MSQSPSSLAVSAGEKVTMSCKSSQSLLYS-----SNQKNYLA-WYQQ-K-P-G-Q--S-PK-LLIYWA----------------STR--E--S--GV--P---DRFTGSG-------S--GT----D-FTLTISSVKA-EDLAVYYCQQHYS----------------------------TPPTFG-GGTKVEIK-</t>
  </si>
  <si>
    <t>EVQ-LVESGG-GLVQPGGSLRLSCAASGFNL---------YSSSIH-WVRQ-A-P-G-K--G-LE-WVASISSY-----------YGSTYY--A--D--SV--K---GRFTISA-D---T-S--KN----T-AYLQMNSLRA-EDTAVYYCARSRQFW------------------------YSGLDYWG-QGTLVTVSS</t>
  </si>
  <si>
    <t>DIQ-MTQSPSSLSASVGDRVTITCRASQSV-----------SSAVA-WYQQ-K-P-G-K--A-PK-LLIYSA----------------SSL--Y--S--GV--P---SRFSGSR-------S--GT----D-FTLTISSLQP-EDFATYYCQQYSY----------------------------SPLTFG-GGTKVEIK-</t>
  </si>
  <si>
    <t>QVQ-LVQSGA-EVKKPGASVKVSCKASGYTF---------TSSYIH-WVRQ-A-P-G-Q--G-LE-WMGWISTY-----------NGRTNY--A--Q--KF--Q---GRVTMTR-D---T-S--IS----T-AYMEL---RS-EDTAVYYCAREGV----------------------------YGDYWG-QGTLVTVSS</t>
  </si>
  <si>
    <t>DIQ-MTQSPSSLSASVGDRVTITCRASQSV-----------SSAVA-WYQQ-K-P-G-K--A-PK-LLIYSA----------------SSL--Y--S--GV--P---SRFSGSR-------S--GT----D-FTLTISSLQP-EDFATYYCQQYYS----------------------------YSVTFG-QGTKVEIK-</t>
  </si>
  <si>
    <t>QVQ-LVESGG-GVVQPGRSLRLSCAASGFTF---------SNFGMH-WVRQ-A-P-G-K--G-LE-WVAVISDG------------SNKYY--A--D--SV--K---GRFTISR-D---N-S--KN----T-LYLQMNSLRA-EDTAVYYCARDLGDS------------------------LGAMDYWG-QGTLVTVSS</t>
  </si>
  <si>
    <t>DIQ-MTQSPSSLSASVGDRVTITCRASQGI-----------RNDLG-WYQQ-K-P-G-K--A-PK-LLIYAA----------------SSL--Q--S--GV--P---SRFSGSG-------S--GT----D-FTLTISSLQP-EDFATYYCQQSYS----------------------------TPRTFG-QGTKVEIK-</t>
  </si>
  <si>
    <t>NFM-LTQPHS-VSESPGKTVTISCTRSSGSI---------ASNYVQ-WYQQ-R-P-G-S--A-PT-TVIYED----------------NQR--P--S--GV--P---DRFSGSI-D---S-S--SN----S-ASLTISGLKT-EDEADYYCQSYDS----------------------------GIQVFG-GGTKLTVL-</t>
  </si>
  <si>
    <t>EVQ-LQQSGP-ELVKPGASVKMSCKASGYTF---------TSYNMH-WVKQ-R-P-G-Q--G-LE-WIGEINPNS----------GGTTNY--N--E--KF--K---GKATLTA-D---K-S--SS----T-AYMQLSSLTS-EDSAVYYCARPGYRY-----------------------YGSYFDYWG-QGTTLTVSS</t>
  </si>
  <si>
    <t>QVQ-LQQWGA-GLLKPSETLSLTCAVYGGSF---------SGYYWS-WIRQ-P-P-G-K--G-LE-WIGEINHS------------GSTNY--N--P--SL--K---SRVTISV-D---T-S--KN----Q-FSLKLSSVTA-ADTAVYYCARHS-----------------------------DYQYWG-QGTLVTVSS</t>
  </si>
  <si>
    <t>-VQ-LVQSGA-EVKKPGASVKVSCKASGYTF---------TGYYMH-WVRQ-A-P-G-Q--G-LE-WMGWINPN-----------SGGTNY--A--Q--KF--Q---GRVTMTR-D---T-S--IS----T-AYMELSRLRS-DDTAVYYCARGG------------------------------LDYWG-QGTLVTV--</t>
  </si>
  <si>
    <t>DIQ-MTQSPSSLSASVGDRVTITCRASQSV-----------SSAVA-WYQQ-K-P-G-K--A-PK-LLIYSA----------------SSL--Y--S--GV--P---SRFSGSR-------S--GT----D-FTLTISSLQP-EDFATYYCQQSHE----------------------------DPYTFG-QGTKVEIK-</t>
  </si>
  <si>
    <t>EVQ-LVESGG-GLVQPGGSLRLSCAASGFTF---------SSYWMS-WVRQ-A-P-G-K--G-LE-WVANIKQD-----------GSEKYY--V--D--SV--K---GRFTISR-D---N-A--KN----S-LYLQMNSLRA-EDTAVYYCARWLYG--------------------------SLGDYWG-QGTLVTVSS</t>
  </si>
  <si>
    <t>EVQ-LVESGG-GLVQPGGSLRLSCAASGFTF---------SSYAMH-WVRQ-A-P-G-K--G-LE-WVANINQD-----------GGEKYY--V--D--SV--K---GRFTISR-D---N-A--KN----S-LYLQMNSLRA-EDTAVYYCARATGE--------------------------GYFDYWG-QGTLVTVSS</t>
  </si>
  <si>
    <t>DIQ-MTQSPSSLSASVGDRVTITCRASQSV-----------SSAVA-WYQQ-K-P-G-K--A-PK-LLIYSA----------------SSL--Y--S--GV--P---SRFSGSR-------S--GT----D-FTLTISSLQP-EDFATYYCQQSYV----------------------------SSWTFG-QGTKVEIK-</t>
  </si>
  <si>
    <t>EVQ-LVESGG-GLVQPGGSLRLSCAASGFTF---------STYWMS-WVRQ-A-P-G-K--G-LE-WVANIKQD-----------GSEKYY--V--D--SV--K---GRFTISR-D---N-A--KN----S-LYLQMNSLRA-EDTAVYYCAKDGG----------------------------QFFVWG-QGTLVTVSS</t>
  </si>
  <si>
    <t>DIQ-MTQSPSSLSASVGDRVTITCRASQSV-----------SSAVA-WYQQ-K-P-G-K--A-PK-LLIYSA----------------SSL--Y--S--GV--P---SRFSGSR-------S--GT----D-FTLTISSLQP-EDFATYYCQQSY------------------------------VPSFG-QGTKVEIK-</t>
  </si>
  <si>
    <t>EVQ-LQQSGP-ELVKPGASVKISCKASGYSF---------TGYNMN-WVKQ-S-H-G-K--N-LE-WIGLINPY-----------NGDTTY--N--Q--KF--K---GKATLTV-D---K-S--SS----T-AYMELLSLTS-EDSAVYYCARDDYY--------------------------GSLDYWG-QGTSVTVSS</t>
  </si>
  <si>
    <t>DVL-MTQTPLSLPVSLGDQASISCRSSQSIVHS------NGNTYLE-WYLQ-K-P-G-Q--S-PK-LLIYKV----------------SNR--F--S--GV--P---DRFSGSG-------S--GT----D-FTLKISRVEA-EDLGVYYCFQGSH----------------------------VPWTFG-GGTKLEIK-</t>
  </si>
  <si>
    <t>QVQ-LQESGP-GLVKPSQTLSLTCTVSGGSI---------TSGYWS-WIRQ-P-P-G-K--G-LE-WIGYIYYS------------GSTNY--N--P--SL--K---SRVTISV-D---T-S--KN----Q-FSLKLSSVTA-ADTAVYYCARHSGYQV----------------------WGRGFDVWG-QGTTVTVSS</t>
  </si>
  <si>
    <t>EIV-LTQSPGTLSLSPGERATLSCRASQVS-----------SSYLA-WYQQ-K-P-G-Q--A-PR-LLIYGA----------------SSR--A--T--GI--P---DRFSGSG-------S--GT----D-FTLTISRLEP-EDFAVYYCQQYGS----------------------------SPWTFG-QGTKVEI--</t>
  </si>
  <si>
    <t>QVQ-LVQSGA-EVKKPGASVKVSCKASGYTF---------TGYYMH-WVRQ-A-P-G-Q--G-LE-WMGWINPN-----------SGGTNY--A--Q--KF--Q---GRVTMTR-D---T-S--IS----T-AYMELSRLRS-DDTAVYYCARDYTRGAWF-----------------GESLIGGFDNWG-QGTLVTVSS</t>
  </si>
  <si>
    <t>EIV-LTQSPGTLSLSPGERATLSCRASQTVS----------STSLA-WYQQ-K-P-G-Q--A-PR-LLIYGA----------------SSR--A--T--GI--P---DRFSGSG-------S--GT----D-FTLTISRLEP-EDFAVYYCQQHD-----------------------------TSLTFG-GGTKVEIK-</t>
  </si>
  <si>
    <t>EVQ-LVESGG-GLVQPGGSLRLSCAASGFTF---------SRYAMS-WVRQ-A-P-G-K--G-LE-WVSVIYSG------------GSTYY--A--D--SV--K---GRFTISR-D---N-S--KN----T-LYLQMNSLRA-EDTAVYYCARSYYVS-----------------------SGTWFDLWG-RGTLVTVSS</t>
  </si>
  <si>
    <t>DIQ-MTQSPSSLSASVGDRVTITCRASQSV-----------SSAVA-WYQQ-K-P-G-K--A-PK-LLIYSA----------------SSL--Y--S--GV--P---SRFSGSR-------S--GT----D-FTLTISSLQP-EDFATYYCQQYHY---------------------------SSLITFG-QGTKVEIK-</t>
  </si>
  <si>
    <t>QVQ-LVQSGA-EVKKPGASVKVSCKASGYTF---------TGYYMH-WVRQ-A-P-G-Q--G-LE-WMGWINPN-----------SGGTNY--A--Q--KF--Q---GRVTMTR-D---T-S--IS----T-AYMELSRLRS-DDTAVYYCARGRL----------------------------LRSYWG-QGTLVTVSS</t>
  </si>
  <si>
    <t>DIQ-MTQSPSSLSASVGDRVTITCQASQDI-----------NNYLN-WYQQ-K-P-G-K--A-PK-LLIYDA----------------SNL--E--T--GV--P---SRFSGSG-------S--GT----D-FTFTISSLQP-EDIATYYCQQYDN----------------------------LPLTFG-GGTKVEIK-</t>
  </si>
  <si>
    <t>EVQ-LQQSGP-ELVKPGASVKISCKTSGYTF---------TEYTMY-WVKQ-S-H-G-K--S-LE-WIGRIDPA-----------NGYTKY--D--P--KF--Q---GKATITT-D---T-S--SN----T-AYLQLSSLTS-EDTAVYYCVRPLYD-------------------------YYAMDYWG-QGTSVTVSS</t>
  </si>
  <si>
    <t>QVQ-LVQSGA-EVKKPGASVKVSCKASGYTF---------TGYYMH-WVRQ-A-P-G-Q--G-LE-WMGWINPN-----------SGGTNY--A--Q--KF--Q---GRVTMTR-D---T-S--IS----T-AYMELSRLRS-DDTAVYYCARDLP---------------------------TGSDYWG-QGTLVTVSS</t>
  </si>
  <si>
    <t>EVQ-LVQSGA-EVKKPGASVKVSCKASGYTF---------TGYYMH-WVRQ-A-P-G-Q--G-LE-WMGWINPN-----------SGGTNY--R--Q--KF--Q---GRVTMTR-D---T-S--IS----T-AYMELSRLRS-DDTAVYYCARDYTRGAWF-----------------GESLIGGFDNWG-QGTLVTVSS</t>
  </si>
  <si>
    <t>DIQ-MTQSPSSLSASVGDRVTITCRASQSI-----------GSYLN-WYQQ-K-P-G-K--A-PK-LLIYAA----------------STL--Q--S--GV--P---SRFSGSG-------S--GT----D-FTLTISSLQP-EDFATYYCQQSYS----------------------------TPRTFG-QGTKLEIK-</t>
  </si>
  <si>
    <t>EVQ-LQQSGA-ELVRPGASVKMSCKASGYTF---------TSYHIH-WVKQ-R-P-G-Q--G-LE-WIGAIYPG-----------DSDTRY--N--Q--KF--K---GKATLTV-D---K-S--SS----T-AYMQLSSLTS-EDSAVYYCARGFY----------------------------GFDYWG-QGTTLTVSS</t>
  </si>
  <si>
    <t>EVQ-LVESGG-GLVQPGGSLRLSCAASGFNL---------YSSSIH-WVRQ-A-P-G-K--G-LE-WVASISPY-----------SGSTSY--A--D--SV--K---GRFTISA-D---T-S--KN----T-AYLQMNSLRA-EDTAVYYCARWGYWL------------------------RGAMDYWG-QGTLVTVSS</t>
  </si>
  <si>
    <t>DIQ-MTQSPSSLSASVGDRVTITCRASQSV-----------SSAVA-WYQQ-K-P-G-K--A-PK-LLIYSA----------------SSL--Y--S--GV--P---SRFSGSR-------S--GT----D-FTLTISSLQP-EDFATYYCQQSYV----------------------------YSLTFG-GGTKVEIK-</t>
  </si>
  <si>
    <t>EVQ-LVESGG-GLVQPGGSLRLSCAASGFTF---------SSYSMN-WVRQ-A-P-G-K--G-LE-WVSAISGS-----------GGSTYY--A--D--SV--K---GRFTISR-D---N-S--KN----T-LYLQMNSLRA-EDTAVYYCAKAGY----------------------------YGDSWG-QGTLVTVSS</t>
  </si>
  <si>
    <t>EVQ-LVESGG-GLVKPGGSLRLSCAASGFTF---------SSYAMS-WVRQ-A-P-G-K--G-LE-WVSSISSS-----------SSYIYY--A--D--SV--K---GRFTISR-D---N-A--KN----S-LYLQMNSLRA-EDTAVYYCARQYSRGLYD------------------YWVYGAMDYWG-QGTLVTVSS</t>
  </si>
  <si>
    <t>DIV-MTQSPSSLAVSVGEKVTMSCKSSQSLLYS-----SNQKNYLA-WYQQ-K-P-G-Q--S-PK-LLIYWA----------------STR--E--S--GV--P---DRFTGSG-------S--GT----D-FTLTISSVKA-EDLAVYYCQQYYS----------------------------TPRTFG-GGTKLEIK-</t>
  </si>
  <si>
    <t>EVQ-LVESGG-GLVQPGGSLRLSCAASGFTF---------SSYAMS-WVRQ-A-P-G-K--G-LE-WVSAIYAG------------GSTYY--A--D--SV--K---GRFTISR-D---N-S--KN----T-LYLQM---RA-EDTAVYYCARVRQ---------------------------YYDSSWG-QGTLVTVSS</t>
  </si>
  <si>
    <t>DIQ-LTQSPSFLSASVGDRVTITCRASQGI-----------SSYLA-WYQQ-K-P-G-K--A-PK-LLIYAA----------------STL--Q--S--GV--P---SRFSGSG-------S--GT----E-FTLTISSLQP-EDFATYYCQQYNN----------------------------YPLTFG-QGTKLEIK-</t>
  </si>
  <si>
    <t>EVQ-LVQSGA-EVKKPGASVKVSCKASGYTF---------TGYYMH-WVRQ-A-P-G-Q--G-LE-WMGWINNS------------GGTNY--A--Q--KF--Q---GRVTMTR-D---T-S--IS----T-AYMEL---RS-EDTAVYYCARSGYAY------------------------YYYMDYWG-QGTLVTVSS</t>
  </si>
  <si>
    <t>-SV-LTQPPS-ASGTPGQRVTISCSGSSSNI---------GNNYVS-WYQQ-L-P-G-T--A-PK-LLIYDN----------------NKR--P--S--GI--P---DRFSGSK-------S--GT----S-ASLAISGLRS-EDEADYYCATWDDS--------------------------LSGLVFG-GGTKLTVL-</t>
  </si>
  <si>
    <t>EVQ-LVESGA-EVKKPGSSVKVSCKASGDTF---------IRYSFT-WVRQ-A-P-G-Q--G-LE-WMGRIIIL------------DVAHY--A--P--HL--Q---GRVTITA-D---K-S--TS----T-VYLEL---RS-DDTAVYFCAGVYE---------------------------GEAKHWG-QGTLVTVSS</t>
  </si>
  <si>
    <t>-IV-MTQSPSTLSASVGDRVTITCRASQSI-----------SSWLA-WYQQ-K-P-G-K--A-PK-LLIYKA----------------SSL--E--S--GV--P---SRFSGSG-------S--GT----E-FTLTISSLQP-DDFATYYCQQYNS----------------------------YSITFG-QGTRLEIK-</t>
  </si>
  <si>
    <t>EVQ-LVESGG-GLVKAGGSLILSCGVSNFRI----------SAHMT-WVRQ-A-P-G-K--G-LE-WVSSISAS------------STIYY--A--D--SV--K---GRFTISR-D---N-A--KN----S-LYLQM---KN-EDTAMYYCVRPYDY--------------------------YAMDYWG-QGTSVTVSS</t>
  </si>
  <si>
    <t>DIV-MTQSPDSLAVSLGERATINCKSSQNN-----------KNYLA-WYQQ-K-P-G-Q--P-PK-LLIYWA----------------STR--E--S--GV--P---DRFSGSG-------S--GT----D-FTLTISSLQA-EDVAVYYCQQYYS----------------------------TPFTFG-QGTKVEIK-</t>
  </si>
  <si>
    <t>QVQ-LVQSGA-EVKKPGASVKVSCKASGYTF---------TNYGIS-WVRQ-A-P-G-Q--G-LE-WMGWISTY-----------NGNTNY--A--Q--KF--Q---GRVTMTT-D---T-S--TT----T-GYMELRRLRS-DDTAVYYCARDRY---------------------------YGSDVWG-QGTTVTVSS</t>
  </si>
  <si>
    <t>DIQ-MTQSPSSLSASVGDRVTITCQASQDI-----------SNYLN-WYQQ-K-P-G-K--A-PK-LLIYDA----------------SNL--E--T--GV--P---SRFSGSG-------S--GT----D-FTFTISSLQP-EDIATYYCQQYDN----------------------------LPLTFG-PGTKVDIK-</t>
  </si>
  <si>
    <t>QVQ-LQESGP-GLVKPSETLSLTCTVSGGSI---------SNYYWS-WIRQ-P-P-G-K--G-LE-WIGYISDS------------ESTNY--N--P--SL--N---SRVVISR-D---T-S--KN----Q-LSLKL---TP-ADTAVYYCARVRG----------------------------FGDYWG-QGTLVTVSS</t>
  </si>
  <si>
    <t>-IV-MTQSPSSLSASVGDRVTITCRASQGI-----------RNYLA-WYQQ-K-P-G-K--A-PK-LLIYAA----------------STL--Q--S--GV--P---SRFSGSG-------S--GT----D-FTLTISSLQP-EDFATYYCQQSYS----------------------------TPRTFG-QGTKVEIK-</t>
  </si>
  <si>
    <t>QVQ-LVQSGA-EVKKPGASVKVSCKASGYTF---------TSYGIS-WVRQ-A-P-G-Q--G-LE-WMGWISAY-----------NGNTNY--A--Q--KF--Q---GRVTMTT-D---T-S--TT----T-GYMELRRLRS-DDTAVYYCAREGY---------------------------YYDILWG-QGTLVTVSS</t>
  </si>
  <si>
    <t>DIQ-LTQSPSFLSASVGDRVTITCRASQGI-----------SSYLA-WYQQ-K-P-G-K--A-PK-LLIYAA----------------STL--Q--S--GV--P---SRFSGSG-------S--GT----E-FTLTISSLQP-EDFATYYCQQYSS----------------------------YSLTFG-GGTKVEIK-</t>
  </si>
  <si>
    <t>QVQ-LVESGG-GVVQPGRSLRLSCAASGFTF---------SSYGMH-WVRQ-A-P-G-K--G-LE-WVAVISDG------------SNKYY--A--D--SV--K---GRFTISR-D---N-S--KN----T-LYLQMNSLRA-EDTAVYYCAKAGYR--------------------------DLDDYWG-QGTLVTVSS</t>
  </si>
  <si>
    <t>EVQ-LVESGA-EVKKPGASVKVSCKASGYTF---------TGYYMH-WVRQ-A-P-G-Q--G-LE-WMGWINPN-----------SGGTNY--A--Q--KF--Q---GRVTMTR-D---T-S--TS----T-VYMELSSLRS-DDTAVYFCARSVGYVDP-------------------SSSGLGMDYWG-QGTLVTVSS</t>
  </si>
  <si>
    <t>DIV-MTQSPSSLAVSAGEKVTMSCKSSQSLLYS-----SNQKNYLA-WYQQ-K-P-G-Q--S-PK-LLIYWA----------------STR--E--S--GV--P---DRFSGSG-------S--GT----D-FTLTISSLQA-EDVAVYYCQQYYS----------------------------SPLTFG-GGTKVEIK-</t>
  </si>
  <si>
    <t>-VQ-LQQSGA-ELVKPGASVKLSCTASGFNI---------KDTYMY-WVKQ-R-P-E-Q--G-LE-WIGRIDPA-----------NGYTKY--D--P--KF--Q---GKATITA-D---T-S--SN----T-AYLQLSSLTS-EDTAVYYCVRPLYD-------------------------YYAMDYWG-QGTSVTVSS</t>
  </si>
  <si>
    <t>NIV-MTQSPATLSLSPGERATLSCRASQSV-----------SSYLA-WYQQ-K-P-G-Q--A-PR-LLIYDA----------------SNR--A--T--GI--P---ARFSGSG-------S--GT----D-FTLTISSLEP-EDFAVYYCQQYGS----------------------------SPLTFG-GGTKVEIK-</t>
  </si>
  <si>
    <t>EVQ-LVESGG-GLVQPGGSLRLSCAASGFNV---------SYYSIH-WVRQ-A-P-G-K--G-LE-WVASISSS-----------SGSTSY--A--D--SV--K---GRFTISA-D---T-S--KN----T-AYLQMNSLRA-EDTAVYYCARVYGDY------------------------GGWFDPWG-QGTLVTVSS</t>
  </si>
  <si>
    <t>DIQ-MTQSPSSLSASVGDRVTITCRASQSI-----------SSYLN-WYQQ-K-P-G-K--A-PK-LLIYAA----------------SSL--Q--S--GV--P---SRFSGSG-------S--GT----D-FTLTISSLQP-EDFATYYCQQSYS----------------------------TPPTFG-QGTKVEIK-</t>
  </si>
  <si>
    <t>EVQ-LVESGG-GLVQPGGSLRLSCAASGFTF---------SNYAMS-WVRQ-A-P-G-K--G-LE-WVSVIYSG------------GSTYY--A--D--SV--K---GRFTISR-D---N-S--KN----T-LYLQMNSLRA-EDTAVYYCARVGGGFGV-------------------NGSWVYFDYWG-QGTLVTVSS</t>
  </si>
  <si>
    <t>EVQ-LQQSGA-ELVRPGASVKMSCKASGYTF---------TSYNMH-WVKQ-R-P-G-Q--G-LE-WIGYINPN-----------SGGTRY--N--E--KF--K---GKATLTA-D---K-S--SS----T-AYMQLSSLTS-EDSAVYYCARSY------------------------------GYYWG-QGTLVTVSA</t>
  </si>
  <si>
    <t>EVQ-LVESGG-GLVQPGGSLRLSCAASGFTF---------SSYAMH-WVRQ-A-P-G-K--G-LE-WVAYISSS-----------SGSTSY--A--D--SV--K---GRFTISA-D---T-S--KN----T-AYLQMNSLRA-EDTAVYYCARS-------------------------------GAYWG-QGTLVTVSS</t>
  </si>
  <si>
    <t>DIQ-MTQSPSSLSASVGDRVTITCRASQSV-----------SSAVA-WYQQ-K-P-G-K--A-PK-LLIYSA----------------SSL--Y--S--GV--P---SRFSGSR-------S--GT----D-FTLTISSLQP-EDFATYYCQQSYY---------------------------WIPITFG-QGTKVEIK-</t>
  </si>
  <si>
    <t>EVQ-LVESGG-GLVQPGGSLRLSCAASGFTF---------SSYAMH-WVRQ-A-P-G-K--G-LE-WVANISDG------------SKSAY--A--D--SV--K---GRFTISA-D---T-S--KN----T-AYLQM---RA-EDTAVYYCARYSGSLD---------------------DPYYVMDVWG-QGTTVTVSS</t>
  </si>
  <si>
    <t>DIQ-MTQSPSSLSASVGDRVTITCRASQSV-----------SSAVA-WYQQ-K-P-G-K--A-PK-LLIYSA----------------SSL--Y--S--GV--P---SRFSGSR-------S--GT----D-FTLTISSLQP-EDFATYYCQQSYV---------------------------PSLLIFG-QGTKVEIK-</t>
  </si>
  <si>
    <t>EVQ-LVESGG-GLVQPGGSLRLSCAASGFTF---------SMYAMT-WVRQ-A-P-G-K--G-LE-WVSGISWN-----------SGSTYY--A--D--SV--K---GRFTISR-D---N-A--KN----S-LYLQMNSLRA-EDTAVYYCARLGYWS-----------------------SGSSLDYWG-QGTLVTVSS</t>
  </si>
  <si>
    <t>DIQ-MTQSPSSLSASVGDRVTITCRASQSV-----------SSAVA-WYQQ-K-P-G-K--A-PK-LLIYSA----------------SSL--Y--S--GV--P---SRFSGSR-------S--GT----D-FTLTISSLQP-EDFATYYCQQSYS---------------------------TPPWTFG-QGTKVEIK-</t>
  </si>
  <si>
    <t>QVQ-LQQSGA-ELVKPGASVKLSCTASGFNI---------KDTYVH-WVKQ-R-P-E-Q--G-LE-WIGRIDPA-----------NGDTKY--D--P--KF--Q---GKATITT-D---T-F--SN----T-AYLQLSSLTS-EDTAVYYCVRPLYD-------------------------YYAMDYWG-QGTSVTVSS</t>
  </si>
  <si>
    <t>EVQ-LVESGG-GLVQPGGSLRLSCAASGFTF---------SSYWMS-WVRQ-A-P-G-K--G-LE-WVANIKQD-----------GSEKYY--V--D--SV--K---GRFTISR-D---N-A--KN----S-LYLQMNSLRA-EDTAVYYCARGRYYGSG--------------------PYYQHFDPWG-QGTLVTVSS</t>
  </si>
  <si>
    <t>EVQ-LVESGG-GLVQPGGSLRLSCAASGFTF---------SSYAMS-WVRQ-A-P-G-K--G-LE-WVAYISSS-----------GGSTYY--A--D--SV--K---GRFTISR-D---N-S--KN----T-LYLQMNSLRA-EDTAVYYCARVGGW-------------------------GGYFDYWG-QGTLVTVSS</t>
  </si>
  <si>
    <t>EVQ-LVESGG-GLVQPGGSLRLSCAASGFTF----------SDYIH-WVRQ-A-P-G-K--G-LE-WVAYIYYS------------GSTSY--A--D--SV--K---GRFTISA-D---T-S--KN----T-AYLQMNSLRA-EDTAVYYCARWYGWY-----------------------YFYGMDYWG-QGTLVTVSS</t>
  </si>
  <si>
    <t>SYE-LTQPPS-VSVAPGQTARISCGGNNIG-----------SKSVH-WYQQ-K-P-G-Q--A-PV-LVVYDD----------------SDR--P--S--GI--P---ERFSGSN-------S--GN----T-ATLTISRVEA-GDEADYYCQVWDSS--------------------------SDVYIFG-AGTKLTVL-</t>
  </si>
  <si>
    <t>AIR-MTQSPSTLSASVGDRVTITCRASQSI-----------SSWLA-WYQQ-K-P-G-K--A-PK-LLIYKA----------------SSL--E--S--GV--P---SRFSGSG-------S--GT----E-FTLTISSLQP-DDFATYYCQQYNS----------------------------YSWTFG-QGTKVEIK-</t>
  </si>
  <si>
    <t>EVQ-LVESGG-GLVQPGGSLRLSCAASGFTF---------SNYAMS-WVRQ-A-P-G-K--G-LE-WVSAISGS-----------GGSTYY--A--D--SV--K---GRFTISR-D---N-S--KN----T-LYLQMNSLRA-EDTAVYYCARDRVS--------------------------LGSDAWG-QGTLVTVSS</t>
  </si>
  <si>
    <t>NFM-LTQPHS-VSESPGKTVTISCTRSSGSI---------ASNYVQ-WYQQ-R-P-G-S--A-PT-TVIYED----------------NQR--P--S--GV--P---DRFSGSI-D---S-S--SN----S-ASLTISGLKT-EDEADYYCQSYDS----------------------------SNWVFG-GGTKLTVL-</t>
  </si>
  <si>
    <t>QVQ-LQQSGA-ELVKPGASVKLSCKASGYTF---------TSDWIH-WVKQ-R-P-G-H--G-LE-WIGEIIPS-----------YGRANY--N--E--KF--K---GKATLTA-D---K-S--SS----T-AYMQLSSLTS-EDSAVYYCARENGYG-----------------------YGSGMDYWG-QGTSVTVSS</t>
  </si>
  <si>
    <t>EVQ-LVESGG-GLVQPGGSLRLSCAASGFTF---------SRYWMN-WVRQ-A-P-G-K--G-LE-WVSSIKNS-----------YTYTHY--A--D--SV--K---GRFTISR-D---N-A--KN----S-LYLQMNSLRA-EDTAVYYCARQGSL-------------------------LNAMDYWG-QGTLVTVSS</t>
  </si>
  <si>
    <t>DIQ-MTQSPSSLSASVGDRVTITCRASQSI-----------SSYLN-WYQQ-K-P-G-K--A-PK-LLIYAA----------------SSL--Q--S--GV--P---SRFSGSG-------S--GT----D-FTLTISSLQP-EDFATYYCQQSYY---------------------------STPYTFG-QGTKVEIK-</t>
  </si>
  <si>
    <t>EVQ-LVESGG-GLVQPGGSLRLSCAASGFTF---------SRYAMT-WVRQ-A-P-G-K--G-LE-WVSSISSS-----------SGYTYY--A--D--SV--K---GRFTISR-D---N-S--KN----T-LYLQMNSLRA-EDTAVYYCARVYSGYSGYNYW------------SYSYGSSYYFDYWG-QGTLVTVSA</t>
  </si>
  <si>
    <t>EVQ-LVESGG-GLVKPGGSLRLSCAASGFTF---------SSYSMN-WVRQ-A-P-G-K--G-LE-WVSSISSS-----------SSYIYY--A--D--SV--K---GRFTISR-D---N-A--KN----S-LYLQMNSLRA-EDTAVYYCARHY-----------------------------DYGYWG-QGTLVTVSS</t>
  </si>
  <si>
    <t>DIQ-MTQSPSSLSASVGDRVTITCRASQGI-----------SNYLN-WYQQ-K-P-G-K--A-PK-LLIYAA----------------SSL--Q--S--GV--P---SRFSGSG-------S--GT----D-FTLTISSLQP-EDFATYYCQQSYS----------------------------TPRTFG-QGTKVEIK-</t>
  </si>
  <si>
    <t>QVQ-LVESGG-GVVQPGRSLRLSCAASGFTF---------SSYGMH-WVRQ-A-P-G-K--G-LE-WVAVISYD-----------GSNKYY--A--D--SV--K---GRFTISR-D---N-S--KN----T-LYLQMNSLRA-EDTAVYYCAKDLG----------------------------GGDIWG-QGTMVTVSS</t>
  </si>
  <si>
    <t>DIQ-MTQSPSSLSASVGDRVTITCRASQSI-----------SSYLN-WYQQ-K-P-G-K--A-PK-LLIYAA----------------SSL--Q--S--GV--P---SRFSGSG-------S--GT----D-FTLTISSLQP-EDFATYYCQQSYS----------------------------APPTFG-QGTKVEIK-</t>
  </si>
  <si>
    <t>EVQ-LVESGG-GLVKPGGSLRLSCAASGFSF---------SSYWMS-WVRQ-A-P-G-K--G-LE-WVSGINPS------------NGTNY--A--D--SV--K---GRFTISR-D---N-S--KN----T-LYLQMNSLRA-EDTAVYYCAREGSS-------------------------SYYFDFWG-QGTLVTVSS</t>
  </si>
  <si>
    <t>-YE-LTQPPS-VSVSPGQTARITCSGDALPK----------RQFYG-WYQQ-K-P-G-Q--A-PV-LVIYKD----------------SER--P--S--GI--P---ERFSGSS-------S--GT----T-VTLTISGVQA-EDEADYYCQSAD-----------------------------SNWVFG-GGTKLTVL-</t>
  </si>
  <si>
    <t>QVQ-LQQSGP-ELVKPGASVKISCKASGYTF---------TDYYMH-WVKQ-S-H-G-K--S-LE-WIGYIDPS-----------DGETNY--N--Q--KF--K---GKATLTV-D---K-S--SS----T-AYMELSSLTS-EDSAVYYCARGG-----------------------------YFDYWG-QGTTLTVSS</t>
  </si>
  <si>
    <t>DIV-MTQSPSSLAVSAGEKVTMSCKSSQSLLNS-----GNQKNYLA-WYQQ-K-P-G-Q--S-PK-LLIYWA----------------STR--E--S--GV--P---DRFTGSG-------S--GT----D-FTLTISSVQA-EDLAVYYCQNDYT----------------------------YPLTFG-SGTKLEIK-</t>
  </si>
  <si>
    <t>QVQ-LVQSGA-EVKKPGASVKVSCKASGYTF---------TSYAMH-WVRQ-A-P-G-Q--G-LE-WMGWIKPN-----------SGNTNY--A--Q--KF--Q---GRVTMTR-D---T-S--IS----T-AYMELSRLRS-DDTAVYYCARDVDSVY----------------------DVWFFDYWG-QGTLVTVSS</t>
  </si>
  <si>
    <t>DIQ-MTQSPSSLSASVGDRVTITCRASQSV-----------SSSLA-WYQQ-K-P-G-K--A-PK-LLIYSA----------------SSL--Y--S--GV--P---SRFSGSR-------S--GT----D-FTLTISSLQP-EDFATYYCQQYS-----------------------------NWPTFG-QGTKVEIK-</t>
  </si>
  <si>
    <t>EVQ-LVESGG-GLVQPGGSLRLSCAASGFTF---------SRYAMH-WVRQ-A-P-G-K--G-LE-WVAFIRYD-----------GSNRYT--S--D--SV--K---GRFTISR-D---N-S--KN----T-LYLQMNSLRA-EDTAVYYCARQGLW-------------------------YVFFDYWG-QGTLVTVSS</t>
  </si>
  <si>
    <t>DIQ-MTQSPSSLSASVGDRVTITCRASQSV-----------SSAVA-WYQQ-K-P-G-K--A-PK-LLIYS-----------------ASL--Y--S--GV--P---SRFSGSR-------S--GT----D-FTLTISSLQP-EDFATYYCQQYKY----------------------------VPITFG-QGTKVEIK-</t>
  </si>
  <si>
    <t>EVQ-LQQSGP-ELVKPGASVKISCKASGYSF---------TGYTMN-WVKQ-S-H-G-K--S-LE-WIGDIYNN------------GGTNY--N--E--KF--K---GKATFTA-D---T-S--SN----T-AYMQLSSLTS-EDSAVYYCAREY------------------------------GDYWG-QGTTLTVSS</t>
  </si>
  <si>
    <t>QVQ-LVQSGA-EVKKPGSSVKVSCKASGGTF---------SSYTIS-WVRQ-A-P-G-Q--G-LE-WMGGIIPI-----------FGTTNY--A--Q--KF--Q---GRVTITA-D---E-S--TS----T-AYMELSSLRS-EDTAVYYCARVSGGP------------------------GYAMDVWG-QGTTVTVSS</t>
  </si>
  <si>
    <t>EIV-LTQSPGTLSLSPGERATLSCRASQSVS----------SSYLA-WYQQ-K-P-G-Q--A-PR-LLIYGA----------------SSR--A--T--GI--P---DRFSGSG-------S--GT----D-FTLTISRLEP-EDFAVYYCQQYGS----------------------------SPFTFG-QGTKVEIK-</t>
  </si>
  <si>
    <t>EVQ-LVESGG-GLVQPGGSLRLSCAASGFTF---------SSYAMH-WVRQ-A-P-G-K--G-LE-WVSAISGS-----------GGNTYY--A--D--SV--K---GRFTISR-D---N-S--KN----T-LYLQMNSLRA-EDTAVYYCARVG------------------------------GAYWG-QGTLVTVSS</t>
  </si>
  <si>
    <t>-SV-LTQPPS-VSVAPGQTARISCSGDKLGG----------GSYVQ-WYQQ-R-P-G-Q--A-PV-LVIYYD---------------NNKR--P--S--GI--P---ERFSGSN-------S--GN----T-ATLTISGTQSLRSGAEYFCQTTN-----------------------------SYRVFG-GGTKLTVL-</t>
  </si>
  <si>
    <t>QVQ-LQQPGA-ELVKPGASVKMSCKASGYTF---------TSDWIH-WVKQ-R-P-G-Q--G-LE-WIGMIHS-------------GSTNYT-E--P--NF--QK--DKTTLTA-D---K-S--SS----T-AYMQLSSLTS-EDSAVYYCAREGN---------------------------YGLGYWG-QGTLVTVSA</t>
  </si>
  <si>
    <t>DIV-LTQSPASLAVSLGQRATISCRASKSVST-------SGYSYMH-WYQQ-K-P-G-Q--P-PK-LLIYLA----------------SNL--E--S--GV--P---ARFSGSG-------S--RT----D-FTLTIDPVEA-DDAATYYCQQNNE----------------------------DPWTFG-GGTKLEIK-</t>
  </si>
  <si>
    <t>EVQ-LQQSGA-ELVKPGASVKLSCTASGFNI---------KDTYMY-WVKQ-R-P-E-Q--G-LE-WIGRIDPA-----------NGDTKY--D--P--KF--Q---GKATITA-D---T-S--SN----T-AYLQLSSLTS-EDTAVYYCARKGLY--------------------------YAMDYWG-QGTSVTVSS</t>
  </si>
  <si>
    <t>DIL-MTQSPSSMSVSLGDTVSITCHASQGI-----------SSNIG-WLQQ-K-P-G-K--S-FM-GLIYYG----------------TNL--V--D--GV--P---SRFSGSG-------S--GA----D-YSLTISSLES-EDFATYYCQQYN-----------------------------NYWTFG-QGTKVEIK-</t>
  </si>
  <si>
    <t>QVQ-LQQSGP-GLVKPSETLSLTCAVSGGSI---------SGNYWS-WIRQ-S-P-G-K--G-LE-WIGRIYDS------------GSTNY--N--P--SL--K---SRVTISV-D---T-S--KN----Q-FSLRLSSVTA-ADTAVYYCARVYGGWYY-------------------GSRYYYFDYWG-QGTQVTVSS</t>
  </si>
  <si>
    <t>EIV-LTQSPGTLSLSPGERATLSCRASQSV-----------SSYLA-WYQQ-K-P-G-Q--A-PR-LLIYDA----------------SNR--A--T--GI--P---ARFSGSG-------S--GT----D-FTLTISSLEP-EDFAVYYCQQRSN---------------------------WSPGTFG-QGTKVEIK-</t>
  </si>
  <si>
    <t>EVQ-LVESGG-GLVQPGGSLRLSCAASGFTF---------SSYDMH-WVRQ-A-P-G-K--G-LE-WVSLINSG-----------GGSTYY--A--D--SV--K---GRFTISR-D---N-S--KN----T-LYLQMNSLRA-EDTAVYYCARVWVLLTS-------------------PGWFYGLDVWG-QGTLVTVSS</t>
  </si>
  <si>
    <t>DIQ-MTQSPSSLSASVGDRVTITCRASQSV-----------SSAVA-WYQQ-K-P-G-K--A-PK-LLIYSA----------------SSL--Y--S--GV--P---SRFSGSR-------S--GT----D-FTLTISSLQP-EDFATYYCQQGSS----------------------------WPLTFG-GGTKVEIK-</t>
  </si>
  <si>
    <t>QVQ-LQESGP-GLVKPSETLSLTCTVSGDSIT--------SDYYWS-WIRQ-P-P-G-K--G-LE-WIGYIYYS------------GSTYY--N--P--SL--K---SRVTISV-D---T-S--KN----Q-FSLKLSSVTA-ADTAVYYCARAGQYV-----------------------QWVYFDYWG-QGTLVTVSS</t>
  </si>
  <si>
    <t>EVQ-LVESGG-GLVQPGGSLRLSCAASGFNF---------SSSSIH-WVRQ-A-P-G-K--G-LE-WVASISSS-----------SGSTSY--A--D--SV--K---GRFTISA-D---T-S--KN----T-AYLQMNSLRA-EDTAVYYCARG--------------------------------RYWG-QGTLVTVSS</t>
  </si>
  <si>
    <t>EVQ-LVESGG-GLVQPGGSLRLSCAASGFTF---------SNYAMS-WVRQ-A-P-G-K--G-LE-WVSAISG-------------GSTYY--S--D--SV--K---GRFTISA-D---T-S--KN----T-AYLQM---RA-EDTAVYYCARYYS----------------------------SGDYWG-QGTLVTVSS</t>
  </si>
  <si>
    <t>-VQ-LQQSGA-ELVKPGASVKLSCTASGFNI---------KDTYMY-WVKQ-R-P-E-Q--G-LE-WIGRIDPA-----------NGDTKY--D--P--KF--Q---GKATITT-D---T-F--SN----T-AYLQLSSLTS-EDTAVYYCARGRYV--------------------------YGDDYWG-QGTSVTVSS</t>
  </si>
  <si>
    <t>DIV-MTQSPSSLSASVGDRVTITCQASQDI-----------SNYLN-WYQQ-K-P-G-K--A-PK-LLIYDA----------------SNL--E--T--GV--P---SRFSGSG-------S--GT----D-FTFTISSLQP-EDIATYYCQQYDN----------------------------LPITFG-QGTRLEIK-</t>
  </si>
  <si>
    <t>QVQ-LQESGP-GLVKPSETLSLTCTVSGGSV---------SSGGYY-WIRQ-P---G-R--G-LE-WIGSIYY-------------SGTNY--N--P--SL--K---SRVTISV-D---T-S--KN----Q-FSLKLSSVTA-ADTAVYYCARGRN---------------------------YDQDVWG-QGTLVTVSS</t>
  </si>
  <si>
    <t>QVQ-LQESGP-GLVKPSETLSLTCTVSGGSF---------STSYWG-WIRQ-P-P-G-K--G-LE-WIGSIYHS------------GSTNY--N--P--SL--K---SRVTISV-D---T-S--KN----Q-FSLKLSSVTA-ADTAVYYCARVEY---------------------------DYGDYWG-QGTLVTVSS</t>
  </si>
  <si>
    <t>EIV-MTQSPATLSVSPGERATLSCRASQSVS----------NSYLA-WYQQ-K-P-G-Q--A-PR-LLIYDA----------------SNR--A--T--GI--P---ARFSGSG-------S--GT----E-FTLTISSLQS-EDFAVYYCQQYNN----------------------------WPLTFG-GGTKVEIK-</t>
  </si>
  <si>
    <t>EVQ-LVESGG-GLVQPGGSLRLSCAASGFTF---------SSYAMS-WVRQ-A-P-G-K--G-LE-WVSVISG-------------GSTYY--A--D--SV--K---GRFTISR-D---N-S--KN----T-LYLQMNSLRA-EDTAVYYCARLRSQA-----------------------WFGDIIYWG-QGTLVTVSS</t>
  </si>
  <si>
    <t>DIQ-MTQSPSSLSASVGDRVTITCRASQDV-----------STAVA-WYQQ-K-P-G-K--A-PK-LLIYSA----------------SFL--Y--S--GV--P---SRFSGSG-------S--GT----D-FTLTISSLQP-EDFATYYCQQSYS----------------------------TPPTFG-QGTKVEIK-</t>
  </si>
  <si>
    <t>QVQ-LVESGG-GVVQPGRSLRLSCAASGFTF---------SSYGMH-WVRQ-A-P-G-K--G-LE-WVAVIWDG------------SNKFY--A--D--SV--E---GRFTISR-D---N-S--KN----T-LYLQM---RD-EDTAVYYCARERD---------------------------GSYDVWG-QGTTVTVSS</t>
  </si>
  <si>
    <t>DIQ-MTQSPSSLSASVGDRVTITCRASQSV-----------SSAVA-WYQQ-K-P-G-K--A-PK-LLIYSA----------------SSL--Y--S--GV--P---SRFSGSR-------S--GT----D-FTLTISSLQP-EDFATYYCQQDNY----------------------------LPLTFG-GGTKVEIK-</t>
  </si>
  <si>
    <t>QVQ-LVQSGA-EVKKPGASVKVSCKASGYTF---------TSYAMH-WVRQ-A-P-G-Q--G-LE-WMGWISYN------------GNTNY--A--Q--KF--Q---GRVTMTR-D---T-S--TS----T-VYMEL---RS-EDTAVYYCAAPYSY-------------------------YDFFCVWG-QGTLVTVSS</t>
  </si>
  <si>
    <t>EVQ-LVESGG-GLVQPGGSLRLSCAASGFNF---------SSSSIH-WVRQ-A-P-G-K--G-LE-WVASISSY-----------YGSTYY--A--D--SV--K---GRFTISA-D---T-S--KN----T-AYLQMNSLRA-EDTAVYYCARQGYW-------------------------LWSSDYWG-QGTLVTVSS</t>
  </si>
  <si>
    <t>DIQ-MTQSPSSLSASVGDRVTITCRASQSV-----------SSAVA-WYQQ-K-P-G-K--A-PK-LLIYSA----------------SSL--Y--S--GV--P---SRFSGSR-------S--GT----D-FTLTISSLQP-EDFATYYCQQYSS---------------------------YAPLTFG-GGTKVEIK-</t>
  </si>
  <si>
    <t>QVQ-LQESGP-GLVKPSETLSLTCTVSGGSIS-------SSSYYWS-WIRQ-P-P-G-K--G-LE-WIGSIYYS------------GSTNY--N--P--SL--K---SRVTISV-D---T-S--KN----Q-FSLKLSSVTA-ADTAVYYCARRSY----------------------------YGDYWG-QGTLVTVSS</t>
  </si>
  <si>
    <t>DIQ-MTQSPSSLSASVGDRVTITCRASQDV-----------NTAVA-WYQQ-K-P-G-K--A-PK-LLIYSA----------------SSL--Y--S--GV--P---SRFSGSR-------S--GT----D-FTLTISSLQP-EDFATYYCQQSYV----------------------------YPFTFG-QGTKVEIK-</t>
  </si>
  <si>
    <t>EVQ-LVESGG-GLVQPGGSLRLSCAASGFTF---------SNYAMN-WVRQ-A-P-G-K--G-LE-WVSVIYSG------------GSTYY--A--D--SV--K---GRFTISR-D---N-S--KN----T-LYLQMNSLRA-EDTAVYYCAKAKDG-------------------------GGTLDVWG-QGTTVTVSS</t>
  </si>
  <si>
    <t>EVQ-LVESGG-GLVQPGGSLRLSCAASGFTF---------STYWMS-WVRQ-A-P-G-K--G-LE-WVAYIYSS------------GATYY--A--D--SV--K---GRFTISR-D---N-S--KN----T-LYLQMNSLRA-EDTAVYYCAKDSGKYYY-------------------DSSGYPMDVWG-QGTTVTVSS</t>
  </si>
  <si>
    <t>QVQ-LQESGP-GLVKPSETLSLTCTVSGGSI---------SGNYWS-WIRQ-P-P-G-K--G-LE-WIGEINHS------------GSTNY--N--P--SL--K---SRVTISV-D---T-S--KN----Q-FSLKLSSVTA-ADTAVYYCARVRG---------------------------EGFDYWG-QGTLVTVSS</t>
  </si>
  <si>
    <t>EIV-LTQSPGTLSLSPGERATLSCRASQSV-----------GNNLA-WYQQ-K-P-G-Q--A-PR-LLIYGA----------------SSR--A--T--GI--P---DRFSGSG-------S--GT----D-FTLTISRLEP-EDFAVYYCQQYGS----------------------------SPWTFG-QGTKVEIK-</t>
  </si>
  <si>
    <t>QVQ-LVQSGA-EVKKPGASVKVSCKASGYTF---------TSYGIS-WVRQ-A-P-G-Q--G-LE-WMGWISAY-----------NGNTNY--A--Q--KL--Q---GRVTMTT-D---T-S--TS----T-AYMELRSLRS-DDTAVYYCAREGTTG-----------------------YYYGLDYWG-QGTLVTVSS</t>
  </si>
  <si>
    <t>EIV-LTQSPGTLSLSPGERATLSCRASQSV-----------SSYLA-WYQQ-K-P-G-Q--A-PR-LLIYGA----------------SSR--A--T--GI--P---DRFSGSG-------S--GT----D-FTLTISRLEP-EDFAVYYCQQYGS----------------------------SPLTFG-QGTKVEIK-</t>
  </si>
  <si>
    <t>QVQ-LVESGG-GVVQPGRSLRLSCAASGFTF---------SSYAMH-WVRQ-A-P-G-K--G-LE-WVAVISDG------------SNKYY--A--D--SV--K---GRFTISR-D---N-S--KN----T-LYLQMNSLRA-EDTAVYYCARGHSGSYWV------------------YPYYYGMDVWG-QGTTVTVSS</t>
  </si>
  <si>
    <t>EIV-LTQSPATLSLSPGERATLSCRASQSV-----------SSYLA-WYQQ-K-P-G-Q--A-PR-LLIYGA----------------SSR--A--T--GI--P---DRFSGSG-------S--GT----D-FTLTISRLEP-EDFAVYYCQQYGS----------------------------SPWTFG-QGTKVEIK-</t>
  </si>
  <si>
    <t>EVQ-LVESGG-GLVQPGGSLRLSCAASGFTF---------SSYWMS-WVRQ-A-P-G-K--G-LE-WVAFISYD------------GSTYY--A--D--SV--K---GRFTISR-D---N-S--KN----T-LYLQMNSLRA-EDTAVYYCARDLLRGL---------------------WVPGPFDYWG-QGTLVTVSS</t>
  </si>
  <si>
    <t>-YE-LTQPPS-VSVAPGKTARITCGGNNIG-----------SKSVH-WYQQ-K-P-G-Q--A-PV-LVVYDD----------------SDR--P--S--GI--P---ERFSGSN-------S--GN----T-ATLTISRVEA-GDEADYYCQVWDSS-------------------------SDSIFVFG-TGTKVTVL-</t>
  </si>
  <si>
    <t>EVQ-LVESGG-GLVQPGGSLRLSCAASGFNV---------SYYSIH-WVRQ-A-P-G-K--G-LE-WVAYIYSS------------GYTSY--A--D--SV--K---GRFTISA-D---T-S--KN----T-AYLQMNSLRA-EDTAVYYCARYSSY--------------------------YGMDVWG-QGTTVTVSS</t>
  </si>
  <si>
    <t>DIQ-MTQSPSSLSASVGDRVTITCRASQSV-----------SSAVA-WYQQ-K-P-G-K--A-PK-LLIYSA----------------SSL--Y--S--GV--P---SRFSGSR-------S--GT----D-FTLTISSLQP-EDFATYYCQQYKY----------------------------VPHTFG-QGTKVEIK-</t>
  </si>
  <si>
    <t>QVQ-LVQSGA-EVKKPGSSVKVSCKASGGTF---------SSYGIS-WVRQ-A-P-G-Q--G-LE-WMGGIIPI-----------FGTANY--A--Q--KF--Q---GRVTITA-D---E-S--TS----T-AYMELSSLKS-EDTAVYYCARLGPG-------------------------LGKGDYWG-QGTLVTVSS</t>
  </si>
  <si>
    <t>DIQ-MTQSPSSLSASVGDRVTITCRASQGI-----------STWLA-WYQQ-K-P-G-K--A-PK-LLIYKA----------------SSL--E--S--GV--P---SRFSGSG-------S--GT----E-FTLTISSLQP-DDFATYYCQQYNS----------------------------YSYTFG-QGTKVEIK-</t>
  </si>
  <si>
    <t>QVQ-LQESGP-GLVKPSQTLSLTCTVSGGSIS-------SGGYYWT-WIRQ-P-P-G-K--G-LE-WIGYIYYS------------GSTNY--N--P--SL--K---SRVTISV-D---T-S--KN----Q-FSLKLSSVTA-ADTAVYYCAREGY---------------------------FLLDYWG-QGTLVTVSS</t>
  </si>
  <si>
    <t>DIQ-MTQSPSSLSASVGDRVTITCQASQDI-----------SNYLN-WYQQ-K-P-G-K--A-PK-LLIYDA----------------SNL--E--T--GV--P---SRFSGSG-------S--GT----D-FTFTISSLQP-EDIATYYCQQYDN----------------------------LPFTFG-GGTKVEIK-</t>
  </si>
  <si>
    <t>EVQ-LVESGG-GLVQPGGSLRLSCAASGFTF---------SSYSMN-WVRQ-A-P-G-K--G-LE-WVSVITDG------------SEKYY--A--D--SV--K---GRFTISR-D---N-S--KN----T-LYLQMNSLRA-EDTAVYYCARELWY--------------------------GGMDVWG-QGTTVTVSS</t>
  </si>
  <si>
    <t>DIQ-MTQSPSSLSASVGDRVTITCRASQSV-----------SSAVA-WYQQ-K-P-G-K--A-PK-LLIYSA----------------SSL--Y--S--GV--P---SRFSGSR-------S--GT----D-FTLTISSLQP-EDFATYYCQQYYS---------------------------YYPWTFG-QGTKVEIK-</t>
  </si>
  <si>
    <t>QVQ-LVQSGA-EVKKPGSSVKVSCKASGGTF---------SSYGIS-WVRQ-A-P-G-Q--G-LE-WMGGIIIF------------GTANY--A--Q--KF--Q---GRVTITA-D---E-S--TS----T-AYMELSSLRS-EDTAVYYCARGLW---------------------------FFDQHWG-QGTLVTVSS</t>
  </si>
  <si>
    <t>EIV-LTQSPGTLSLSPGERATLSCRASQSVS----------SSYLA-WYQQ-K-P-G-Q--A-PR-LLIYGA----------------SSR--A--T--GI--P---DRFSGSG-------S--GT----D-FTLTISRLEP-EDFAVYYCQQYGS----------------------------SPPTFG-QGTKVEIK-</t>
  </si>
  <si>
    <t>QVQ-LVQSGA-EVKKPGSSVKVSCKASGGTF---------SSYGIS-WVRQ-A-P-G-Q--G-LE-WMGGIIPI-----------VGTTNY--A--Q--KF--Q---GRVTITA-D---K-S--TS----T-AYMELSSLRS-EDTAVYYCAREGLLG------------------------LWAFDIWG-QGTMVTVSS</t>
  </si>
  <si>
    <t>DIQ-MTQSPSSLSASVGDRVTITCQASQDI-----------SNYLN-WYQQ-K-P-G-K--A-PK-LLIYDA----------------SNL--Q--T--GV--P---SRFSGSG-------S--GT----D-FTLTISSLQP-EDFATYYCQQGVS----------------------------VPRTFG-GGTKVEIK-</t>
  </si>
  <si>
    <t>EVQ-LVESGG-GLVQPGGSLRLSCAASGFNV---------SSYAIH-WVRQ-A-P-G-K--G-LE-WVAYISSS-----------SGSTSY--A--D--SV--K---GRFTISA-D---T-S--KN----T-AYLQMNSLRA-EDTAVYYCARQGYW--------------------------SSGDLWG-QGTLVTVSS</t>
  </si>
  <si>
    <t>QVQ-LVQSGA-EVKKPGSSVKVSCKASGGTF---------SSYAIS-WVRQ-A-P-G-Q--G-LE-WMGGIIPI-----------FGTVNY--A--Q--KF--Q---GRVTITA-D---E-S--TS----T-AYMELSSLRS-EDTAVYYCARQYRT--------------------------GYYDVWG-QGTLVTVSS</t>
  </si>
  <si>
    <t>EIV-LTQSPGTLSLSPGERATLSCRASQVS-----------SSYLA-WYQQ-K-P-G-Q--A-PR-LLIYGA----------------SSR--A--T--GI--P---DRFSGSG-------S--GT----D-FTLTISRLEP-EDFAVYYCQQYGS----------------------------SPLTFG-GGTKVEIK-</t>
  </si>
  <si>
    <t>EVQ-LVESGG-GLVKPGGSLRLSCAASGFTF---------SSYSMN-WVRQ-A-P-G-K--G-LE-WVSSISSS------------SYIYY--A--D--SV--K---GRFTISR-D---N-A--KN----S-LYLQMNSLRA-EDTAVYYCARDVL---------------------------SYGDYWG-QGTLVTVSS</t>
  </si>
  <si>
    <t>QVQ-LQESGP-GLVKPSQTLSLTCTVSGGSIS-------SGSYYWT-WIRQ-P-P-G-K--G-LE-WIGYIYYS------------GSTNY--N--P--SL--K---SRVTISV-D---T-S--KN----Q-FSLKLSSVTA-ADTAVYYCARHNYQY-----------------------SSYYFDYWG-QGTLVTVSS</t>
  </si>
  <si>
    <t>DIQ-MTQSPSSLSASVGDRVTITCRASQGI-----------SSYLA-WYQQ-K-P-G-K--A-PK-LLIYDA----------------SSL--E--S--GV--P---SRFSGSG-------S--GT----D-FTLTISSLQP-EDFATYYCQQSYT----------------------------TPFTFG-QGTKVEIK-</t>
  </si>
  <si>
    <t>EVQ-LVESGG-GLVQPGGSLRLSCAASGFNF---------SSSSIH-WVRQ-A-P-G-K--G-LE-WVASISSS-----------SGSTSY--A--D--SV--K---GRFTISA-D---T-S--KN----T-AYLQMNSLRA-EDTAVYYCARSYYGSS----------------------GYWYFDVWG-QGTLVTVSS</t>
  </si>
  <si>
    <t>QVQ-LQESGP-GLVKPSETLSLTCTVSGGSIS-------SSSYYWG-WIRQ-P-P-G-K--G-LE-WIGSIYYS------------GSTNY--N--P--SL--K---SRVTISV-D---T-S--KN----Q-FSLKLSSVTA-ADTAVYYCARSTGSS------------------------SWYFDVWG-QGTLVTVSS</t>
  </si>
  <si>
    <t>EIV-LTQSPGTLSLSPGERATLSCRASQSV-----------SSYLA-WYQQ-K-P-G-Q--A-PR-LLIYGA----------------SSR--A--T--GI--P---DRFSGSG-------S--GT----D-FTLTISRLEP-EDFAVYYCQQYGS----------------------------SPWTFG-QGTKVEIK-</t>
  </si>
  <si>
    <t>EVQ-LVESGG-GLVQPGGSLRLSCAASGFNV---------SYYSIH-WVRQ-A-P-G-K--G-LE-WVASIYPY-----------YGSTSY--A--D--SV--K---GRFTISA-D---T-S--KN----T-AYLQMNSLRA-EDTAVYYCARGYWY--------------------------YGMDVWG-QGTTVTVSS</t>
  </si>
  <si>
    <t>DIQ-MTQSPSSLSASVGDRVTITCRASQSV-----------SSAVA-WYQQ-K-P-G-K--A-PK-LLIYSA----------------SSL--Y--S--GV--P---SRFSGSR-------S--GT----D-FTLTISSLQP-EDFATYYCQQSYV---------------------------PSIYIFG-QGTKVEIK-</t>
  </si>
  <si>
    <t>QVQ-LQQSGA-ELVKPGASVKLSCKASGYTF---------TSDWIH-WVKQ-R-P-G-H--G-LE-WIGEIIPS-----------YGRANY--N--E--KF--K---GKATLTA-D---K-S--SN----T-AYMQLSSLTS-EDSAVYYCAREGW---------------------------YYFDYWG-QGTTLTVSS</t>
  </si>
  <si>
    <t>QVQ-LQQPGA-ELVKPGASVKMSCKASGYTF---------TSDWIH-WVKQ-R-P-G-Q--G-LE-WIGAIYPG-----------SGNTNY--N--E--KF--K---GKATLTA-D---K-S--SS----T-AYMQLSSLTS-EDSAVYYCARERGD--------------------------GYFAVWG-AGTTVTVSS</t>
  </si>
  <si>
    <t>DIL-LTQSPAILSVSPGERVSFSCRASQSI-----------GTDIH-WYQQ-R-T-N-G--S-PR-LLIKYA----------------SES--I--S--GI--P---SRFSGSG-------S--GT----D-FTLSINSVES-EDIADYYCQQSNR----------------------------WPFTFG-SGTKLEIK-</t>
  </si>
  <si>
    <t>EVQ-LVESGG-GLVQPGGSLRLSCAASGFNL---------YSSSIH-WVRQ-A-P-G-K--G-LE-WVASISSY-----------YGSTSY--A--D--SV--K---GRFTISA-D---T-S--KN----T-AYLQMNSLRA-EDTAVYYCARSGL---------------------------SWYYFWG-QGTLVTVSS</t>
  </si>
  <si>
    <t>DIQ-MTQSPSSLSASVGDRVTITCRASQSV-----------SSAVA-WYQQ-K-P-G-K--A-PK-LLIYSA----------------SSL--Y--S--GV--P---SRFSGSR-------S--GT----D-FTLTISSLQP-EDFATYYCQQSYY----------------------------IPRTFG-QGTKVEIK-</t>
  </si>
  <si>
    <t>EVQ-LVESGG-GLVKPGGSLKLSCAASGFTF---------SSYAMS-WVRQ-T-P-E-K--R-LE-WVATISGG------------GTIYY--A--D--TV--K---GRFTISR-D---N-A--KN----T-LYLQMSSLKS-EDTAMYYCARPEY----------------------------GWDYWG-QGTLVTVSS</t>
  </si>
  <si>
    <t>DIV-MTQSP-SLSASVGDRVTITCRASQSV-----------SSAVA-WYQQ-K-P-G-K--A-PK-LLIYSA----------------SSL--Y--S--GV--P---SRFSGSG-------S--GT----E-FTLTISSLQP-EDFATYYCQQYSS----------------------------YPLTFG-GGTKVEIK-</t>
  </si>
  <si>
    <t>QVQ-LVQSGA-EVKKPGASVKVSCKASGYTF---------TSYHIH-WVRQ-A-P-G-Q--G-LE-WMGWISYN------------GNTNY--A--Q--KF--Q---GRVTMTR-D---T-S--IS----T-AYMEL---RS-EDTAVYYCARSGYD--------------------------YGGDYWG-QGTLVTVSS</t>
  </si>
  <si>
    <t>DIQ-MTQSPSSLSASVGDRVTITCRASQDV-----------NTAVA-WYQQ-K-P-G-K--A-PK-LLIYSAS--------------YRYT--G--S--GV--P---SRFSGSG-------S--GT----D-FTLTISSLQP-EDFATYYCQQSYS----------------------------TPRTFG-QGTKVEIK-</t>
  </si>
  <si>
    <t>EVQ-LVESGG-GLVQPGGSLRLSCAASGFTF---------SDYAMH-WVRQ-A-P-G-K--G-LE-WVAGIYPNS----------GGSTYY--A--D--SV--K---GRFTISR-D---N-S--KN----T-LYLQMNSLRA-EDTAVYYCARDLL----------------------------GYDYWG-QGTLVTVSS</t>
  </si>
  <si>
    <t>EIV-MTQSPATLSLSPGERATLSCRASQSV-----------SSYLA-WYQQ-K-P-G-Q--A-PR-LLIYDA----------------SNR--A--T--GI--P---ARFSGSG-------S--GT----D-FTLTISSLEP-EDFAVYYCQQRSN---------------------------WPPWTFG-QGTKVEIK-</t>
  </si>
  <si>
    <t>QVQ-LQQSGP-ELVRPGASVKISCKASGYTF---------TDYYIN-WVKQ-R-P-G-Q--G-LE-WIGMIHPS-----------GGYTNY--N--Q--KF--K---GKATLTA-D---K-S--SS----T-AYMQLSSLTS-EDSAVYFCARGWQS--------------------------GYFDVWG-QGTAVTVSS</t>
  </si>
  <si>
    <t>DIQ-MTQSPSSLSASVGDRVTITCRASQSV-----------SSAVA-WYQQ-K-P-G-K--A-PK-LLIYSA----------------SSL--Y--S--GV--P---SRFSGSG-------S--GT----D-FTLTISSLQP-EDFATYYCQQYKY----------------------------VPWTFG-QGTKVEIK-</t>
  </si>
  <si>
    <t>EVQ-LVESGG-GLVKPGGSLKLSCAASGFTF---------SSYAMS-WVRQ-T-P-E-K--R-LE-WVATISGG------------GYTYY--P--D--SV--K---GRFTISR-D---N-A--KN----T-LYLQM---KS-EDTAMYYCARSRGS--------------------------GYYDYWG-QGTSVTVSS</t>
  </si>
  <si>
    <t>DIV-MSQSPSSLAVSAGEKVTMSCKSSQSLLNS-----GNQKNYLA-WYQQ-K-P-G-Q--S-PK-LLIYWA----------------STR--E--S--GV--P---DRFTGSG-------S--GT----D-FTLTISSVQA-EDLAVYYCKQSY-----------------------------NLYTFG-GGTKLEIK-</t>
  </si>
  <si>
    <t>QVQ-LQESGP-GLVKPSETLSLTCTVSGGSI----------SSYWS-WVRQ-P-P-G-K--G-LE-WIGEIYHS------------GNTNY--N--P--SL--K---SRVTISV-D---T-S--KN----Q-FSLKLSSVTA-ADTAVYYCARVYSS--------------------------YSGDYWG-RGTLVTVSS</t>
  </si>
  <si>
    <t>DIQ-MTQSPSSLSASVGDRVTITCRASQGI-----------SNYLN-WYQQ-K-P-G-K--A-PK-LLIYAA----------------SSL--Q--S--GV--P---SRFSGSG-------S--GT----D-FTLTISSLQP-EDFATYYCQQANS----------------------------FPFTFG-PGTKVDIK-</t>
  </si>
  <si>
    <t>DIQ-MTQSPSSLSASVGDRVTITCRASQSV-----------SSAVA-WYQQ-K-P-G-K--A-PK-LLIYSA----------------SSL--Y--S--GV--P---SRFSGSR-------S--GT----D-FTLTISSLQP-EDFATYYCQQSYY---------------------------SSLITFG-QGTKVEIK-</t>
  </si>
  <si>
    <t>EVQ-LQQSGA-ELVKPGASVKLSCTASGFNI---------KDTYMY-WVKQ-R-P-E-Q--G-LE-WIGRIDPA-----------NGYTKY--D--P--KF--Q---GKATITA-D---T-S--SN----T-AYLQLSSLTS-EDTAVYYCVRPLYD-------------------------YYAMDYWG-QGTSVTVSS</t>
  </si>
  <si>
    <t>DIV-LTQSPASLAVSLGQRATISCRASESVEY--------HSITMN-WFQQ-K-P-G-Q--P-PK-LLIYAA----------------SNL--D--S--GI--P---ARFSGSG-------S--GT----D-FTLNIHPVEE-EDAATYYCQQNNE----------------------------DPITFG-PGTKVDIK-</t>
  </si>
  <si>
    <t>EVQ-LVQSGA-EVKKPGASVKVSCKASGYTF---------TGYYMH-WVRQ-A-P-G-Q--G-LE-WMGWINPN-----------SGGTNY--A--Q--KF--Q---GRVTMTR-D---T-S--IS----T-AYMELSRLRS-DDTAVYYCARDRPPNYG--------------------SSYYPMDVWG-QGTTVTVSS</t>
  </si>
  <si>
    <t>EIV-LTQSPGTLSLSPGERATLSCRASQSVS----------SSYLA-WYQQ-K-P-G-Q--A-PR-LLIYGA----------------SSR--A--T--GI--P---DRFSGSG-------S--GT----D-FTLTISRLEP-EDFAVYYCQQHD-----------------------------TSLTFG-GGTKVEIK-</t>
  </si>
  <si>
    <t>QVQ-LVQSGA-EVKKPGASVKVSCKASGYTF---------TSYAMH-WVRQ-A-P-G-Q--G-LE-WMGIINSG------------GSTSY--A--Q--KF--Q---GRVTMTT-D---T-S--TS----T-AYMELRSLRS-DDTAVYYCAREGYYG-----------------------SYYYFDYWG-QGTLVTVSS</t>
  </si>
  <si>
    <t>DIQ-MTQSPSSLSASVGDRVTITCQASQDI-----------RSYLN-WYQQ-K-P-G-K--A-PK-LLIYAA----------------STL--Q--S--GV--P---SRFSGSG-------S--GT----D-FTLTISSLQP-EDFATYYCQQFNS----------------------------YPLTFG-QGTKLEIK-</t>
  </si>
  <si>
    <t>EVQ-LVESGG-GLVQPGGSLRLSCAASGFNI---------SSSSIH-WVRQ-A-P-G-K--G-LE-WVASIYSY-----------SGYTSY--A--D--SV--K---GRFTISA-D---T-S--KN----T-AYLQMNSLRA-EDTAVYYCARVSG----------------------------GSDYWG-QGTLVTVSS</t>
  </si>
  <si>
    <t>DIQ-MTQSPSSLSASVGDRVTITCRASQSV-----------SSAVA-WYQQ-K-P-G-K--A-PK-LLIYSA----------------SSL--Y--S--GV--P---SRFSGSR-------S--GT----D-FTLTISSLQP-EDFATYYCQQYSS----------------------------WPLTFG-QGTKVEIK-</t>
  </si>
  <si>
    <t>EVQ-LVESGG-GLVQPGGSLRLSCAASGFTF---------STYAMS-WVRQ-A-P-G-K--G-LE-WVSGISWN-----------SGNTYY--A--D--SV--K---GRFTISR-D---N-S--KN----T-LYLQMNSLRA-EDTAVYYCARGLWGQGFG------------------PWVYGAMDYWG-QGTLVTVSS</t>
  </si>
  <si>
    <t>EVQ-LVESGG-GLVQPGGSLRLSCAASGFNL---------YSSSIH-WVRQ-A-P-G-K--G-LE-WVASIYPY-----------SGYTRY--A--D--SV--K---GRFTISA-D---T-S--KN----T-AYLQMNSLRA-EDTAVYYCARGYRDLWW-------------------DSYYSGLDYWG-QGTLVTVSS</t>
  </si>
  <si>
    <t>QVQ-LVQSGA-EVKKPGASVKVSCKASGYTF---------TSYGIS-WVRQ-A-P-G-Q--G-LE-WMGIIPIF------------GDTSY--A--Q--KF--Q---GRVTMTR-D---T-S--TS----T-VYMELSSLRS-DDTAVYYCARGYYGY-----------------------YRYSYDYWG-QGTLVTVSS</t>
  </si>
  <si>
    <t>EIV-LTQSPGTLSLSPGERATLSCRASQSV-----------SSYLA-WYQQ-K-P-G-Q--A-PR-LLIYGA----------------SSR--A--T--GI--P---DRFSGSG-------S--GT----D-FTLTISRLEP-EDFAVYYCQQYGT----------------------------SPWTFG-QGTKVEIK-</t>
  </si>
  <si>
    <t>EVQ-LVESGG-GLVQPGGSLRLSCAASGFNV---------SYSSIH-WVRQ-A-P-G-K--G-LE-WVASISSY-----------YGYTSY--A--D--SV--K---GRFTISA-D---T-S--KN----T-AYLQMNSLRA-EDTAVYYCARSRQFW------------------------YSGLDYWG-QGTLVTVSS</t>
  </si>
  <si>
    <t>QVQ-LVQSGA-EVKKPGASVKVSCKASGYTF---------TSYAMH-WVRQ-A-P-G-Q--G-LE-WMGWINTY-----------NGNTNY--A--Q--KF--Q---GRVTMTT-D---T-S--TS----T-AYMEL---RS-EDTAVYYCARADYGYG----------------------DLWFLDYWG-QGTLVTVSS</t>
  </si>
  <si>
    <t>EIV-LTQSPGTLSLSPGERATLSCRASQVS-----------SSYLA-WYQQ-K-P-G-Q--A-PR-LLIYGA----------------SSR--A--T--GI--P---DRFSGSG-------S--GT----D-FTLTISRLEP-EDFAVYYCQQYGS----------------------------SPRTFG-QGTKLEIK-</t>
  </si>
  <si>
    <t>EVQ-LVESGG-GLVQPGGSLRLSCAASGFTF---------SNYAMS-WVRQ-A-P-G-K--G-LE-WVSAISGS-----------GGSTYY--A--D--SV--K---GRFTISR-D---N-S--KN----T-LYLQMNSLRA-EDTAVYYCARQTPWSS----------------------GNYGFDYWG-QGTLVTVSS</t>
  </si>
  <si>
    <t>DIV-MTQSPSSLSASVGDRVTITCRASQSI-----------SSYLN-WYQQ-K-P-G-K--A-PK-LLIYAA----------------SSL--Q--S--GV--P---SRFSGSG-------S--GT----D-FTLTISSLQP-EDFATYYCQQSYY----------------------------WPLTFG-GGTKVEIK-</t>
  </si>
  <si>
    <t>EVQ-LQQSGP-ELVKPGASVKISCKTSGYTF---------TEYTMY-WVKQ-R-P-G-Q--G-LE-WIGEIDPS------------DSDTY--T--Q--KF--K---GKATLTV-D---K-S--SS----T-AYMQL---TS-EDSAVYYCARSGG---------------------------YRYDYWG-QGTSVTVSS</t>
  </si>
  <si>
    <t>EVQ-LVESGG-GLVQPGGSLRLSCAASGFNV---------YSSSIH-WVRQ-A-P-G-K--G-LE-WVASISSY-----------YGSTSY--A--D--SV--K---GRFTISA-D---T-S--KN----T-AYLQMNSLRA-EDTAVYYCARQGYW--------------------------YGMDVWG-QGTTVTVSS</t>
  </si>
  <si>
    <t>QVQ-LQQSGA-ELVRPGASVKMSCKASGYTF---------TSYWMH-WVKQ-R-P-G-Q--G-LE-WIGYINPNS----------GGTTNY--N--E--KF--K---GKATFTA-D---T-S--SN----T-AYMQLSSLTS-EDSAVYYCTRGRGN-------------------------YWAMDYWG-QGTSVTVSS</t>
  </si>
  <si>
    <t>DIV-LTQSPASLAVSLGQRATISCRASKSVST-------SGYSYMH-WYQQ-K-P-G-Q--P-PK-LLIYLA----------------SNL--E--S--GV--P---ARFSGSG-------S--RT----D-FTLTIDPVEA-DDAATYYCQQSNE----------------------------DPFTFG-SGTKLEIK-</t>
  </si>
  <si>
    <t>-VQ-LQQSGP-ELVKPGASVKISCKASGYTF---------TDYSIH-WVKQ-R-P-G-H--G-LE-WIGEIIPS-----------YGRANY--N--E--KI--QVV-TKKEIAD-T---ATA--TG----K-AFYDM-ELRS-DDTAVYYCARDYDY-------------------------DYAMDYWG-QGTSVTVSS</t>
  </si>
  <si>
    <t>DIV-MSQSPSSLAVSAGEKVTMSCKSSQSLLNS-----RTRKNYLA-WYQQ-K-P-G-Q--S-PK-LLIYWA----------------SAR--H--T--GV--P---DRFTGSG-------S--GT----D-FTLTISSVQA-EDLAVYYCQQHYS----------------------------TPRTFG-GGTKLEIK-</t>
  </si>
  <si>
    <t>QVQ-LQESGP-GLVKPSQTLSLTCTVSGGSIT--------SDYYWS-WIRQ-S-P-G-K--G-LE-WIGYISD-------------SDTKY--N--P--SL--Q---SRVTL-T-D---T-S--T-------YYMELSSLKS-EDTAVYYCARDGSG--------------------------GYYDVWG-AGTTVTVSS</t>
  </si>
  <si>
    <t>EIV-LTQSPGTLSLSPGETAIISCRTSQY-------------GSLA-WYQQ-K-P-G-Q--A-PR-LLIYGA----------------SSR--A--T--GI--P---DRFSGSG-------S--GT----D-FTLTISRLEP-EDFAVYYCQQYGS----------------------------SPLTFG-GGTKVEIK-</t>
  </si>
  <si>
    <t>EVQ-LVQSGA-EVKKPGSSVKVSCKASGGPF---------RSYFTS-WVRQ-A-P-G-Q--G-LE-WMGRIIPI-----------LGIANY--A--Q--KF--Q---GRVTITA-D---K-S--TS----T-AYMELSSLRS-EDTAVYYCAREGSS--------------------------WVYFGSG-QGTLVTVSS</t>
  </si>
  <si>
    <t>DIQ-MTQSPSSLSASVGDRVTITCRASQSI-----------SSYLN-WYQQ-K-P-G-K--A-PK-LLIYAA----------------SSL--Q--S--GV--P---SRFSGSG-------S--GT----D-FTLTISSLQP-EDFATYYCQQYNN---------------------------YPPYTFG-QGTKLEIK-</t>
  </si>
  <si>
    <t>EVQ-LVESGG-GLVQPGGSLRLSCAASGFTF---------SSYWMS-WVRQ-A-P-G-K--G-LE-WVSGISGS-----------GGTVYY--A--D--SV--K---GRFTISR-D---N-S--KN----T-LYLQMNSLRA-EDTAVYYCARLQGHQYRGLP-------------YSYVYSGWFFDYWG-QGTLVTVSS</t>
  </si>
  <si>
    <t>DIQ-MTQSPSSLSASVGDRVTITCRASQSV-----------SSAVA-WYQQ-K-P-G-K--A-PK-LLIYSA----------------SFL--Y--S--GV--P---SRFSGSR-------S--GT----D-FTLTISSLQP-EDFATYYCQQSSS----------------------------SLITFG-QGTKVEIK-</t>
  </si>
  <si>
    <t>QVQ-LQQSGA-ELVKPGASVKLSCTASGFNI---------KDTYIH-WVKQ-R-P-E-Q--G-LE-WIGRIDPA-----------NGDTKY--D--P--KF--Q---GKATITT-D---T-F--SN----T-AYLQLSSLTS-EDTAVYYCARGGYDG------------------------YYAMDYWG-QGTSVTVSS</t>
  </si>
  <si>
    <t>EVQ-LVESGG-GLVQPGGSLRLSCAASGFNL---------YSSSIH-WVRQ-A-P-G-K--G-LE-WVAYISSS-----------SGSTSY--A--D--SV--K---GRFTISA-D---T-S--KN----T-AYLQMNSLRA-EDTAVYYCARHYDY-------------------------YYGMDVWG-QGTTVTVSS</t>
  </si>
  <si>
    <t>DIQ-MTQSPSSLSASVGDRVTITCRASQSV-----------SSAVA-WYQQ-K-P-G-K--A-PK-LLIYSA----------------SSL--Y--S--GV--P---SRFSGSR-------S--GT----D-FTLTISSLQP-EDFATYYCQQSSS----------------------------SYPTFG-QGTKVEIK-</t>
  </si>
  <si>
    <t>QVQ-LQESGP-GLVKPSETLSLTCTVSGASVS--------SGYYWN-WIRQ-P-P-G-K--G-LE-WIGYISGS------------GSTNY--N--P--SL--K---SRVTISV-D---T-S--KN----Q-FSLKLSSVTA-ADTAVYYCARGVWY--------------------------GSDDYWG-QGTLVTVSS</t>
  </si>
  <si>
    <t>DIQ-MTQSPSSLSASVGDRVTITCRASQSI-----------SSYLN-WYQQ-K-P-G-K--A-PK-LLIYAA----------------SSL--Q--S--GV--P---SRFSGSG-------S--GT----D-FTLTISSLQP-EDFATYYCQQYNS----------------------------YSITFG-QGTKVEIK-</t>
  </si>
  <si>
    <t>EVQ-LVESGG-GLVQPGGSLRLSCAASGFNI----------SSSIH-WVRQ-A-P-G-K--G-LE-WVASISSY-----------YGSTSY--A--D--SV--K---GRFTISA-D---T-S--KN----T-AYLQMNSLRA-EDTAVYYCARSPYGGG---------------------YGYWYFDVWG-AGTTVTVSS</t>
  </si>
  <si>
    <t>EVQ-LVQSGA-EVKKPGASVKVSCKASGYTF---------TDYYIH-WVRQ-A-P-G-Q--G-LE-WMGWVNTE-----------DGSVNY--A--Q--KF--Q---GRVTMTR-D---T-S--IT----T-AYMELSRLRS-DDTAVYYCARGSPGYVS--------------------DSWSGLDYWG-QGTLVTVSS</t>
  </si>
  <si>
    <t>DIQ-MTQSPSSLSASVGDRVTITCRASQSI-----------SSYLN-WYQQ-K-P-G-K--A-PK-LLIYAA----------------SSL--Q--S--GV--P---SRFSGSG-------S--GT----D-FTLTISSLQP-EDFATYYCQQYSS----------------------------YSHTFG-QGTKVEIK-</t>
  </si>
  <si>
    <t>EVQ-LQQSGA-ELVKPGASVKLSCTASGFNI---------KDTYMY-WVKQ-R-P-E-Q--G-LE-WIGRIDPA-----------NGDTKY--D--P--KF--Q---GKATITT-D---T-F--SN----T-AYLQLSSLTS-EDTAVYYCVRPLYD-------------------------YYAMDYWG-QGTSVTVSS</t>
  </si>
  <si>
    <t>DIV-MTQSPSSLAVSAGEKVTMSCKSSQSLFSS-----SNQKNYLA-WYQQ-K-P-G-Q--S-PK-LLIYWA----------------STR--E--S--GV--P---DRFTGSG-------S--GT----D-FTLTISSVQA-EDLAVYYCKQSYN----------------------------LPLTFG-GGTKLEIK-</t>
  </si>
  <si>
    <t>QVQ-LVQSGA-EVKKPGASVKVSCKASGYTF---------TSYHIH-WVRQ-A-P-G-Q--G-LE-WMGWISAY-----------NGNTNY--A--Q--KF--Q---GRVTMTT-D---T-S--TT----T-GYMELRRLRS-DDTAVYYCAREGAWICA-------------------SGSGYYFDVWG-QGTLVTVSS</t>
  </si>
  <si>
    <t>DIQ-MTQSPSSLSASVGDRVTITCRASQSV-----------SSAVA-WYQQ-K-P-G-K--A-PK-LLIYSA----------------SSL--Y--S--GV--P---SRFSGSR-------S--GT----D-FTLTISSLQP-EDFATYYCQQSY-----------------------------NLVTFG-QGTKVEIK-</t>
  </si>
  <si>
    <t>QVQ-LVQSGA-EVKKPGASVKVSCKASGYTF---------TDYYIH-WVRQ-A-P-G-Q--G-LE-WMGWINPN-----------SGGTNY--A--Q--KF--Q---GRVTMTR-D---T-S--IS----T-AYMEL---RS-DDTAVYYCARGVY---------------------------GNEMDWG-QGTLVTVSS</t>
  </si>
  <si>
    <t>DIQ-MTQSPSSLSASVGDRVTITCRASQSV-----------SSAVA-WYQQ-K-P-G-K--A-PK-LLIYSA----------------SSL--Y--S--GV--P---SRFSGSR-------S--GT----D-FTLTISSLQP-EDFATYYCQQSY-----------------------------IYYSFG-QGTKVEIK-</t>
  </si>
  <si>
    <t>EVQ-LVESGG-GLVQPGGSLRLSCAASGFNI---------SSSSIH-WVRQ-A-P-G-K--G-LE-WVASIYSY-----------SGYTSY--A--D--SV--K---GRFTISA-D---T-S--KN----T-AYLQMNSLRA-EDTAVYYCARWGYW-------------------------YYGMDVWG-QGTTVTVSS</t>
  </si>
  <si>
    <t>EVQ-LVQSGA-EVKKPGASVKVSCKASGYTF---------TSYGIS-WVRQ-A-P-G-Q--G-LE-WMGWISYN------------GNTNY--A--Q--KF--Q---GRVTMTR-D---T-S--IS----T-AYMELRSLRS-DDTAVYYCARDGS----------------------------GYDVWG-QGTLVTVSS</t>
  </si>
  <si>
    <t>EIV-LTQSPGTLSLSPGERATLSCRASQVS-----------SSYLA-WYQQ-K-P-G-Q--A-PR-LLIYGA----------------SSR--A--T--GI--P---DRFSGSG-------S--GT----D-FTLTISRLEP-EDFAVYYCQQYGS----------------------------SPWTFG-QGTKVEIK-</t>
  </si>
  <si>
    <t>EVQ-LVESGG-GLVQPGGSLRLSCAASGFTF---------SDYYMN-WVRQ-A-P-G-K--G-LE-WVSTISGS-----------GGSIYY--A--D--SV--K---GRFTISR-D---N-A--KN----S-LYLQMNSLRA-EDTALYYCARLSY----------------------------GSDYWG-QGTLVTVSS</t>
  </si>
  <si>
    <t>EVQ-LQQSGA-ELVRPGASVKLSCTASGFNI---------KDTYMY-WVKQ-R-P-E-Q--G-LE-WIGRIDPA-----------NGYTKY--D--P--KF--Q---GKASITV-D---K-S--IS----T-AYLQLSSLTS-EDTAVYYCAGGFGY--------------------------YGFAYWG-QGTLVTVSA</t>
  </si>
  <si>
    <t>DIV-MTQSPSFLSASVGDRVTITCRASQGI-----------SSYLA-WYQQ-K-P-G-K--A-PK-LLIYAA----------------STL--Q--S--GV--P---SRFSGSG-------S--GT----E-FTLTISSLQP-EDFATYYCQHLDS----------------------------YPFTFG-PGTKVDIK-</t>
  </si>
  <si>
    <t>EVQ-LVQSGA-EVKKPGASVKVSCKASGYTF---------TSYYMH-WVRQ-A-P-G-Q--G-LE-WIGEINPT-----------SGDTNY--A--Q--KF--Q---GRVTMTR-D---T-S--IS----T-AYMEL---RS-DDTAVYYCARGNGYYG---------------------SGYYYFDYWG-QGTLVTVS-</t>
  </si>
  <si>
    <t>DIQ-MTQSPSSLSASVGDRVTITCRASQSV-----------SSSLA-WYQQ-K-P-G-K--A-PK-LLIYSA----------------SSL--Y--S--GV--P---SRFSGSR-------S--GT----D-FTLTISSLQP-EDFATYYCQQYKY----------------------------VPWTFG-QGTKVEIK-</t>
  </si>
  <si>
    <t>EVQ-LQQSGP-ELVKPGASMKISCKASGYSF---------TGYTMN-WVKQ-S-H-G-K--N-LE-WIGLINPY-----------NGGTSY--N--Q--KF--K---GKATLTV-D---K-S--SS----T-AYMELLSLTS-EDSAVYYCARSGGYRY----------------------NSYAMDYWG-QGTSVTVSS</t>
  </si>
  <si>
    <t>QVQ-LVQSGA-EVKKPGASVKVSCKASGYTF---------TGYYMH-WVRQ-A-P-G-Q--G-LE-WMGWINPN-----------SGGTNY--A--Q--KF--Q---GRVTMTR-D---T-S--IS----T-AYMELSRLRS-DDTAVYYCAREGSS-------------------------WYGSDYWG-QGTLVTVSS</t>
  </si>
  <si>
    <t>DIQ-MTQSPSSLSASVGDRVTITCQASQDI-----------SNYLN-WYQQ-K-P-G-K--A-PK-LLIYDA----------------SNL--E--T--GV--P---SRFSGSG-------S--GT----D-FTFTISSLQP-EDIATYYCQQYDN----------------------------LPLTFG-QGTKVEIK-</t>
  </si>
  <si>
    <t>EVQ-LVESGG-GLVQPGGSLRLSCAASGFNV---------SYSSIH-WVRQ-A-P-G-K--G-LE-WVAYIYPY-----------SGYTSY--A--D--SV--K---GRFTISA-D---T-S--KN----T-AYLQMNSLRA-EDTAVYYCARVYGRYYGY-----------------WGFAYYGLDVWG-QGTLVTVSS</t>
  </si>
  <si>
    <t>DIQ-MTQSPSSLSASVGDRVTITCRASQSV-----------SSAVA-WYQQ-K-P-G-K--A-PK-LLIYSA----------------SSL--Y--S--GV--P---SRFSGSR-------S--GT----D-FTLTISSLQP-EDFATYYCQQSYV----------------------------PPSYFG-QGTKVEIK-</t>
  </si>
  <si>
    <t>EVQ-LVESGG-GLVQPGGSLRLSCAASGFNV---------YSSSIH-WVRQ-A-P-G-K--G-LE-WVASIYSG------------GSTYY--A--D--SV--K---GRFTISA-D---T-S--KN----T-AYLQMNSLRA-EDTAVYYCARGYGYR------------------------SGYFDYWG-QGTLVTVSS</t>
  </si>
  <si>
    <t>QVQ-LQQSGP-ELVRPGASVKISCKASGYTF---------TSDWIH-WVKQ-R-P-G-Q--G-LE-WIGRIYPG-----------DGDTNY--N--G--KF--K---GKATLTA-D---K-S--SS----T-AYMQL---TS-EDSAVYYCARSGY---------------------------DYADYWG-QGTSVTVSS</t>
  </si>
  <si>
    <t>DIV-MTQSPDSLAVSLGERATINCKSSQNN-----------KNYLA-WYQQ-K-P-G-Q--P-PK-LLIYWA----------------STR--E--S--GV--P---DRFSGSG-------S--GT----D-FTLTISSLQA-EDVAVYYCQQYYS----------------------------TPRTFG-GGTKVEIK-</t>
  </si>
  <si>
    <t>QVQ-LVQSGA-EVKKPGASVKVSCKASGYTF---------TSYAMH-WVRQ-A-P-G-Q--G-LE-WMGWINPN-----------SGGTNY--A--Q--KF--Q---GRVTMTR-D---T-S--IS----T-AYMELSRLRS-DDTAVYYCARGLGSG-----------------------WYQHYSYWG-QGTLVTVSS</t>
  </si>
  <si>
    <t>EIV-LTQSPGTLSLSPGERATLSCRASQSV-----------SSYLA-WYQQ-K-P-G-Q--A-PR-LLIYGA----------------SSR--A--T--GI--P---DRFSGSG-------S--GT----D-FTLTISRLEP-EDFAVYYCQQYGS----------------------------SPRTFG-QGTKVEIK-</t>
  </si>
  <si>
    <t>EVQ-LVQSGA-EVKKPGSSVKVSCKASGGTF---------SSYSFT-WVRQ-A-P-G-Q--G-LE-WMGRIIPI-----------LGIANY--A--Q--KF--Q---GRVTITA-D---E-S--TS----T-AYMELSSLRS-EDTAVYYCARDLHG-------------------------GVNYDYWG-QGTLVTVSS</t>
  </si>
  <si>
    <t>-SV-LTQPPS-VSGAPGQRVTISCTGSSSNIG--------AGYDVH-WYQQ-L-P-G-T--A-PK-LLIYGN----------------INR--P--S--GV--P---DRFSGSK-------S--GT----S-ASLAITGLQA-EDEADYYCQSYDR----------------------------SLWVFG-GGTKLTVG-</t>
  </si>
  <si>
    <t>QVQ-LVQSGA-EVKKPGASVKVSCKASGYTF---------TSYNIH-WVRQ-A-P-G-Q--G-LE-WMGWINPS-----------DSSNSY--A--Q--KF--Q---GRVTMTR-D---T-S--TS----T-VYMEL---RS-EDTAVYYCARETGYGY---------------------SYGNWFDPWG-QGTLVTVSS</t>
  </si>
  <si>
    <t>DIQ-MTQSPSSLSASVGDRVTITCRASQGI-----------RNDLG-WYQQ-K-P-G-K--A-PK-LLIYAA----------------SSL--Q--S--GV--P---SRFSGSG-------S--GT----D-FTLTISSLQP-EDFATYYCQQDYS----------------------------YPLTFG-QGTKLEIK-</t>
  </si>
  <si>
    <t>-VQ-LQQSGP-ELVKPGASVKISCKASGYAF---------SSYWMH-WVKQ-R-P-G-Q--G-LE-WIGEINPNS----------GGTTNY--N--E--KF--K---GKATFTA-D---T-S--SN----T-AYMQLSSLTS-EDSAVYYCARSAYGY-----------------------VYDGFRPWG-QGTLVTVSA</t>
  </si>
  <si>
    <t>DIV-MSQSPSSLAVSAGEKVTMSCKSSQSLLNS-----RTRKNYLA-WYQQ-K-P-G-Q--S-PK-LLIYWA----------------SAR--H--T--GV--P---DRFTGSG-------S--GT----D-FTLTISSVKA-EDLAVYYCQQYYN----------------------------YPYTFG-PGTKVDFK-</t>
  </si>
  <si>
    <t>QVQ-LVQSGA-EVKKPGSSVKVSCKASGGTF---------SSYAIS-WVRQ-A-P-G-Q--G-LE-WMGRIIPI-----------LGIANY--A--Q--KF--Q---GRVTITA-D---K-S--TS----T-AYMELSSLRS-EDTAVYYCARGFI---------------------------FPNNYWG-QGTLVTVSS</t>
  </si>
  <si>
    <t>EIV-LTQSPGTLSLSPGERATLSCRASQVS-----------SSYLA-WYQQ-K-P-G-Q--A-PR-LLIYGA----------------SSR--A--T--GI--P---DRFSGSG-------S--GT----D-FTLTISRLEP-EDFAVYYCQQYGT----------------------------SPWTFG-QGTKVEIK-</t>
  </si>
  <si>
    <t>QVQ-LQQPGA-ELVKPGASVKLSCKASGYTF---------TSYWMH-WVKQ-R-P-G-H--G-LE-WIGEIIPS-----------YGRANY--N--E--KF--K---GKATLTA-D---K-S--SS----T-AFMQLSSLTS-EDSAVYYCARERGD--------------------------GYFAVWG-AGTTVTVSS</t>
  </si>
  <si>
    <t>DIQ-MTQSPSSLSASVGDRVTITCRASQSV-----------SSAVA-WYQQ-K-P-G-K--A-PK-LLIYSA----------------SSL--Y--S--GV--P---SRFSGSR-------S--GT----D-FTLTISSLQP-EDFATYYCQQSY-----------------------------VPPWFG-QGTKVEIK-</t>
  </si>
  <si>
    <t>EVQ-LVQSGA-EVKKPGASVKVSCKASGYTF---------TGYYMH-WVRQ-A-P-G-Q--G-LE-WVGWINKT-----------GDTN----N--Q--KF--K---DRFTITA-D---T-S--TS----T-AYLSSLNSRS-EDTAVYYCARGGTTGT----------------------TGAWFAYWG-QGTLVTVSS</t>
  </si>
  <si>
    <t>EVQ-LQQSGA-ELVRPGALVKLSCKASGFNI---------KDYYMH-WVKQ-R-P-E-Q--G-LE-WIGRIDPA-----------NGYTKY--D--P--KF--Q---GKASITT-N---T-N--TN----T-VYMELSSLTS-EDTAVYYCARSGG---------------------------SGFAYWG-QGTLVTVSA</t>
  </si>
  <si>
    <t>DIQ-MTQSPSSLSASVGDRVTITCRASQSI-----------STWLH-WYQQ-K-P-G-K--A-PK-LLIYKA----------------SSL--E--S--GV--P---SRFSGSG-------S--GT----D-FTLTISSLQP-EDFATYYCQQYN-----------------------------NYWTFG-QGTKLEIK-</t>
  </si>
  <si>
    <t>QVQ-LQQWGA-GLLKPSETLSLTCGVYGDSV---------SSSFWS-WIRQ-S-P-G-K--G-LE-WIGEINHS------------GSTNY--N--P--SL--K---SRVTISV-D---T-S--KN----Q-FSLKLTSVTA-ADTAVYYCARGLG---------------------------QVFDVWG-QGTTVTVSS</t>
  </si>
  <si>
    <t>DIQ-MTQSPSSLSASVGDRVTITCRASQSI-----------SSYLN-WYQQ-K-P-G-K--A-PK-LLIYAA----------------SSL--Q--S--GV--P---SRFSGSG-------S--GT----D-FTLTISSLQP-EDFATYYCQQSYS----------------------------TPRTFG-QGTKLEIK-</t>
  </si>
  <si>
    <t>EVQ-LVESGG-GLVQPGGSLRLSCAASGFTF---------SSYWMS-WVRQ-A-P-G-K--G-LE-WVAYISSG------------GSTYY--A--D--SV--K---GRFTISA-D---T-S--KN----T-AYLQMNSLRA-EDTAVYYCARHGYYSYS--------------------SGYYGMDYWG-QGTLVTVSS</t>
  </si>
  <si>
    <t>QVQ-LQESGP-GLVKPSETLSLTCTVSGASVS-------RDSYYWG-WIRQ-P-P-G-K--G-LE-WIGSIYYS------------GSTNY--N--P--SL--K---SRVTISV-D---T-S--KN----Q-FSLKL---TA-ADTAVYYCARHNGWV------------------------YGSFDYWG-QGTLVTVSS</t>
  </si>
  <si>
    <t>-SV-LTQPPS-VSGAPGQRVTISCTGSSSNIG--------AGYDVH-WYQQ-L-P-G-T--A-PK-LLIYGN----------------NNR--P--S--GV--P---DRFSGSK-------S--GT----S-ASLAITGLQA-EDEADYYCQSYDSS--------------------------LSGWVFG-GGTKLTVL-</t>
  </si>
  <si>
    <t>QVQ-LQQPGA-ELVKPGASVKLSCKASGYTF---------TSYWMH-WVKQ-R-P-G-Q--G-LE-WIGRIDPS-----------SGNTNY--N--E--KF--K---GKATLTA-D---K-S--SS----T-AYMQLSSLTS-EDSAVYYCARERGD-------------------------GYAMDYWG-QGTSVTVSS</t>
  </si>
  <si>
    <t>DIV-MSQSPSSLAVSAGEKVTMSCKSSQSLLYS-----SNQKNYLA-WYQQ-K-P-G-Q--S-PK-LLIYWA----------------STR--E--S--GV--P---DRFTGSG-------S--GT----D-FTLTISSVKA-EDLAVYYCQQYYS----------------------------YPLTFG-AGTKLELK-</t>
  </si>
  <si>
    <t>QVQ-LVESGG-GVVQPGRSLRLSCAASGFTF---------SNYGMS-WVRQ-A-P-G-K--G-LE-WVAVISYD-----------GSNKYY--A--D--SV--K---GRFTISR-D---N-S--KN----T-LYLQMNSLRA-EDTAVYYCARVYG----------------------------GDDYWG-QGTLVTVSS</t>
  </si>
  <si>
    <t>QIV-LTQSPAIMSASPGEKVTMTCSASSSV------------SYMH-WYQQ-K-P-G-S--S-PK-PWIYRT----------------SNL--A--S--GV--P---ARFSGSG-------S--GT----S-YSLTISSMEA-EDAATYYCQQWSS----------------------------NPPTFG-GGTKVEIK-</t>
  </si>
  <si>
    <t>QVQ-LVQSGA-EVKKPGASVKVSCKASGYTF---------TSYGIS-WVRQ-A-P-G-Q--G-LE-WMGWISAY-----------NGNTNY--A--Q--KL--Q---GRVTMTT-D---T-S--TS----T-AYMELRSLRS-DDTAVYYCAREGAY--------------------------YYYDYWG-QGTLVTVSS</t>
  </si>
  <si>
    <t>DIQ-MTQSPSTLSASVGDRVTITCRASQSI-----------SSWLA-WYQQ-K-P-G-K--A-PK-LLIYKA----------------SSL--E--S--GV--P---SRFSGSG-------S--GT----E-FTLTISSLQP-DDFATYYCQQYN-----------------------------NYWTFG-QGTKVEIK-</t>
  </si>
  <si>
    <t>EVQ-LVESGG-GLVQPGGSLRLSCAASGFTF---------SSYSMN-WVRQ-A-P-G-K--G-LE-WVSVIYSG------------GSTYY--A--D--SV--K---GRFTISR-D---N-S--KN----T-LYLQMNSLRA-EDTAVYYCAKFGP---------------------------GGFDYWG-QGTLVTVSS</t>
  </si>
  <si>
    <t>EVQ-LVESGG-GLVQPGGSLRLSCAASGFNI---------SSSSIH-WVRQ-A-P-G-K--G-LE-WVASIYSY-----------YGSTYY--A--D--SV--K---GRFTISA-D---T-S--KN----T-AYLQMNSLRA-EDTAVYYCARYYSS-------------------------VYGFDYWG-QGTLVTVSS</t>
  </si>
  <si>
    <t>EVQ-LQQSGP-ELVKPGASVKMSCKASGYTF---------TSYYMH-WVKQ-K-P-G-Q--G-LE-WIGQIYPG-----------DGDTNY--N--G--KF--K---GKATLTA-D---K-S--SS----T-AYMQLSSLTS-EDSAVYYCARRPNSG------------------------QYWFAYWG-QGTLVTVSA</t>
  </si>
  <si>
    <t>DIV-MTQTPASVEVSLGERVTITCRASQDV-----------STAVA-WYQQ-K-P-G-Q--A-PK-LLIYSA----------------SFL--K--S--GV--P---SRFSGSG-------S--GT----E-FTLTISSLQP-DDFATYYCQQYNS----------------------------YPLTFG-AGTKLELK-</t>
  </si>
  <si>
    <t>EVQ-LVESGG-GLVQPGGSLRLSCAASGFNV---------YSSSIH-WVRQ-A-P-G-K--G-LE-WVASIYSS-----------SGYTYY--A--D--SV--K---GRFTISA-D---T-S--KN----T-AYLQMNSLRA-EDTAVYYCARWGT----------------------------SLDYWG-QGTLVTVSS</t>
  </si>
  <si>
    <t>EVQ-LVESGG-GLVKPGGSLRLSCAASGFTF---------SSYSMN-WVRQ-A-P-G-K--G-LE-WVSSISSS------------SSYYY--A--D--SV--K---GRFTISR-D---N-S--KN----T-LYLQMNSLRA-EDTAVYYCARERQ---------------------------VYGDYWG-QGTLVTVSS</t>
  </si>
  <si>
    <t>-SV-LTQPPS-VSAAPGQKVTISCSGSSSNI---------GSNYVY-WYQQ-L-P-G-T--A-PK-LLIYD-----------------DQR--P--S--GI--P---ERFSGSK-------S--GT----S-ATLGITGLQT-GDEADYYCGTWDS---------------------------SLSVVFG-GGTKLTVL-</t>
  </si>
  <si>
    <t>EVQ-LVESGG-GLVKPGGSLRLSCAASGFTF---------SSYSMN-WVRQ-A-P-G-K--G-LE-WVSSISSS------------SYIYY--A--D--SV--K---GRFTISR-D---N-A--KN----S-LYLQMNSLRA-EDTAVYYCARDLEWV------------------------SSGLDYWG-QGTLVTVSS</t>
  </si>
  <si>
    <t>DIQ-MTQSPSSLSASVGDRVTITCRASQSV-----------SSAVA-WYQQ-K-P-G-K--A-PK-LLIYSA----------------SSL--Y--S--GV--P---SRFSGSR-------S--GT----D-FTLTISSLQP-EDFATYYCQQYYS---------------------------YSLVTFG-QGTKVEIK-</t>
  </si>
  <si>
    <t>QVQ-LVESGG-GVVQPGRSLRLSCAASGFTF---------SSYAMH-WVRQ-A-P-G-K--G-LE-WVAVISDG------------SNKYY--A--D--SV--K---GRFTISR-D---N-S--KN----T-LYLQMNSLRA-EDTAVYYCAKAGG---------------------------ALDDVWG-QGTTVTVSS</t>
  </si>
  <si>
    <t>-SV-LTQPPS-VSGAPGQRVTISCTGSSSNIG--------AGYDVH-WYQQ-L-P-G-T--A-PK-LLIYGN----------------NNR--P--S--GV--P---DRFSGSK-------S--GT----S-ASLAITGLQA-EDEADYYCQSYDS----------------------------RLWVFG-GGTKLTVG-</t>
  </si>
  <si>
    <t>EVQ-LVESGG-GLVQPGGSLRLSCAASGFNV---------SYSSIH-WVRQ-A-P-G-K--G-LE-WVASIYSS------------GYTSY--A--D--SV--K---GRFTISA-D---T-S--KN----T-AYLQMNSLRA-EDTAVYYCARVYGWSSW--------------------SYYYGLDYWG-QGTLVTVSS</t>
  </si>
  <si>
    <t>EVQ-LVESGG-GLVQPGGSLRLSCAASGFTF---------SSYAMH-WVRQ-A-P-G-K--G-LE-WVAFIRYD-----------GGNKYY--A--D--SV--K---GRFTISR-D---N-S--KN----T-LYLQMNSLRA-EDTAVYYCARDLVV-------------------------GSGFYYWG-QGTLVTVSS</t>
  </si>
  <si>
    <t>DIQ-MTQSPSSLSASVGDRVTITCRASQSV-----------SSAVA-WYQQ-K-P-G-K--A-PK-LLIYSA----------------SSL--Y--S--GV--P---SRFSGSR-------S--GT----D-FTLTISSLQP-EDFATYYCQQSYV---------------------------SPPWTFG-QGTKVEIK-</t>
  </si>
  <si>
    <t>DIQ-MTQSPSSLSASVGDRVTITCRASQDV-----------STAVA-WYQQ-K-P-G-K--A-PK-LLIYSA----------------SFL--Y--S--GV--P---SRFSGSG-------S--GT----D-FTLTISSLQP-EDFATYYCQQSYS----------------------------TPRTFG-QGTKVEIK-</t>
  </si>
  <si>
    <t>DIQ-MTQSPSSLSASVGDRVTITCRASQSI-----------SSYLN-WYQQ-K-P-G-K--A-PK-LLIYAA----------------SSL--Q--S--GV--P---SRFSGSG-------S--GT----D-FTLTISSLQP-EDFATYYCQQSYS----------------------------TPPTFG-PGTKVEIK-</t>
  </si>
  <si>
    <t>QVQ-LVQSGA-EVKKPGSSVKVSCKASGGTF---------SSYAIN-WVRQ-A-P-G-Q--G-LE-WMGGIIPI-----------FGTTHY--A--Q--KF--Q---GRVTITA-D---E-S--TT----T-AYMELSSLRS-DDTAVYYCARDPN---------------------------SGSGYWG-QGTLVTVSS</t>
  </si>
  <si>
    <t>EVQ-LVESGG-GLVKPGGSLRLSCAASGFTF---------SSYAMS-WVRQ-A-P-G-K--G-LE-WVSSISSS-----------SSYIYY--A--D--SV--K---GRFTISR-D---N-A--KN----S-LYLQMNSLRA-EDTAVYYCARVYG---------------------------GVYDYWG-QGTLVTVSS</t>
  </si>
  <si>
    <t>DIQ-MTQSPSSLSASVGDRVTITCRASQSV-----------SSAVA-WYQQ-K-P-G-K--A-PK-LLIYSA----------------SSL--Y--S--GV--P---SRFSGSR-------S--GT----D-FTLTISSLQP-EDFATYYCQQYYN----------------------------YPITFG-QGTKVEIK-</t>
  </si>
  <si>
    <t>QVQ-LQESGP-GLVKPSETLSLTCTVSGGSI---------SGNYWG-WIRQ-P-P-G-K--G-LE-WIGSIYHS------------GSTNY--N--P--SL--K---SRVTISV-D---T-S--KN----Q-FSLKLSSVTA-ADTAVYYCARSLGSRL----------------------RPGSPVYWG-QGTLVTVSS</t>
  </si>
  <si>
    <t>EIV-LTQSPGTLSLSPGERATLSCRASQSVS----------STYLA-WYQQ-K-P-G-Q--A-PR-LLIYGA----------------SSR--A--T--GI--P---DRFSGSG-------S--GT----D-FTLTISRLEP-EDFAVYYCQQYGS----------------------------SPWTFG-QGTKVEIK-</t>
  </si>
  <si>
    <t>EVQ-LVESGG-GLVQPGGSLRLSCAASGFTF---------SSYDMH-WVRQ-A-P-G-K--G-LE-WVSVIYSG------------GSTYY--A--D--SV--K---GRFTISR-D---N-S--KN----T-LYLQMNSLRA-EDTAVYYCAKSGSGGDLW-----------------VSGFYYGMDVWG-QGTTVTVSS</t>
  </si>
  <si>
    <t>QVQ-LVQSGA-EVKKPGASVKVSCKASGYTF---------TSYGMH-WVRQ-A-P-G-Q--G-LE-WMGWINNS------------GGTNY--A--Q--KF--Q---GRVTMTR-D---T-S--IS----T-AYMELSRLRS-DDTAVYYCARDVL---------------------------YGSDYWG-QGTLVTVSS</t>
  </si>
  <si>
    <t>EIV-LTQSPATLSLSPGERATLSCRASQSV-----------SSYLA-WYQQ-K-P-G-Q--A-PR-LLIYDA----------------SNR--A--T--GI--P---ARFSGSG-------S--GT----D-FTLTISSLEP-EDFAVYYCQQHE-----------------------------DPYTFG-GGTKVEIK-</t>
  </si>
  <si>
    <t>-VQ-LQQSGP-ELVKPGASVKISCKASGYAFS--------SYYWMH-WVKQ-R-P-G-Q--G-LE-WIGAIYPG-----------DGDTKY--N--E--KF--K---GKATLTA-D---K-S--SS----T-AYMQLSSLTS-EDSAVYYCARSYYGY------------------------YDGFAYWG-QGTSVTVSS</t>
  </si>
  <si>
    <t>DIV-MTQSPDSLAVSLGERATINCKSSQSVLYS-----SNNKNYLA-WYQQ-K-P-G-Q--P-PK-LLIYWA----------------STR--E--S--GV--P---DRFSGSG-------S--GT----D-FTLTISSLQA-EDVAVYYCQQYYS----------------------------TPYTFG-GGTKLEIK-</t>
  </si>
  <si>
    <t>EVQ-LVESGG-GLVQPGGSLRLSCAASGFNF---------SSSSIH-WVRQ-A-P-G-K--G-LE-WVASIYSS-----------SGYTSY--A--D--SV--K---GRFTISA-D---T-S--KN----T-AYLQMNSLRA-EDTAVYYCARG-------------------------------RWYWG-QGTLVTVSS</t>
  </si>
  <si>
    <t>DIQ-MTQSPSSLSASVGDRVTITCRASQSV-----------SSAVA-WYQQ-K-P-G-K--A-PK-LLIYSA----------------SSL--Y--S--GV--P---SRFSGSR-------S--GT----D-FTLTISSLQP-EDFATYYCQQSYH----------------------------TLWTFG-QGTKVEIK-</t>
  </si>
  <si>
    <t>EVQ-LVESGG-GLVQPGGSLRLSCAASGFNV---------YSSSIH-WVRQ-A-P-G-K--G-LE-WVASISSY-----------YGYTYY--A--D--SV--K---GRFTISA-D---T-S--KN----T-AYLQMNSLRA-EDTAVYYCARSYYG-------------------------SRGFDYWG-QGTLVTVSS</t>
  </si>
  <si>
    <t>DIQ-MTQSPSSLSASVGDRVTITCRASQSV-----------SSAVA-WYQQ-K-P-G-K--A-PK-LLIYSA----------------SSL--Y--S--GV--P---SRFSGSR-------S--GT----D-FTLTISSLQP-EDFATYYCQQSYY----------------------------YPITFG-QGTKVEIK-</t>
  </si>
  <si>
    <t>EVQ-LVESGG-GLVKPGGSLRLSCAASGFTF---------SSYAMS-WVRQ-A-P-G-K--G-LE-WVSSISSS------------SYIYY--A--D--SV--K---GRFTISR-D---N-A--KN----S-LYLQMNSLRA-EDTAVYYCARGGS----------------------------GFYYWG-QGTLVTVSS</t>
  </si>
  <si>
    <t>-SV-LTQPPS-VSGAPGQRVTISCTGSSSNIG--------AGYDVH-WYQQ-L-P-G-T--A-PK-LLIYGN----------------NNR--P--S--GV--P---DRFSGSK-------S--GT----S-ASLAITGLQA-EDEADYYCQSYDS---------------------------SLSGVFG-TGTKVTVL-</t>
  </si>
  <si>
    <t>EVQ-LVESGG-GLVQPGGSLRLSCAASGFNV---------SYSSIH-WVRQ-A-P-G-K--G-LE-WVASISSY-----------YGYTYY--A--D--SV--K---GRFTISA-D---T-S--KN----T-AYLQMNSLRA-EDTAVYYCARQYGYW------------------------YYGMDYWG-QGTLVTVSS</t>
  </si>
  <si>
    <t>EVQ-LVESGG-GLVQPGGSLRLSCAASGFNV---------SYSSIH-WVRQ-A-P-G-K--G-LE-WVASISSY-----------YGYTYY--A--D--SV--K---GRFTISA-D---T-S--KN----T-AYLQMNSLRA-EDTAVYYCARGGSG--------------------------WYFDYWG-QGTLVTVSS</t>
  </si>
  <si>
    <t>QVQ-LQQSGP-ELVRPGASVKMSCKASGYTF---------TSYWMH-WVKQ-R-P-G-Q--G-LE-WIGAIYPG-----------DGDTKY--N--G--KF--K---GKATLTA-D---K-S--SS----T-AYMQL---TS-EDSAVYFCARGYR---------------------------DYFDYWG-QGTTLTVSS</t>
  </si>
  <si>
    <t>DIV-MTQSQKFMSTSVGDRVSITCKASQDV-----------STAVA-WYQQ-K-P-G-Q--S-PK-LLIYSA----------------SYR--Y--T--GV--P---DRFTGSG-------S--GT----D-FTFTISSVQA-EDLAVYYCQQYF-----------------------------RYRTFG-GGTKLEIK-</t>
  </si>
  <si>
    <t>EVQ-LVESGG-GLVQPGGSLRLSCAASGFNV---------SYSSIH-WVRQ-A-P-G-K--G-LE-WVASISSY-----------YGYTYY--A--D--SV--K---GRFTISA-D---T-S--KN----T-AYLQMNSLRA-EDTAVYYCARYYYGSLD-------------------WYGNYPMDYWG-QGTLVTVSS</t>
  </si>
  <si>
    <t>QVQ-LQESGP-GLVKPSETLSLTCTVSGGSV---------SSGGYY-WIRQ-P-P-G-K--G-LE-WIGIIYYS------------GSTYY--N--P--SL--K---SRVTISV-D---T-S--KN----Q-FSLKLSSVTA-ADTAVYYCARGRYY-------------------------GSSGAYWG-QGTLVTVSS</t>
  </si>
  <si>
    <t>EIV-LTQSPGTLSLSPGERATLSCRASQSV-----------SSYLA-WYQQ-K-P-G-Q--A-PR-LLIYGA----------------SSR--A--T--GI--P---DRFSGSG-------S--GT----D-FTLTISRLEP-EDFAVYYCQQYGS----------------------------SPLTFG-GGTKVEIK-</t>
  </si>
  <si>
    <t>EVQ-LVESGG-GLVQPGGSLRLSCAASGFNF---------SSSSIH-WVRQ-A-P-G-K--G-LE-WVASISSY-----------YGYTSY--A--D--SV--K---GRFTISA-D---T-S--KN----T-AYLQMNSLRA-EDTAVYYCARQGL---------------------------WYFDYWG-QGTLVTVSS</t>
  </si>
  <si>
    <t>EVQ-LQQSGP-ELVKPGASMKISCKASGYSF---------TGYTMN-WVKQ-S-H-G-K--N-LE-WIGLINPY-----------NGGTSY--N--Q--KF--K---GKATLTV-D---K-S--SS----T-AYMELLSLTS-EDSAVYYCTRSP-----------------------------GYDYWG-QGTTLTVSS</t>
  </si>
  <si>
    <t>DIV-LTQSPASLAVSLGQRATISCRASESVDN-------YGISFMN-WFQQ-K-P-G-Q--P-PK-LLIYAA----------------SNQ--G--S--GV--P---ARFSGSG-------S--GT----D-FSLNIHPVEE-DDTAMYFCQQSKE----------------------------VPYTFG-GGTKLEIK-</t>
  </si>
  <si>
    <t>EVQ-LVESGG-GLVKPGGSLRLSCAASGFTF---------SDYYMS-WIRQ-A-P-G-K--G-LE-WVSYISSS-----------GSTIYY--A--D--SV--K---GRFTISR-D---N-S--KN----T-LYLQM---RA-EDTAVYYCARGGY----------------------------YFAYWG-QGTLVTVSS</t>
  </si>
  <si>
    <t>DIQ-MTQSPSSLSASVGDRVTITCQASQDI-----------SNYLN-WYQQ-K-P-G-K--A-PK-LLIYDA----------------SNL--E--T--GV--P---SRFSGSG-------S--GT----D-FTFTISSLQP-EDIATYYCQQYDN----------------------------LPYTFG-QGTKLEIK-</t>
  </si>
  <si>
    <t>EVQ-LVQSGA-EVKKPGASVKVSCKASGYTF---------TSYAIH-WVRQ-A-P-G-Q--G-LE-WIGWIDPE-----------SNGTNY--N--E--KF--K---SRATLTV-D---T-S--TS----T-AYLELNSLTS-EDTAVYYCARGYYSY-----------------------EGSWFAYWG-QGTLVTVSA</t>
  </si>
  <si>
    <t>DIQ-MTQSPSSLSASVGDRVTITCRASQSV-----------SSAVA-WYQQ-K-P-G-K--A-PK-LLIYSA----------------SSL--Y--S--GV--P---SRFSGSR-------S--GT----D-FTLTISSLQP-EDFATYYCQQYYS----------------------------YPLTFG-GGTKVEIK-</t>
  </si>
  <si>
    <t>QVQ-LQESGP-GLVKPSETLSLTCTVSGGSF---------SSYYWS-WIRQ-P-P-G-K--G-LE-WIGSIYYS------------GSTNY--N--P--SL--K---SRVTISV-D---T-S--KN----Q-FSLKLSSVTA-ADTAVYYCARHSGY-------------------------SGSWDYWG-QGTLVTVSS</t>
  </si>
  <si>
    <t>EIV-LTQSPGTLSLSPGERATLSCRASQSIS----------SSYLA-WYQQ-K-P-G-Q--A-PR-LLIYGA----------------SSR--A--T--GI--P---DRFSGSG-------S--GT----D-FTLTISRLEP-EDFAVYYCQQYGS----------------------------SPLTFG-GGTKVEIK-</t>
  </si>
  <si>
    <t>EVQ-LVESGG-GLVQPGGSLRLSCAASGFNI---------SSSSIH-WVRQ-A-P-G-K--G-LE-WVASIYSY-----------YGSTYY--A--D--SV--K---GRFTISA-D---T-S--KN----T-AYLQMNSLRA-EDTAVYYCARGSPV--------------------------SSYDVWG-QGTTVTVSS</t>
  </si>
  <si>
    <t>EVQ-LVESGG-GLVQPGGSLRLSCAASGFNF---------SSSSIH-WVRQ-A-P-G-K--G-LE-WVASIYSS-----------SGYTSY--A--D--SV--K---GRFTISA-D---T-S--KN----T-AYLQMNSLRA-EDTAVYYCARQGYWS-----------------------SSYYDGYWG-QGTLVTVSS</t>
  </si>
  <si>
    <t>EVQ-LVESGG-GLVQPGGSLRLSCAASGFNF---------SSSSIH-WVRQ-A-P-G-K--G-LE-WVASIYSY-----------YGSTYY--A--D--SV--K---GRFTISA-D---T-S--KN----T-AYLQMNSLRA-EDTAVYYCAREYDY-------------------------FYGMDVWG-QGTTVTVSS</t>
  </si>
  <si>
    <t>DIQ-MTQSPSSLSASVGDRVTITCRASQSV-----------SSAVA-WYQQ-K-P-G-K--A-PK-LLIYSA----------------SSL--Y--S--GV--P---SRFSGSR-------S--GT----D-FTLTISSLQP-EDFATYYCQQYYV---------------------------YYSVTFG-QGTKVEIK-</t>
  </si>
  <si>
    <t>QVQ-LQESGP-GLVKPSETLSLTCTVSGGSIS--------SGGYWS-WIRQ-P-P-G-K--G-LE-WIGSIYYS------------GNTYY--N--P--SL--K---SRVTISV-D---T-S--KN----Q-FSLKLSSVTA-ADTAVYYCARASRGD------------------------DTAMDYWG-QGTLVTVSS</t>
  </si>
  <si>
    <t>QVQ-LQESGP-GLVKPSETLSLTCTVSGDSVS--------SGGYWN-WIRQ-P-P-G-K--G-LE-WIGSIYYS------------GSTYY--N--P--SL--K---SRVTISV-D---T-S--KN----Q-FSLKLSSVTA-ADTAVYYCARGPQD-------------------------YYYFDVWG-KGTTVTVSS</t>
  </si>
  <si>
    <t>EVQ-LVESGG-GLVQPGGSLRLSCAASGFNV---------YSSSIH-WVRQ-A-P-G-K--G-LE-WVASIYSS-----------SGYTSY--A--D--SV--K---GRFTISA-D---T-S--KN----T-AYLQMNSLRA-EDTAVYYCARVGGW--------------------------YFESGWG-QGTLVTVSS</t>
  </si>
  <si>
    <t>EVQ-LVESGG-GLVQPGGSLRLSCAASGFNV---------SYSSIH-WVRQ-A-P-G-K--G-LE-WVASISSY-----------YGYTYY--A--D--SV--K---GRFTISA-D---T-S--KN----T-AYLQMNSLRA-EDTAVYYCARYRY---------------------------YGMDVWG-QGTTVTVSS</t>
  </si>
  <si>
    <t>DIQ-MTQSPSSLSASVGDRVTITCRASQSV-----------SSAVA-WYQQ-K-P-G-K--A-PK-LLIYSA----------------SSL--Y--S--GV--P---SRFSGSR-------S--GT----D-FTLTISSLQP-EDFATYYCQQSYV---------------------------YSLVTFG-QGTKVEIK-</t>
  </si>
  <si>
    <t>EVQ-LVESGG-GLVQPGGSLRLSCAASGFTF---------SSYAMS-WVRQ-A-P-G-K--G-LE-WVSAISSG-----------GGSTYY--A--D--SV--K---GRFTISR-D---N-S--KN----T-LYLQMNSLRA-EDTAVYYCARWGYW-------------------------GSYYDYWG-QGTLVTVSS</t>
  </si>
  <si>
    <t>DIQ-MTQSPSSLSASVGDRVTITCRASQDV-----------NTAVA-WYQQ-K-P-G-K--A-PK-LLIYSA----------------SSL--Y--S--GV--P---SRFSGSR-------S--GT----D-FTLTISSLQP-EDFATYYCQQSYV----------------------------PPPTFG-QGTKVEIK-</t>
  </si>
  <si>
    <t>EVQ-LQQSGP-ELVKPGASVKISCKASGYSF---------TGYSMN-WVKQ-S-H-G-K--N-LE-WIGLINPY-----------NGDTTY--N--Q--KF--K---GKATLTV-D---K-S--SS----T-AYMELRSLTS-EDSAVYYCATGYYGS------------------------RWYFDVWG-AGTTVTVSS</t>
  </si>
  <si>
    <t>DIV-LTQSPASLAVSLGQRATISCRASESVDS-------FGNSFMH-WYQQ-K-P-G-Q--P-PK-LLIYLA----------------SNL--E--S--GV--P---ARFSGSG-------S--RT----D-FTLTIDPVEA-DDAATYYCQQSNE----------------------------DPYTFG-SGTKLEIK-</t>
  </si>
  <si>
    <t>QVQ-LQESGP-GLVKPSQTLSLTCTVSGGSI---------SSGDYY-WIRQ-S-P-G-K--G-LE-WIGYISDG------------GSTNY--N--P--SL--K---SRVTISV-D---T-S--KN----Q-FSLKLSSVTA-ADTAVYYCAREGQS-------------------------SWYFDVWG-QGTTVTVSS</t>
  </si>
  <si>
    <t>EVQ-LQQSGP-ELVKPGASVKISCKASGYTF---------TDYYMH-WVKQ-R-P-G-Q--G-LE-WIGEINPAN----------GGTANY--N--E--KF--K---GKATLTA-D---K-S--SS----T-AYMQLSSLTS-EDSAVYYCARERGDYR---------------------YDYYAMDYWG-QGTSVTVSS</t>
  </si>
  <si>
    <t>DIV-MSQSPSSLAVSAGEKVTMSCKSSQSLLNS-----RTRKNYLA-WYQQ-K-P-G-Q--S-PK-LLIYWA----------------STR--E--S--GV--P---DRFTGSG-------S--GT----D-FTLTISSVKA-EDLAVYYCQQYYS----------------------------YPLTFG-AGTKLELK-</t>
  </si>
  <si>
    <t>QVQ-LVQSGA-EVKKPGSSVKVSCKASGGTF---------SSYAIS-WVRQ-A-P-G-Q--G-LE-WMGRIIPI-----------LGIANY--A--Q--KF--Q---GRVTITA-D---K-S--TS----T-AYMELSSLRS-EDTAVYYCAREGGRGRR--------------------FGYYGMDVWG-QGTTVTVSS</t>
  </si>
  <si>
    <t>DIQ-MTQSPSTLSASVGDRVTITCRASQSI-----------SSWLA-WYQQ-K-P-G-K--A-PK-LLIYKA----------------SSL--E--S--GV--P---SRFSGSG-------S--GT----E-FTLTISSLQP-DDFATYYCQQYNS----------------------------YPLTFG-QGTKVEIK-</t>
  </si>
  <si>
    <t>EVQ-LQQSGA-ELVRPGALVKLSCKASGFNI---------KDYYMH-WVKQ-R-P-E-Q--G-LE-WIGRIDPA-----------NGYTKY--D--P--KF--Q---GKATITT-D---T-S--SN----T-AYLQLSSLTS-EDTAVYYCARSG-----------------------------YFDYWG-QGTLVTVSS</t>
  </si>
  <si>
    <t>DIV-LTQSPASLAVSLGQRATISCRASESVDS-------YGNSFMH-WYQQ-K-P-G-Q--P-PK-LLIYLA----------------SNL--E--S--GV--P---ARFSGSG-------S--RT----D-FTLTINPVEA-DDVATYYCQQNNE----------------------------DPYTFG-GGTKLEIK-</t>
  </si>
  <si>
    <t>EVQ-LVESGG-GLVQPGGSLRLSCAASGFNV---------YSSSIH-WVRQ-A-P-G-K--G-LE-WVASIYSS------------GYTYY--A--D--SV--K---GRFTISA-D---T-S--KN----T-AYLQMNSLRA-EDTAVYYCARGPW----------------------------YFDYWG-QGTLVTVSS</t>
  </si>
  <si>
    <t>EVQ-LVESGG-GLVQPGGSLRLSCAASGFTF---------STYAMH-WVRQ-A-P-G-K--G-LE-WVSSISSS------------SYIYY--A--D--SV--K---GRFTISR-D---N-A--KN----S-LYLQMNSLRA-EDTAVYYCARQSGYFSGY------------------SGVYGAMDYWG-QGTLVTVSS</t>
  </si>
  <si>
    <t>-SV-LTQPPS-VSGAPGQTVTISCTGGSGA-----------GYDVH-WYQQ-L-P-G-T--A-PK-LLIYGN----------------NNR--P--S--GV--P---DRFSGSK-------S--GT----S-ASLAITGLQA-EDEADYYCQSYDSS--------------------------LSGWVFG-GGTKLTVL-</t>
  </si>
  <si>
    <t>EVQ-LVESGG-GLVQPGGSLRLSCAASGFTF---------SRYAMN-WVRQ-A-P-G-K--G-LE-WVSAIYD-------------GGRFY--A--D--SV--K---GRFTISR-D---N-S--KN----T-LYLQMNSLRA-EDTAVYYCARGGSS--------------------------YSGSYWG-QGTLVTVSS</t>
  </si>
  <si>
    <t>EVQ-LVQSGA-EVKKPGASVKVSCKASGYTF---------TSYAMH-WVRQ-A-P-G-Q--R-LE-WMGWINNG-----------NGNTKY--S--Q--KF--Q---GRVTITR-D---T-S--AS----T-AYMELRSLRS-DDTAVYYCARGGTS--------------------------YYFISWG-QGTLVTVSS</t>
  </si>
  <si>
    <t>DIQ-MTQSPSSLSASVGDRVTITCRASQSV-----------SSAVA-WYQQ-K-P-G-K--A-PK-LLIYSA----------------SSL--Y--S--GV--P---SRFSGSR-------S--GT----D-FTLTISSLQP-EDFATYYCQQYYK---------------------------YPPWTFG-QGTKVEIK-</t>
  </si>
  <si>
    <t>EVQ-LVESGG-GLVQPGGSLRLSCAASGFTF---------SSYAMH-WVRQ-A-P-G-K--G-LE-WVSGISWN-----------SGTIGY--A--D--SV--K---GRFTISR-D---N-A--KN----S-LYLQMNSLRA-EDTALYYCARDV-----------------------------YFDYWG-QGTLVTVSS</t>
  </si>
  <si>
    <t>EVQ-LVESGG-GLVQPGGSLRLSCAASGFNI---------SSSSIH-WVRQ-A-P-G-K--G-LE-WVAYIYSS-----------SGYTSY--A--D--SV--K---GRFTISA-D---T-S--KN----T-AYLQMNSLRA-EDTAVYYCARPSYGY-----------------------FWSYFDYWG-QGTLVTVSS</t>
  </si>
  <si>
    <t>DIV-MTQSPSSLAVSVGEKVTMSCKSSQSLLYS-----SNQKNFLA-WYQQ-K-P-G-Q--S-PK-LLIYWA----------------STR--E--S--GV--P---DRFTGSG-------S--GT----D-FTLTISSVQA-EDLAVYYCQQYYS----------------------------YPLTFG-AGTKLELK-</t>
  </si>
  <si>
    <t>EVQ-LVESGG-GLVQPGGSLRLSCAASGFNV---------SYYSIH-WVRQ-A-P-G-K--G-LE-WVASISSY-----------YYSTSY--A--D--SV--K---GRFTISA-D---T-S--KN----T-AYLQMNSLRA-EDTAVYYCARGRWY--------------------------FGESHWG-QGTLVTVSS</t>
  </si>
  <si>
    <t>DIQ-MTQSPSSLSASVGDRVTITCRASQSV-----------SSAVA-WYQQ-K-P-G-K--A-PK-LLIYSA----------------SSL--Y--S--GV--P---SRFSGSR-------S--GT----D-FTLTISSLQP-EDFATYYCQQYYG----------------------------YPWTFG-QGTKVEIK-</t>
  </si>
  <si>
    <t>EVQ-LVESGG-GLVQPGGSLRLSCAASGFNF---------SSSSIH-WVRQ-A-P-G-K--G-LE-WVASISSS-----------SGSTSY--A--D--SV--K---GRFTISA-D---T-S--KN----T-AYLQMNSLRA-EDTAVYYCARYSSY--------------------------YGMDVWG-QGTTVTVSS</t>
  </si>
  <si>
    <t>QVQ-LVQSGA-EVKKPGSSVKVSCKASGGTF---------SSYTIS-WVRQ-A-P-G-Q--G-LE-WMGGIIPI-----------FGTANY--A--Q--KF--Q---GRVTITA-D---K-S--TS----T-AYMELSSLRS-EDTAVYYCAREGSG--------------------------GSGSYWG-QGTLVTVSS</t>
  </si>
  <si>
    <t>DIQ-MTQSPSSLSASVGDRVTITCRASQSI-----------SSYLN-WYQQ-K-P-G-K--A-PK-LLIYAA----------------SSL--Q--S--GV--P---SRFSGSG-------S--GT----D-FTLTISSLQP-EDFATYYCQQYSS---------------------------YSLITFG-QGTKVEIK-</t>
  </si>
  <si>
    <t>QVQ-LVQSGA-EVKKPGASVKVSCKASGYTF---------TSSYIH-WVRQ-A-P-G-Q--G-LE-WMGWINNS------------GGTNY--A--Q--KF--Q---GRVTMTR-D---T-S--TS----T-VYMEL---RS-EDTAVYYCARDLQ---------------------------VVGDVWG-QGTTVTVSS</t>
  </si>
  <si>
    <t>EIV-LTQSPGTLSLSPGERATLSCRASQVS-----------SSYLA-WYQQ-K-P-G-Q--A-PR-LLIYGA----------------SSR--A--T--GI--P---DRFSGSG-------S--GT----D-FTLTISRLEP-EDFAVYYCQQYGS----------------------------SPPTFG-QGTKVEIK-</t>
  </si>
  <si>
    <t>QVQ-LVQSGA-EVKKPGSSVKVSCKASGGTF---------SSYAIS-WVRQ-A-P-G-Q--G-LE-WMGGIIPI-----------VGTANY--A--Q--KF--Q---GRVTITA-D---K-S--TS----T-AYMELSSLRS-EDTAVYYCARGYSPYY---------------------PYEGWFDIWG-QGTMVTVSS</t>
  </si>
  <si>
    <t>EIV-LTQSPGTLSLSPGERATLSCRASQSVS----------SSYLA-WYQQ-K-P-G-Q--A-PR-LLIYGA----------------SSR--A--T--GI--P---DRFSGSG-------S--GT----D-FTLTISRLEP-EDFAVYYCQQYGS----------------------------SPLTFG-GGTKVEIK-</t>
  </si>
  <si>
    <t>DIQ-MTQSPSSLSASVGDRVTITCRASQDV-----------NTAVA-WYQQ-K-P-G-K--A-PK-LLIYSA----------------SFL--Y--S--GV--P---SRFSGSG-------S--GT----D-FTLTISSLQP-EDFATYYCQQSYS----------------------------TLWTFG-QGTKVEIK-</t>
  </si>
  <si>
    <t>QVQ-LVQSGA-EVKKPGSSVKVSCKASGGTF---------SSYFTS-WVRQ-A-P-G-Q--G-LE-WMGGIIPT-----------FGTANY--A--Q--KF--Q---GRVTITA-D---E-S--TS----T-AYMEL---RS-EDTAVYYCAREGSS--------------------------GTFDYWG-QGTLVTVSS</t>
  </si>
  <si>
    <t>DIQ-MTQSPSTLSASVGDRVTITCRASQSV-----------SSAVA-WYQQ-K-P-G-K--A-PK-LLIYSA----------------SSL--Y--S--GV--P---SRFSGSR-------S--GT----D-FTLTISSLQP-EDFATYYCQQYYS---------------------------YSLITFG-QGTKVEIK-</t>
  </si>
  <si>
    <t>EVQ-LVESGG-GLVQPGGSLRLSCAASGFTF---------SSYAMS-WVRQ-A-P-G-K--G-LE-WVAYISSS-----------SGSTSY--A--D--SV--K---GRFTISA-D---T-S--KN----T-AYLQMNSLRA-EDTAVYYCAREG------------------------------WSGWG-QGTLVTVSS</t>
  </si>
  <si>
    <t>EVQ-LQQSGP-ELVKPGASVKMSCKASGYTF---------TDYYMH-WVKQ-S-H-G-K--S-LE-WIGEINPN-----------SGGTTY--N--Q--KF--K---GKATLTV-D---K-S--SS----T-AYMELRSLTS-EDSAVYYCAREI-----------------------------YGDYWG-QGTSVTVSS</t>
  </si>
  <si>
    <t>DVL-MTQTPLSLPVSLGDQASISCRSSQSIVHS------NGNTYLE-WYLQ-K-P-G-Q--S-PK-LLIYKV----------------SNR--F--S--GV--P---DRFSGSG-------S--GT----D-FTLKISRVEA-EDLGVYYCFQGSH----------------------------VPYTFG-GGTKLEIK-</t>
  </si>
  <si>
    <t>EVQ-LVESGG-GLVQPGGSLRLSCAASGFNL---------YSSSIH-WVRQ-A-P-G-K--G-LE-WVASIYYS-----------SYYTSY--A--D--SV--K---GRFTISA-D---T-S--KN----T-AYLQMNSLRA-EDTAVYYCARQSYG-------------------------YWYFDYWG-QGTLVTVSS</t>
  </si>
  <si>
    <t>DIQ-MTQSPSSLSASVGDRVTITCRASQSV-----------SSAVA-WYQQ-K-P-G-K--A-PK-LLIYSA----------------SSL--Y--S--GV--P---SRFSGSR-------S--GT----D-FTLTISSLQP-EDFATYYCQQDTH----------------------------WPITFG-QGTKVEIK-</t>
  </si>
  <si>
    <t>EVQ-LVESGG-GLVQPGGSLRLSCAASGFTF---------SSYAMH-WVRQ-A-P-G-K--G-LE-WVAVIYDG-----------SSSTYY--A--D--SV--K---GRFTISR-D---N-S--KN----T-LYLQMNSLRA-EDTAVYYCARDLG---------------------------GSGDYWG-QGTLVTVSS</t>
  </si>
  <si>
    <t>DIQ-MTQSPSSLSASVGDRVTITCRASQSV-----------SSAVA-WYQQ-K-P-G-K--A-PK-LLIYSA----------------SSL--Y--S--GV--P---SRFSGSR-------S--GT----D-FTLTISSLQP-EDFATYYCQQGDS----------------------------WLFTFG-QGTKVEIK-</t>
  </si>
  <si>
    <t>EVQ-LVESGG-GLVQPGGSLRLSCAASGFNI----------SSYIH-WVRQ-A-P-G-K--G-LE-WVASISPY------------GYTSY--A--D--SV--K---GRFTISA-D---T-S--KN----T-AYLQMNSLRA-EDTAVYYCARGTGGK------------------------YYYFNYWG-QGTLVTVSS</t>
  </si>
  <si>
    <t>EVQ-LVESGG-GLVQPGGSLRLSCAASGFTF---------SSYAMS-WVRQ-A-P-G-K--G-LE-WVSAISGS-----------GGSTYY--A--D--SV--K---GRFTISR-D---N-S--KN----T-LYLQMNSLRA-EDTAVYYCARGLQS--------------------------SPLDYWG-QGTLVTVSS</t>
  </si>
  <si>
    <t>DIQ-MTQSPSSLSASVGDRVTITCRASQSV-----------SSAVA-WYQQ-K-P-G-K--A-PK-LLIYSA----------------SSL--Y--S--GV--P---SRFSGSR-------S--GT----D-FTLTISSLQP-EDFATYYCQQHSS----------------------------WPLTFG-QGTKVEIK-</t>
  </si>
  <si>
    <t>EVQ-LVESGG-GLVKPGGSLKLSCAASGFTF---------SSYAMS-WVRQ-T-P-E-K--R-LE-WVATISSG-----------GSYTYY--P--D--SV--K---GRFTISR-D---N-A--KN----T-LYLQMSSLKS-EDTAMYYCARSAA----------------------------YYDYWG-QGTTVTVSS</t>
  </si>
  <si>
    <t>DIV-MTQSPSSLAVSVGEKVTMSCKSSQSLLYS-----SNQKNYLA-WYQQ-K-P-G-Q--S-PK-LLIYWA----------------STR--E--S--GV--P---DRFTGSG-------S--GT----D-FTLTISSVQA-EDLAVYYCKQSY-----------------------------NLYTFG-GGTKLEIK-</t>
  </si>
  <si>
    <t>EVQ-LVESGG-GLVQPGGSLRLSCAASGFTF---------SSYAMS-WVRQ-A-P-G-K--G-LE-WVSAISGS-----------GGSTYY--A--D--SV--K---GRFTISR-D---N-S--KN----T-LYLQMNSLRA-EDTAVYYCARQGDV-------------------------PPYFDYWG-QGTLVTVSS</t>
  </si>
  <si>
    <t>DIQ-MTQSPSSLSASVGDRVTITCRASQSV-----------SSAVA-WYQQ-K-P-G-K--A-PK-LLIYSA----------------SSL--Y--S--GV--P---SRFSGSR-------S--GT----D-FTLTISSLQP-EDFATYYCQQSNT----------------------------WPITFG-QGTKVEIK-</t>
  </si>
  <si>
    <t>QVQ-LQQPGA-ELVKPGASVKLSCKASGYTF---------TSDWIH-WVKQ-R-P-G-H--G-LE-WIGEIIPS-----------YGRANY--N--E--KI--Q---KKATLTA-D---K-S--SS----T-AYMQLSSLTS-EDSAVYYCARERGD--------------------------GYFAVWG-AGTTVTVSS</t>
  </si>
  <si>
    <t>DIQ-MTQSPSSLSASVGDRVTITCRASQDI-----------SNYLN-WYQQ-K-P-G-K--A-PK-LLIYAA----------------STL--Q--S--GV--P---SRFSGSG-------S--GT----D-FTLTISSLQP-EDFATYYCQQYN-----------------------------NYWTFG-QGTKVEIK-</t>
  </si>
  <si>
    <t>QVQ-LVQSGA-EVKKPGSSVKVSCKASGGTF---------SSYAIS-WVRQ-A-P-G-Q--G-LE-WMGRIIPI-----------LGIANY--A--Q--KF--Q---GRVTITA-D---K-S--TS----T-AYMEL---RS-EDTAVYYCAAPYCYG------------------------GHAFDYWG-QGTLVTVSS</t>
  </si>
  <si>
    <t>DIQ-MTQSPSSLSASVGDRVTITCRASQDI-----------SNYLN-WYQQ-K-P-G-K--A-PK-LLIYDA----------------SNL--E--T--GV--P---SRFSGSG-------S--GT----D-FTFTISSLQP-EDIATYYCQQYDN----------------------------LPLTFG-GGTKVEIK-</t>
  </si>
  <si>
    <t>EVQ-LQQSGA-ELVRPGASVKMSCKASGYTF---------TSYWMH-WVKQ-R-P-G-Q--G-LE-WIGYINPY-----------NGGTTY--N--Q--KF--K---GKATLTA-D---K-S--SS----T-AYMQLSSLTS-EDSAVYYCARGG-----------------------------GFAYWG-QGTSVTVSS</t>
  </si>
  <si>
    <t>DIV-LTQSPASLAVSLGQRATISCRASESVDNYG--ISSNNMNFLH-WYQQ-K-P-G-Q--P-PK-LLIYAA----------------SNL--E--S--GI--P---ARFSGSG-------S--RT----D-FTLTIDPVEA-DDAATYYCQQSNE----------------------------DPFTFG-GGTKLEIK-</t>
  </si>
  <si>
    <t>EVQ-LVESGG-GLVQPGGSLRLSCAASGFTF---------STYAMS-WVRQ-A-P-G-K--G-LE-WVAFISYD-----------GSNIYY--A--D--SV--K---GRFTISR-D---N-S--KN----T-LYLQMNSLRA-EDTAVYYCARGYYSYYV-------------------WNSGYYFDYWG-QGTLVTVSS</t>
  </si>
  <si>
    <t>-SV-LTQPPS-VSGAPGQRVTISCTGSSSNIG--------AGYDVH-WYQQ-L-P-G-T--A-PK-LLIYGN----------------SNR--P--S--GV--P---DRFSGSK-------S--GT----S-ASLAITGLQA-EDEADYYCQSYDS---------------------------SLSYVFG-TGTKVTVL-</t>
  </si>
  <si>
    <t>EVQ-LVQSGA-EVKKPGESLKISCKGSGYSF---------TSYWIG-WVRQ-M-P-G-K--G-LE-WMGIIYPG-----------DSDTRY--S--P--SF--Q---GQVTISA-D---K-S--IS----T-AYLQW---KA-SDTAMYYCARGGSG--------------------------YAMDYWG-QGTSVTVSS</t>
  </si>
  <si>
    <t>EVQ-LVESGG-GLVQPGGSLRLSCAASGFNI---------SSSSIH-WVRQ-A-P-G-K--G-LE-WVASISPY------------GYTSY--A--D--SV--K---GRFTISA-D---T-S--KN----T-AYLQMNSLRA-EDTAVYYCARYDYY--------------------------GAMDYWG-QGTLVTVSS</t>
  </si>
  <si>
    <t>EVQ-LVESGG-GLVQPGGSLRLSCAASGFTF---------SSYAMS-WVRQ-A-P-G-K--G-LE-WVSAISGS-----------GGSTYY--A--D--SV--K---GRFTISR-D---N-S--KN----T-LYLQMNSLRA-EDTAVYYCARDVY---------------------------SGSDIWG-QGTMVTVSS</t>
  </si>
  <si>
    <t>DIQ-MTQSPSSLSASVGDRVTITCRASQDV-----------NTAVA-WYQQ-K-P-G-K--A-PK-LLIYSA----------------SSL--Y--S--GV--P---SRFSGSR-------S--GT----D-FTLTISSLQP-EDFATYYCQQSSS----------------------------SLITFG-QGTKVEIK-</t>
  </si>
  <si>
    <t>QVQ-LVQSGA-EVKKPGSSVKVSCKASGGTF---------SSYGIS-WVRQ-A-P-G-Q--G-LE-WMGGIIPI-----------FGTTKY--A--Q--KF--Q---GRVTITA-D---E-S--TS----T-AYMELSSLRS-EDTAVYYCARQGSGS-----------------------GFYGMDVWG-QGTTVTVSS</t>
  </si>
  <si>
    <t>EIV-LTQSPGTLSLSPGERATLSCRASQTVS----------STSLA-WYQQ-K-P-G-Q--A-PR-LLIYGA----------------SSR--A--T--GI--P---DRFSGSG-------S--GT----D-FTLTISRLEP-EDFAVYYCQQYGS----------------------------SPWTFG-QGTKVEIK-</t>
  </si>
  <si>
    <t>QVQ-LVQSGA-EVKKPGASVKVSCKASGYTF---------TSYYMH-WVRQ-A-P-G-Q--G-LE-WMGWISYN------------GNTNY--A--Q--KF--Q---GRVTMTR-D---T-S--IS----T-AYMEL---RS-EDTAVYYCAKGGD----------------------------FFDYWG-QGTLVTVSS</t>
  </si>
  <si>
    <t>-SV-LTQPPS-VSGAPGQRVTISCTGSSSNIG--------AGYDVH-WYQQ-L-P-G-T--A-PK-LLIYGN----------------SNR--P--S--GV--P---DRFSGSK-------S--GT----S-ASLAITGLQA-EDEADYYCQSYDR---------------------------RLAWVFG-GGTKLTVG-</t>
  </si>
  <si>
    <t>EVQ-LVESGG-GLVQPGGSLRLSCAASGFTF---------SSYAMH-WVRQ-A-P-G-K--G-LE-WVSAISSS-----------GSTIYY--A--D--SV--K---GRFTISR-D---N-S--KN----T-LYLQMNSLRA-EDTAVYYCARDLSSG------------------------YSYDSSWG-QGTLVTVSS</t>
  </si>
  <si>
    <t>-SV-LTQPPS-VSGAPGQRVTISCTGSSSNIG--------AGYDVH-WYQQ-L-P-G-T--A-PK-LLIYGN----------------NNR--P--S--GV--P---DRFSGSK-------S--GT----S-ASLAITGLQA-EDEADYYCQSYDS---------------------------RLAWVFG-GGTKLTVG-</t>
  </si>
  <si>
    <t>QVQ-LQESGP-GLVKPSQTLSLTCTVSGGSIS--------NGYYWS-WIRQ-P-P-G-K--G-LE-WIGYIYYS------------GSTYY--N--P--SL--K---SRVTISV-D---T-S--KN----Q-FSLKLSSVTA-ADTAVYYCARDLPP-------------------------VSGVGVWG-AGV-VTVSS</t>
  </si>
  <si>
    <t>DIQ-MTQSPSSLSASVGDRVTITCRASQGI-----------SSWLA-WYQQ-K-P-G-K--A-PK-LLIYAA----------------SSL--Q--S--GV--P---SRFSGSG-------S--GT----D-FTLTISSLQP-EDFATYYCQQYSS----------------------------YSITFG-QGTKVEIK-</t>
  </si>
  <si>
    <t>QVQ-LVQSGA-EVKKPGSSVKVSCKASGGTF---------SSYTIS-WVRQ-A-P-G-Q--G-LE-WMGGIIPI-----------LGIANY--A--Q--KF--Q---GRVTITA-D---K-S--TS----T-AYMELSSLRS-EDTAVYYCARGSGF-------------------------YGAMDYWG-QGTLVTVSS</t>
  </si>
  <si>
    <t>DIQ-MTQSPSSLSASVGDRVTITCRASQSV-----------SSAVA-WYQQ-K-P-G-K--A-PK-LLIYSA----------------SSL--Y--S--GV--P---SRFSGSR-------S--GT----D-FTLTISSLQP-EDFATYYCQQYKY----------------------------VPVTFG-QGTKVEVK-</t>
  </si>
  <si>
    <t>EVQ-LVESGG-GLVQPGGSLRLSCAASGFNV---------SYSSIH-WVRQ-A-P-G-K--G-LE-WVASISSY-----------YGYTSY--A--D--SV--K---GRFTISA-D---T-S--KN----T-AYLQMNSLRA-EDTAVYYCARGSG----------------------------YSGYWG-QGTLVTVFN</t>
  </si>
  <si>
    <t>QVQ-LVQSGA-EVKKPGSSVKVSCKASGGTF---------SSYGIS-WVRQ-A-P-G-Q--G-LE-WMGGIIPI-----------SGTANY--A--Q--KF--Q---GRVTITA-D---K-S--TS----T-AYMELSSLRS-EDTAVYYCAREGSGS-----------------------GSGYFDVWG-QGTLVTVSS</t>
  </si>
  <si>
    <t>DIQ-MTQSPSSLSASVGDRVTITCQASQDI-----------SNYLN-WYQQ-K-P-G-K--A-PK-LLIYDA----------------SNL--K--T--GV--P---SRFSGSG-------S--GT----D-FTFTISSLQP-EDIATYYCQQYDN----------------------------LPLTFG-QGTKVEIK-</t>
  </si>
  <si>
    <t>QVQ-LVESGG-GVVQPGRSLRLSCAASGFTF---------SNYGMH-WVRQ-A-P-G-K--G-LE-WVAVISYD-----------GSNKYY--A--D--SV--K---GRFTISR-D---N-S--KN----T-LYLQMNSLRA-EDTAVYYCAKDRG----------------------------LYDYWG-QGTLVTVSS</t>
  </si>
  <si>
    <t>DIQ-MTQSPSSLSASVGDRVTITCRASQDV-----------STAVA-WYQQ-K-P-G-K--A-PK-LLIYSA----------------SSL--Y--S--GV--P---SRFSGSR-------S--GT----D-FTLTISSLQP-EDFATYYCQQSYF----------------------------DPYTFG-QGTKVEIK-</t>
  </si>
  <si>
    <t>EVQ-LVQSGA-EVKKPGSSVKVSCKASGYTF---------TDYYIH-WVRQ-A-P-G-Q--G-LE-WMGWMNPD-----------GDTTYY--A--Q--KF--Q---GRVTMTR-D---T-S--TS----T-VYMELSSLRS-DDTAVYYCARDWYD-------------------------GGRGQVWG-PG-LVTVSS</t>
  </si>
  <si>
    <t>EVQ-LVESGG-GLVQPGGSLRLSCAASGFNI---------KDTYIH-WVRQ-A-P-G-K--G-LE-WVASISSY-----------YGSTSY--A--D--SV--K---GRFTISA-D---T-S--KN----T-AYLQMNSLRA-EDTAVYYCARLRYF--------------------------GAMDYWG-QGTLVTVSS</t>
  </si>
  <si>
    <t>QVQ-LVQSGA-EVKKPGSSVKVSCKASGGTF---------SSYTIS-WVRQ-A-P-G-Q--G-LE-WMGGIIPL-----------FGTTNY--A--Q--KF--Q---GRVTITA-D---E-S--TS----T-AYMELSSLRS-EDTAVYYCAKTTGKS------------------------GGWFDSWG-QGTLVTVSS</t>
  </si>
  <si>
    <t>DIQ-MTQSPSSLSASVGDRVTITCRASQSI-----------GSWLA-WYQQ-K-P-G-K--A-PK-LLIYRA----------------SNL--E--T--GV--P---SRFSGSG-------S--GT----D-FTFTISSLQP-EDIATYYCQQYDN----------------------------LPPTFG-GGTKVEIK-</t>
  </si>
  <si>
    <t>EVQ-LVESGG-GLVQPGGSLRLSCAASGFTF---------SSYAMS-WVRQ-A-P-G-K--G-LE-WVSSISSS-----------SGSTYY--A--D--SV--K---GRFTISR-D---N-S--KN----T-LYLQMNSLRA-EDTAVYYCAKDGGFSGSSDYY------------WSSYSGLYAMDYWG-QGTLVTVSS</t>
  </si>
  <si>
    <t>EIV-LTQSPATLSLSPGERATLSCRASQSV-----------SSYLA-WYQQ-K-P-G-Q--A-PR-LLIYDA----------------SNR--A--T--GI--P---ARFSGSG-------S--GT----D-FTLTISSLEP-EDFAVYYCQQRSN----------------------------WPITFG-QGTRLEIK-</t>
  </si>
  <si>
    <t>EVQ-LVESGG-GLVQPGGSLRLSCAASGFNI---------KDTYIH-WVRQ-A-P-G-K--G-LE-WVASIYPY-----------YGSTSY--A--D--SV--K---GRFTISA-D---T-S--KN----T-AYLQMNSLRA-EDTAVYYCARWGYGSG----------------------VWYALDYWG-QGTLVTVSS</t>
  </si>
  <si>
    <t>EVQ-LVESGG-GLVQPGGSLRLSCAASGFTF---------SSYAMS-WVRQ-A-P-G-K--G-LE-WVSAISGS-----------GGSTYY--A--D--SV--K---GRFTISR-D---N-S--KN----T-LYLQMNSLRA-EDTAVYYCARQVGS-------------------------SWYFDVWG-QGTTVTVSS</t>
  </si>
  <si>
    <t>EVQ-LVESGG-GLVKPGGSLRLSCAASGFTF---------SSYAMS-WVRQ-A-P-G-K--G-LE-WVSSISSS-----------SSYIYY--A--D--SV--K---GRFTISR-D---N-A--KN----S-LYLQMNSLRA-EDTAVYYCARDLLT-------------------------YYGMDVWG-QGTTVTVSS</t>
  </si>
  <si>
    <t>EIV-LTQSPGTLSLSPGERATLSCRASQSVS----------SSYLA-WYQQ-K-P-G-Q--A-PR-LLIYGA----------------SSR--A--T--GI--P---DRFSGSG-------S--GT----D-FTLTISRLEP-EDFAVYYCQQYGS----------------------------SPLTFG-QGTKVEIK-</t>
  </si>
  <si>
    <t>QVQ-LVESGG-GVVQPGRSLRLSCAASGFTF---------SSYGMH-WVRQ-A-P-G-K--G-LE-WVAVISDG------------SNKYY--A--D--SV--K---GRFTISR-D---N-S--KN----T-LYLQMNSLRA-EDTAVYYCARDV------------------------------YDVWG-QGTLVTVSS</t>
  </si>
  <si>
    <t>-SV-LTQPPS-VSGAPGQRVTISCTGSSGA-----------GYDVH-WYQQ-L-P-G-T--A-PK-LLIYGN----------------INR--P--S--GV--P---DRFSGSK-------S--GT----S-ASLAITGLQA-EDEADYYCQSYDSS-------------------------LSGTYVFG-TGTKVTVL-</t>
  </si>
  <si>
    <t>EVQ-LVESGG-GLVQPGGSLRLSCAASGFNI---------SSSSIH-WVRQ-A-P-G-K--G-LE-WVASISSS-----------YGYTSY--A--D--SV--K---GRFTISA-D---T-S--KN----T-AYLQMNSLRA-EDTAVYYCARVYGS-------------------------SSSSDYWG-QGTLVTVSS</t>
  </si>
  <si>
    <t>QVQ-LVQSGA-EVKKPGSSVKVSCKASGGTF---------SSYTIS-WVRQ-A-P-G-Q--G-LE-WMGGIIPI-----------FVTVNY--A--Q--KF--Q---GRVTITA-D---K-S--TS----T-AYMELSSLRS-EDTAVYYCARVSGS--------------------------YGSGYWG-QGTLVTVSS</t>
  </si>
  <si>
    <t>EVQ-LVESGG-GLVQPGGSLRLSCAASGFTF---------SSYAMH-WVRQ-A-P-G-K--G-LE-WVSAISGS-----------GGSTYY--A--D--SV--K---GRFTISR-D---N-S--KN----T-LYLQMNSLRA-EDTAVYYCARYYR---------------------------SGDGYWG-QGTLVTVSS</t>
  </si>
  <si>
    <t>-SV-LTQPPS-VSGAPGQRVTISCTGSSSNIG--------AGYDVH-WYQQ-L-P-G-T--A-PK-LLIYGN----------------NNR--P--S--GV--P---DRFSGSK-------S--GT----S-ASLAITGLQA-EDEADYYCQSYDR----------------------------RLWVFG-GGTKLTVL-</t>
  </si>
  <si>
    <t>QVQ-LQESGP-GLVKPSETLSLTCTVSGGSIS-------SSNYYWG-WIRQ-P-P-G-K--G-LE-WIGSIYYS------------GNTNY--N--P--SL--K---SRVTISV-D---T-S--KN----Q-FSLKLSSVTA-ADTAVYYCARGPG---------------------------FYYDYWG-QGTLVTVSS</t>
  </si>
  <si>
    <t>EIV-LTQSPGTLSLSPGETASLSCTASQSV-----------SSYLY-WYQQ-K-S-G-T--S-PK-LLIYDV----------------SNR--F--S--GV--P---DRFSGSG-------S--GT----D-FTLKISRVEA-EDLGVYYCFQGSH----------------------------VPYTFG-GGTKLEIK-</t>
  </si>
  <si>
    <t>QVQ-LVQSGA-EVKKPGASVKVSCKASGYTF---------TNYGIS-WVRQ-A-P-G-Q--G-LE-WMGWISYN------------GNTNY--A--Q--KF--Q---GRVTMTT-D---T-S--TT----T-GYMELRRLRS-DDTAVYYCARGW-----------------------------YSDYWG-QGTLVTVSS</t>
  </si>
  <si>
    <t>EVQ-LVQSGA-EVKKPGSSVKVSCKASGGTF---------SSYTIS-WVRQ-A-P-G-Q--G-LE-WMGGIIIF------------GTANY--A--Q--KF--Q---GRVTITA-D---K-S--TS----T-AYMEL---RS-EDTAVYYCAKGDY---------------------------VGSDYWG-QGTLVTVSS</t>
  </si>
  <si>
    <t>DIQ-MTQSPSSLSASVGDRVTITCRASQDV-----------NTAVA-WYQQ-K-P-G-K--A-PK-LLIYSA----------------SFL--Y--S--GV--P---SRFSGSG-------S--GT----D-FTLTISSLQP-EDFATYYCQQSYS----------------------------TPRTFG-QGTKVEIK-</t>
  </si>
  <si>
    <t>EVQ-LVESGG-GLVQPGGSLRLSCAASGFNI----------KDYIH-WVRQ-A-P-G-K--G-LE-WVASISSY-----------YGSTSY--A--D--SV--K---GRFTISA-D---T-S--KN----T-AYLQMNSLRA-EDTAVYYCARQTYD--------------------------YGYGYWG-QGTLVTVSS</t>
  </si>
  <si>
    <t>DIQ-MTQSPSSLSASVGDRVTITCRASQSV-----------SSAVA-WYQQ-K-P-G-K--A-PK-LLIYSA----------------SSL--Y--S--GV--P---SRFSGSR-------S--GT----D-FTLTISSLQP-EDFATYYCQQYSY---------------------------SAPRTFG-QGTKVEIK-</t>
  </si>
  <si>
    <t>EVQ-LVESGG-GLVKPGGSLRLSCAASGFTF---------SSYAMS-WVRQ-A-P-G-K--G-LE-WVSSISSS-----------SSYIYY--A--D--SV--K---GRFTISR-D---N-A--KN----S-LYLQMNSLRA-EDTAVYYCARWYGSS------------------------YYGMDYWG-QGTLVTVSS</t>
  </si>
  <si>
    <t>DIQ-MTQSPSSLSASVGDRVTITCRASQSV-----------SSAVA-WYQQ-K-P-G-K--A-PK-LLIYSA----------------SSL--Y--S--GV--P---SRFSGSR-------S--GT----D-FTLTISSLQP-EDFATYYCQQYYS----------------------------YSWTFG-QGTKVEIK-</t>
  </si>
  <si>
    <t>EVQ-LVESGG-GLVQPGGSLRLSCAASGFTF---------SSYWMS-WVRQ-A-P-G-K--G-LE-WVANIKQD-----------GSEKYY--V--D--SV--K---GRFTISR-D---N-A--KN----S-LYLQMNSLRA-EDTAVYYCAKDTYQDY---------------------GSGVYFDYWG-QGTLVTVSS</t>
  </si>
  <si>
    <t>EVQ-LVESGG-GLVQPGGSLRLSCAASGFTF---------SSYWMS-WVRQ-A-P-G-K--G-LE-WVSVIYSG------------GSTYY--A--D--SV--K---GRFTISR-D---N-S--KN----T-LYLQM---RA-EDTAVYYCARGGG----------------------------AFDHWG-QGTLVTVSS</t>
  </si>
  <si>
    <t>EVQ-LVESGG-GLVQPGGSLRLSCAASGFNV---------SYSSIH-WVRQ-A-P-G-K--G-LE-WVAYIYSS-----------YGYTSY--A--D--SV--K---GRFTISA-D---T-S--KN----T-AYLQMNSLRA-EDTAVYYCARSYYYGS----------------------SYYGMDVWG-QGTTVTVSS</t>
  </si>
  <si>
    <t>DIQ-MTQSPSSLSASVGDRVTITCRASQSV-----------SSAVA-WYQQ-K-P-G-K--A-PK-LLIYSA----------------SSL--Y--S--GV--P---SRFSGSR-------S--GT----D-FTLTISSLQP-EDFATYYCQQSYV---------------------------YYSWTFG-QGTKVEIK-</t>
  </si>
  <si>
    <t>EVQ-LVESGG-GLVKPGGSLKLSCAASGFTF---------SSYAMS-WVRQ-T-P-E-K--R-LE-WVATISSG-----------GGYTYY--P--D--TV--K---GRFTISR-D---N-A--KN----T-LYLQMSSLKS-EDTAMYYCARQGYV--------------------------GPMDYWG-QGTSVTVSS</t>
  </si>
  <si>
    <t>DIV-MSQSPSSLAVSAGEKVTMSCKSSQSLLNS-----RTRKNYLA-WYQQ-K-P-G-Q--S-PK-LLIYWA----------------STR--E--S--GV--P---DRFTGSG-------S--GT----D-FTLTISSVKA-EDLAVYYCKQSF-----------------------------YLRTFG-GGTKLEIK-</t>
  </si>
  <si>
    <t>EVQ-LVESGG-GLVQPGGSLRLSCAASGFNI---------SSSSIH-WVRQ-A-P-G-K--G-LE-WVASISSY-----------YGYTSY--A--D--SV--K---GRFTISA-D---T-S--KN----T-AYLQMNSLRA-EDTAVYYCARGYYS--------------------------GYFNYWG-QGTLVTVSS</t>
  </si>
  <si>
    <t>QVQ-LVQSGA-EVKKPGASVKVSCKASGYTF---------TSYNIH-WVRQ-A-P-G-Q--G-LE-WMGWISTY-----------NGNTNY--A--Q--KF--Q---GRVTMTT-D---T-S--TT----T-GYMELRRLRS-DDTAVYYCARDLQG-------------------------QVYLDYWG-QGTLVTVSS</t>
  </si>
  <si>
    <t>-VQ-LQQSGA-ELVRPGASVKLSCKASGFNI---------KDYYMH-WVKQ-R-P-E-Q--G-LE-WIGRIDPA-----------NGYTQF--N--Q--KF--K---GKATLTV-D---K-S--SS----T-AYMQLNSLTS-EDSAVYYCAREYN---------------------------YGDDYWG-QGTTLTVSS</t>
  </si>
  <si>
    <t>DIQ-MTQSPSSLSASVGDRVTITCRASQSI-----------SSYLN-WYQQ-K-P-G-K--A-PK-LLIYAA----------------SSL--Q--S--GV--P---SRFSGSG-------S--GT----D-FTLTISSLQP-EDFATYYCQQSYS----------------------------TLWTFG-QGTKVEIK-</t>
  </si>
  <si>
    <t>EVQ-LVESGG-GLVQPGGSLRLSCAASGFNV---------SYSSIH-WVRQ-A-P-G-K--G-LE-WVAYIYSS-----------YGYTSY--A--D--SV--K---GRFTISA-D---T-S--KN----T-AYLQMNSLRA-EDTAVYYCARVYSGY------------------------YGAMDYWG-QGTLVTVSS</t>
  </si>
  <si>
    <t>QVQ-LVQSGA-EVKKPGASVKVSCKASGYTF---------TSYAMH-WVRQ-A-P-G-Q--G-LE-WMGWISYN------------GNTNY--A--Q--KF--Q---GRVTMTR-D---T-S--IS----T-AYMEL---RS-EDTAVYYCARGVR---------------------------GYYDHWG-QGTLVTVSS</t>
  </si>
  <si>
    <t>EVQ-LVESGG-GLVQPGGSLRLSCAASGFNV---------SSYTIH-WVRQ-A-P-G-K--G-LE-WVAYIYPY-----------SGSTSY--A--D--SV--K---GRFTISA-D---T-S--KN----T-AYLQMNSLRA-EDTAVYYCARSYWYY------------------------DYYDLPWG-SGL-VTVSS</t>
  </si>
  <si>
    <t>DIQ-MTQSPSSLSASVGDRVTITCRASQSV-----------SSAVA-WYQQ-K-P-G-K--A-PK-LLIYSA----------------SSL--Y--S--GV--P---SRFSGSR-------S--GT----D-FTLTISSLQP-EDFATYYCQQYYN----------------------------YPRTFG-QGTKVEIK-</t>
  </si>
  <si>
    <t>EVQ-LVESGG-GLVQPGGSLRLSCAASGFTF---------SSYDMH-WVRQ-A-P-G-K--G-LE-WVSYISSS-----------SGSTSY--A--D--SV--K---GRFTISA-D---T-S--KN----T-AYLQM---RA-EDTAVYYCARGWT---------------------------LGSDYWG-QGTLVTVSS</t>
  </si>
  <si>
    <t>EVQ-LVESGG-GLVQPGGSLRLSCAASGFNF---------SSSSIH-WVRQ-A-P-G-K--G-LE-WVASIYSY-----------SGYTSY--A--D--SV--K---GRFTISA-D---T-S--KN----T-AYLQMNSLRA-EDTAVYYCARWGYGR------------------------RWYFDYWG-QGTLVTVSS</t>
  </si>
  <si>
    <t>QVQ-LVESGG-GVVQPGRSLRLSCAASGFTF---------SNYGMH-WVRQ-T-P-G-K--G-LE-WVAVIWYD-----------GSNKYY--A--D--SV--K---GRFTISR-D---N-S--KN----T-LYLQMNSLRA-EDTAVYYCARWGYD--------------------------ILTVYWG-QGTLVTVSS</t>
  </si>
  <si>
    <t>QVQ-LVQSGA-EVKKPGASVKVSCKASGYTF---------TSYGIS-WVRQ-A-P-G-Q--G-LE-WMGWISTY-----------NGNTNY--A--Q--KF--Q---GRVTMTT-D---T-S--TT----T-GYMELRRLRS-DDTAVYYCARDYTRGAWF-----------------GESLIGGFDNWG-QGTLVTVSS</t>
  </si>
  <si>
    <t>EVQ-LVESGG-GLVQPGGSLRLSCAASGFNV---------SYSSIH-WVRQ-A-P-G-K--G-LE-WVASIYSY-----------SGYTSY--A--D--SV--K---GRFTISA-D---T-S--KN----T-AYLQMNSLRA-EDTAVYYCARG-------------------------------RWYWG-QGTLVTVSS</t>
  </si>
  <si>
    <t>EVQ-LVESGG-GLVQPGGSLRLSCAASGFTF---------SSYAMS-WVRQ-A-P-G-K--G-LE-WVSAISSG------------GSTYY--A--D--SV--K---GRFTISR-D---N-S--KN----T-LYLQMNSLRA-EDTAVYYCAKAGYR--------------------------SLWVYWG-QGTLVTVSS</t>
  </si>
  <si>
    <t>DIQ-MTQSPSSLSASVGDRVTITCRASQDV-----------STAVA-WYQQ-K-P-G-K--A-PK-LLIYSA----------------SSL--Y--S--GV--P---SRFSGSR-------S--GT----D-FTLTISSLQP-EDFATYYCQQGSS----------------------------SLITFG-QGTKVEIK-</t>
  </si>
  <si>
    <t>EVQ-LVESGG-GLVQPGGSLRLSCAASGFTF---------SSYAMS-WVRQ-A-P-G-K--G-LE-WVSYISDSV----------SGYADY--A--D--SV--K---GRFTISR-D---N-S--KN----T-LYLQMNSLRA-EDTAVYYCAKTT-----------------------------SGWLWG-QGTLVTVSS</t>
  </si>
  <si>
    <t>EVQ-LVESGG-GLVQPGGSLRLSCAASGFNV---------SYSSIH-WVRQ-A-P-G-K--G-LE-WVAYISSS-----------SGSTYY--A--D--SV--K---GRFTISA-D---T-S--KN----T-AYLQMNSLRA-EDTAVYYCARSY-----------------------------YFSSWG-QGTLVTVSS</t>
  </si>
  <si>
    <t>DIQ-MTQSPSSLSASVGDRVTITCRASQSV-----------SSAVA-WYQQ-K-P-G-K--A-PK-LLIYSA----------------SSL--Y--S--GV--P---SRFSGSR-------S--GT----D-FTLTISSLQP-EDFATYYCQQYYS---------------------------YSLITFG-QGTKVEIK-</t>
  </si>
  <si>
    <t>EVQ-LVESGG-GLVQPGGSLRLSCAASGFNV---------SYSSIH-WVRQ-A-P-G-K--G-LE-WVASISSY-----------YGSTSY--A--D--SV--K---GRFTISA-D---T-S--KN----T-AYLQMNSLRA-EDTAVYYCARQGY---------------------------GYFYYWG-QGTLVTVSS</t>
  </si>
  <si>
    <t>QVQ-LVQSGA-EVKKPGASVKVSCKASGYTF---------TSYAIH-WVRQ-A-P-G-Q--G-LE-WMGWINNS-----------GGNTNY--A--Q--KF--Q---GRVTMTR-D---T-S--TS----T-VYMEL---RS-EDTAVYYCARDV-----------------------------GGSLWG-QGTLVTVSS</t>
  </si>
  <si>
    <t>DIQ-MTQSPSSLSASVGDRVTITCQASQDI-----------SNYLN-WYQQ-K-P-G-K--A-PK-LLIYDA----------------SNL--E--T--GV--P---SRFSGSG-------S--GT----D-FTFTISSLQP-EDIATYYCQQYDN----------------------------LPFTFG-PGTKVDIK-</t>
  </si>
  <si>
    <t>QVQ-LVQSGA-EVKKPGSSVKVSCKASGGTF---------SSYAIS-WVRQ-A-P-G-Q--G-LE-WMGGIIPI-----------FGTANY--A--Q--KF--Q---GRVTITA-D---K-S--TS----T-AYMELSSLRS-EDTAVYYCARGQGW--------------------------QGFDYWG-QGTLVTVSS</t>
  </si>
  <si>
    <t>EVQ-LVESGG-GLVQPGGSLRLSCAASGFTF---------SDYYMT-WVRQ-A-P-G-K--G-LE-WVSVIYSG------------GSTYY--A--D--SV--K---GRFTISR-D---N-S--KN----T-LYLQM---RA-EDTAVYYCARG--------------------------------DYWG-QGTLVTVSS</t>
  </si>
  <si>
    <t>DIQ-MTQSPSSLSASVGDRVTITCRASQSV-----------SSAVA-WYQQ-K-P-G-K--A-PK-LLIYSA----------------SSL--Y--S--GV--P---SRFSGSR-------S--GT----D-FTLTISSLQP-EDFATYYCQQSYT----------------------------YPITFG-QGTKVEIK-</t>
  </si>
  <si>
    <t>QVQ-LQQSGA-ELARPGASVKLSCKASGYTF---------TNYWMH-WVKQ-R-P-G-Q--G-LE-WIGEINPN-----------SGGTNY--N--E--KF--K---GKATLTA-D---K-S--SS----T-AYMQL---TS-EDSAVYYCARERDG--------------------------NYFAYWG-QGTLVTVSA</t>
  </si>
  <si>
    <t>EVQ-LVESGG-GLVQPGGSLRLSCAASGFTF---------SDYDMH-WVRQ-A-P-G-K--G-LE-WVSVIYSG------------GSTYY--A--D--SV--K---GRFTISR-D---N-S--KN----T-LYLQMNSLRA-EDTAVYYCARWGY---------------------------WYFDYWG-QGTLVTVSS</t>
  </si>
  <si>
    <t>DIQ-MTQSPSSLSASVGDRVTITCRASQSV-----------SSAVA-WYQQ-K-P-G-K--A-PK-LLIYSA----------------SSL--Y--S--GV--P---SRFSGSR-------S--GT----D-FTLTISSLQP-EDFATYYCQQYYK---------------------------YLPITFG-QGTKVEIK-</t>
  </si>
  <si>
    <t>EVQ-LVESGG-GLVQPGGSLRLSCAASGFTF---------SSYDMH-WVRQ-A-P-G-K--G-LE-WVSVIYSG------------GSTYY--A--D--SV--K---GRFTISR-D---N-S--KN----T-LYLQMNSLRA-EDTAVYYCARGP-----------------------------GYSGWG-QGTLVTVSS</t>
  </si>
  <si>
    <t>QVQ-LVQSGA-EVKKPGASVKVSCKASGYTF---------TNYGIS-WVRQ-A-P-G-Q--G-LE-WMGWMNPN-----------SGNTNY--A--Q--KF--Q---GRVTMTR-D---T-S--IS----T-AYMELSRLRS-DDTAVYYCARHLE---------------------------QYFDYWG-QGTLVTVSS</t>
  </si>
  <si>
    <t>DIV-MTQSPDSLAVSLGERATINCKSSQSVLYS-----SNNKNYLA-WYQQ-K-P-G-Q--P-PK-LLIYWA----------------STR--E--S--GV--P---DRFSGSG-------S--GT----D-FTLTISSLQA-EDVAVYYCQQYYS----------------------------TPYTFG-QGTKLEIK-</t>
  </si>
  <si>
    <t>QVQ-LVESGG-GVVQPGRSLRLSCAASGFTF---------SNYGMH-WVRQ-A-P-G-K--G-LE-WVAVISYD-----------GSNKYY--A--D--SV--K---GRFTISR-D---N-S--KN----T-LYLQMNSLRA-EDTAVYYCARDLGVG-----------------------LYYGMDVWG-QGTTVTVSS</t>
  </si>
  <si>
    <t>EIV-LTQSPGTLSLSPGERATLSCRASQVG-----------NNKLA-WYQQ-K-P-G-Q--A-PR-LLIYGA----------------SSR--A--T--GI--P---DRFSGSG-------S--GT----D-FTLTISRLEP-EDFAVYYCQQYGS----------------------------SPWTFG-QGTKVEIK-</t>
  </si>
  <si>
    <t>QVQ-LQQPGA-ELVKPGASVKLSCKASGYTF---------TSYWMH-WVKQ-R-P-G-Q--G-LE-WIGEINPN-----------GGSTNY--N--E--KF--K---SKATLTV-D---K-S--SS----T-AYMQLSSLTS-EDSAVYYCAREGTYD-----------------------YYYAMDYWG-QGTSVTVSS</t>
  </si>
  <si>
    <t>QVQ-LVESGG-GVVQPGRSLRLSCAASGFTF---------SSYGMH-WVRQ-A-P-G-K--G-LE-WVAVIWYD-----------GSNKYY--A--D--SV--K---GRFTISR-D---N-S--KN----T-LYLQMNSLRA-EDTAVYYCARVYGW--------------------------SVYDVWG-QGTTVTVSS</t>
  </si>
  <si>
    <t>QVQ-LQQPGA-ELVKPGASVKLSCKASGYTF---------TDYYMN-WVKQ-S-H-G-K--S-LE-WIGGINPY-----------YGTTNY--N--Q--KF--K---GKATLTV-D---K-S--SS----T-AFMELSSLTS-EDSAVYYCARSGY----------------------------GTDYWG-QGTSVTVSS</t>
  </si>
  <si>
    <t>DIV-MSQSPSSLAVSAGEKVTMSCKSSQSLFYS------NNKNYLT-WFQQ-K-P-G-Q--S-PK-LLIYWA----------------STR--E--S--GV--P---DRFTGSG-------S--GT----D-FTLTISSVKA-EDLAVYYCQQYYS----------------------------YPLTFG-GGTKLEIK-</t>
  </si>
  <si>
    <t>EVQ-LVESGG-GLVQPGGSLRLSCAASGFTF---------SSYAMS-WVRQ-A-P-G-K--G-LE-WVSAISSS-----------GGSTYY--A--D--SV--K---GRFTISR-D---N-S--KN----T-LYLQMNSLRA-EDTAVYYCARAQLWS-----------------------SYWSFDYWG-QGTLVTVSS</t>
  </si>
  <si>
    <t>-IQ-MTQSPSSLSASVGDRVTITCRASQSV-----------SSAVA-WYQQ-K-P-G-K--A-PK-LLIYSA----------------SSL--Y--S--GV--P---SRFSGSR-------S--GT----D-FTLTISSLQP-EDFATYYCQQYSS---------------------------YYSVTFG-QGTKVEIK-</t>
  </si>
  <si>
    <t>EVQ-LVESGG-GLVQPGGSLRLSCAASGFTF---------SSYAMS-WVRQ-A-P-G-K--G-LE-WVSVIGID------------GNIYY--A--D--SV--K---GRFTISR-D---N-S--KN----T-LYLQMNSLRA-EDTAVYYCARDRG---------------------------SASGYWG-QGTLVTVSS</t>
  </si>
  <si>
    <t>QVQ-LQESGP-GLVKPSQTLSLTCTVSGGSIS-------SGDYYWN-WIRQ-P-P-G-K--G-LE-WIGYIYS-------------GSTSY--N--P--SL--K---SRVTISV-D---T-S--KN----Q-FSLKLSSVTA-ADTAVYYCARRY-----------------------------DYDFWG-RGTLVTVSS</t>
  </si>
  <si>
    <t>EVQ-LVESGG-GLVQPGGSLRLSCAASGFNV---------SYSSIH-WVRQ-A-P-G-K--G-LE-WVAYISSS-----------SGSTSY--A--D--SV--K---GRFTISA-D---T-S--KN----T-AYLQMNSLRA-EDTAVYYCARAAYY--------------------------GYYGYWG-QGTLVTVSS</t>
  </si>
  <si>
    <t>EIV-LTQSPGTLSLSPGERATLSCRASQTV-----------SSYLA-WYQQ-K-P-G-Q--A-PR-LLIYGA----------------SSR--A--T--GI--P---DRFSGSG-------S--GT----D-FTLTISRLEP-EDFAVYYCQQYGS----------------------------SPWTFG-QGTKVEIK-</t>
  </si>
  <si>
    <t>EVQ-LVQSGA-EVKKPGESLKISCKGSGYSF---------TSYWIG-WVRQ-M-P-G-K--G-LE-WMGIIYPG-----------DSDTRY--S--P--SF--Q---GQVTISA-D---K-S--IS----T-AYLQWSSLKA-SDTAMYYCARQDY---------------------------DWGNYWG-QGTLVTVSS</t>
  </si>
  <si>
    <t>DIV-MTQSPDSLAVSLGERATINCKSSQSVLYS-----SNNKNYLA-WYQQ-K-P-G-Q--P-PK-LLIYWA----------------STR--E--S--GV--P---DRFTGSG-------S--GT----D-FTLTISSVQA-EDLAVYYCQQYYS----------------------------SPLTFG-QGTKVEIK-</t>
  </si>
  <si>
    <t>EVQ-LVESGG-GLVQPGGSLRLSCAASGFNV---------SYSSIH-WVRQ-A-P-G-K--G-LE-WVASISSY-----------YGYTYY--A--D--SV--K---GRFTISA-D---T-S--KN----T-AYLQMNSLRA-EDTAVYYCARYYYSY------------------------SSYYPYWG-QGTLVTVSS</t>
  </si>
  <si>
    <t>DIQ-MTQSPSSLSASVGDRVTITCRASQSV-----------SSAVA-WYQQ-K-P-G-K--A-PK-LLIYSA----------------SSL--Y--S--GV--P---SRFSGSR-------S--GT----D-FTLTISSLQP-EDFATYYCQQSSY----------------------------GLITFG-QGTKVEIK-</t>
  </si>
  <si>
    <t>EVQ-LVQSGA-EVKKPGSSVKVSCKASGGTF---------SNYALS-WVRQ-A-P-G-Q--G-LE-WMGGIIPL-----------GTTTKY--A--Q--KF--Q---GRVTITA-D---E-S--TS----T-AYMELSSLRS-EDTAVYYCARDYT---------------------------RGGDYWG-QGTLVTVSS</t>
  </si>
  <si>
    <t>DIQ-MTQSPSSLSASVGDRVTITCRASQSV-----------SSAVA-WYQQ-K-P-G-K--A-PK-LLIYSA----------------SSL--Y--S--GV--P---SRFSGSR-------S--GT----D-FTLTISSLQP-EDFATYYCQQYSK---------------------------YSLVTFG-QGTKVEIK-</t>
  </si>
  <si>
    <t>EVQ-LVESGG-GLVQPGGSLRLSCAASGFTF---------SSYAMS-WVRQ-A-P-G-K--G-LE-WVSAISSS------------GSTYY--A--D--SV--K---GRFTISR-D---N-S--KN----T-LYLQMNSLRA-EDTAVYYCARGTGGY------------------------SGYFDYWG-QGTLVTVSS</t>
  </si>
  <si>
    <t>QVQ-LVQSGA-EVKKPGSSVKVSCKASGGTF---------SSYTIS-WVRQ-A-P-G-Q--G-LE-WMGGIIPF-----------VGPTGY--A--Q--KF--Q---GRVTITA-D---K-S--TS----T-AYMELSSLRS-EDTAVYYCARGGSGS------------------------FYGMDVWG-QGTTVTVSS</t>
  </si>
  <si>
    <t>DIQ-MTQSPSSLSASVGDRVTITCQASQDI-----------SNYLN-WYQQ-K-P-G-K--A-PK-LLIYDA----------------SNL--E--T--GV--P---SRFSGSG-------S--GT----D-FTFTISSLQP-EDIATYYCQQYDN----------------------------LPFTFG-PGTKVDFK-</t>
  </si>
  <si>
    <t>EVQ-LVESGG-GLVQPGGSLRLSCAASGFTF---------SSYAMS-WVRQ-A-P-G-K--G-LE-WVSYISSS------------GYTSY--A--D--SV--K---GRFTISR-D---N-S--KN----T-LYLQMNSLRA-EDTAVYYCAKRGS----------------------------LGDLWG-QGTLVTVSS</t>
  </si>
  <si>
    <t>EVQ-LVESGG-GLVQPGGSLRLSCAASGFTF---------SSYAMS-WVRQ-A-P-G-K--G-LE-WVSSISSS------------GSTYY--A--D--SV--K---GRFTISR-D---N-S--KN----T-LYLQM---RA-EDTAVYYCARVRS----------------------------SSDYWG-QGTLVTVSS</t>
  </si>
  <si>
    <t>EVQ-LVESGG-GLVQPGGSLRLSCAASGFNF---------SSSSIH-WVRQ-A-P-G-K--G-LE-WVASISSY-----------YGYTYY--A--D--SV--K---GRFTISA-D---T-S--KN----T-AYLQMNSLRA-EDTAVYYCARYSGVY-----------------------SYAWFDPWG-QGTLVTVSS</t>
  </si>
  <si>
    <t>DIQ-MTQSPSSLSASVGDRVTITCRASQSV-----------SSAVA-WYQQ-K-P-G-K--A-PK-LLIYSA----------------SSL--Y--S--GV--P---SRFSGSR-------S--GT----D-FTLTISSLQP-EDFATYYCQQSYY---------------------------YLPFTFG-QGTKVEIK-</t>
  </si>
  <si>
    <t>QVQ-LVESGG-GVVQPGRSLRLSCAASGFTF---------SNFGMH-WVRQ-A-P-G-K--G-LE-WVAVIWYD-----------GSSKYY--A--D--SV--K---GRFTISR-D---N-S--KN----T-LYLQM---RA-EDTAVYYCARSG-----------------------------QYWYWG-QGTLVTVSS</t>
  </si>
  <si>
    <t>EVQ-LVESGG-GLVQPGGSLRLSCAASGFNV---------SYSSIH-WVRQ-A-P-G-K--G-LE-WVASISSY-----------YGYTSY--A--D--SV--K---GRFTISA-D---T-S--KN----T-AYLQMNSLRA-EDTAVYYCARSYWYY-----------------------DYYAMDYWG-QGTLVTVSS</t>
  </si>
  <si>
    <t>DIQ-MTQSPSSLSASVGDRVTITCRASQSV-----------SSAVA-WYQQ-K-P-G-K--A-PK-LLIYSA----------------SSL--Y--S--GV--P---SRFSGSR-------S--GT----D-FTLTISSLQP-EDFATYYCQQYNY----------------------------WPYTFG-QGTKVEIK-</t>
  </si>
  <si>
    <t>EVQ-LVESGG-GLVQPGGSLRLSCAASGFNV---------SYSSIH-WVRQ-A-P-G-K--G-LE-WVAYIYSS-----------YGYTSY--A--D--SV--K---GRFTISA-D---T-S--KN----T-AYLQMNSLRA-EDTAVYYCARSSQY-------------------------GYDYQHWG-QGTLVTVSS</t>
  </si>
  <si>
    <t>-VQ-LQQSGA-ELVKPGASVKLSCTASGFNI---------KDYYMY-WVKQ-R-P-E-Q--G-LE-WIGRIDPA-----------NGDTKY--D--P--KF--Q---GKATITT-D---T-S--SN----T-AYLQLSSLTS-EDTAVYYCARYYFV--------------------------YAMDYWG-QGTSVTVSS</t>
  </si>
  <si>
    <t>DIV-MTQSPATLSVSPGERATLSCRASQSV-----------SSNLA-WYQQ-K-P-G-Q--A-PR-LLIYGA----------------STR--A--T--GI--P---ARFSGSG-------S--GT----E-FTLTISSLQS-EDFAVYYCQQYNN----------------------------WPYTFG-QGTKVEIK-</t>
  </si>
  <si>
    <t>EVQ-LVESGG-GLVKPGGSLRLSCAASGFTF---------SSYAMS-WVRQ-A-P-G-K--G-LE-WVSSISSS------------SYIYY--A--D--SV--K---GRFTISR-D---N-A--KN----S-LYLQMNSLRA-EDTAVYYCARLYYR-------------------------GYGMDVWG-QGTTVTVSS</t>
  </si>
  <si>
    <t>DIQ-MTQSPSSLSASVGDRVTITCRASQGIRND------LGAVYLN-WYQQ-K-P-G-K--A-PK-LLIYDA----------------SSL--E--S--GV--P---SRFSGSG-------S--GT----E-FTLTISSLQP-EDFATYYCQQSNS---------------------------CPPFTFG-PGTKVDIK-</t>
  </si>
  <si>
    <t>EVQ-LQQSGA-ELVKPGASVKLSCTASGFNI---------KDTYVH-WVKQ-R-P-E-Q--G-LE-WIGRIDPA-----------NGYTKY--D--P--KF--Q---GKATITA-D---T-S--SN----T-AYLQLSSLTS-EDTAVYYCARSRGY--------------------------SGLDYWG-QGTSVTVSS</t>
  </si>
  <si>
    <t>DIV-MSQSPSSLAVSVGEKVTMSCKSSQSLLYS-----SNQKNYLA-WYQQ-K-P-G-Q--S-PK-LLIYWA----------------STR--E--S--GV--P---DRFTGSG-------S--GT----D-FTLTISSVKA-EDLAVYYCQQYYS----------------------------YPYTFG-GGTKLEIK-</t>
  </si>
  <si>
    <t>EVQ-LVESGG-GLVQPGGSLRLSCAASGFNFS--------SSYWMS-WVRQ-A-P-G-K--G-LE-WVANIKQD-----------GSEKYY--V--D--SV--K---GRFTISR-D---N-A--KN----S-LFLQMNSLRP-EDTAVYYCATGQGW--------------------------LGFAYWG-QGTLVTVSS</t>
  </si>
  <si>
    <t>DIQ-MTQSPSSLSASVGDRVTITCRASQSI-----------GSYLN-WYQQ-K-P-G-K--A-PK-LLIYAA----------------SNL--Q--S--GV--P---SRFSGSG-------S--GT----D-FTLTISSLQP-EDFATYYCQQYYS---------------------------TYPFTFG-QGTKVEIK-</t>
  </si>
  <si>
    <t>EVQ-LVESGG-GLVQPGGSLRLSCAASGFTF---------SSYAMS-WVRQ-A-P-G-K--G-LE-WVSAISSG------------GSTYY--A--D--SV--K---GRFTISR-D---N-A--KN----S-LYLQM---RA-EDTAVYYCAKDRY---------------------------YAMDYWG-QGTLVTVSS</t>
  </si>
  <si>
    <t>DIQ-MTQSPSSLSASVGDRVTITCRASQSI-----------SSYLN-WYQQ-K-P-G-K--A-PK-LLIYDA----------------SNL--E--T--GV--P---SRFSGSG-------S--GT----D-FTFTISSLQP-EDIATYYCQQYDN----------------------------LPLTFG-GGTKVEIK-</t>
  </si>
  <si>
    <t>EVQ-LVESGG-GLVKPGGSLRLSCAASGFTF---------SDYGMS-WVRQ-A-P-G-K--G-LE-WVSTISSSS----------YYGAGY--A--D--SV--K---GRFTISR-D---D-F--N-------MFL---ELRP-EDTAVYYCARDRQ----------------------------HRRGWG--GTLVTVSS</t>
  </si>
  <si>
    <t>EIV-LTQSPATLSLSPGERATLSCRASQSV-----------SSYLA-WYQQ-K-P-G-Q--A-PR-LLIYDA----------------SNR--A--T--GI--P---ARFSGSG-------S--GT----D-FTLTISSLEP-EDFAVYYCQQRSN----------------------------WPRTFG-QGTKVEIK-</t>
  </si>
  <si>
    <t>EVQ-LVESGG-GLVQPGGSLRLSCAASGFNFS--------ATSGIS-WVRQ-A-P-G-K--G-LE-WVSYISSG------------GSTYY--A--D--SV--K---GRFTISR-D---N-A--KN----S-LYLQMNSLRA-EDTAVYYCAREVY----------------------------GGDYWG-QGTLVTVSS</t>
  </si>
  <si>
    <t>EIV-LTQSPGTLSLSPGERATLSCRASQSV-----------RSYLA-WYQQ-K-P-G-Q--A-PR-LLIYGA----------------SSR--A--T--GI--P---DRFSGSG-------S--GT----D-FTLTISRLEP-EDFAVYYCQQYGS----------------------------SPRTFG-QGTKVEIK-</t>
  </si>
  <si>
    <t>EVQ-LQQSGA-ELVKPGASVKLSCTASGFNI---------KDTYVH-WVKQ-R-P-E-Q--G-LE-WLGHIFNG------------DTIDY--A--Q--KF--Q---GRVTLTA-D---T-S--SS----T-AYMELSSLTS-EDTAVYYCARHG-----------------------------NVDYWG-QGTSVTVSS</t>
  </si>
  <si>
    <t>DIV-LTQSPASLAVSLGQRATISCRASESVDS-------YGHSFMH-WYQQ-K-S-G-Q--P-PK-LLIYRA----------------SNL--E--S--GV--P---DRFSGSG-------S--GT----D-FTLNIHPVEE-DDTAVYFCQQSKE----------------------------VPYTFG-GGTKLEIK-</t>
  </si>
  <si>
    <t>EVQ-LVESGG-GLVQPGGSLRLSCAASGFTF---------SSYWMS-WVRQ-A-P-G-K--G-LE-WVANIKQD-----------GSEKYY--V--D--SV--K---GRFTISR-D---N-A--KN----S-LYLQM---RA-EDTAVYYCARDGQSDG----------------------YYYGMDVWG-QGTTVTVSS</t>
  </si>
  <si>
    <t>DIQ-MTQSPSSLSASVGDRVTITCRASQGI-----------SSYLN-WYQQ-K-P-G-K--A-PK-LLIYAA----------------SSL--Q--S--GV--P---SRFSGSG-------S--GT----D-FTLTISSLQP-EDFATYYCQQYDY---------------------------SSLITFG-QGTKVEIK-</t>
  </si>
  <si>
    <t>QVQ-LVQSGG-GLVQPGGSLRLSCAASGYTF---------TDYSIH-WVRQ-A-P-G-K--G-LE-WVAYISSG------------GSYRY--A--D--SV--K---GRFTISR-D---N-S--KN----T-LYLQMNSLRA-EDTAVYYCARVYGYDYD-------------------YYYYYGMDVWG-QGTMVTVSS</t>
  </si>
  <si>
    <t>DIQ-MTQSPSSLSASVGDRVTITCRASQSV-----------SSAVA-WYQQ-K-P-G-K--A-PK-LLIYSA----------------SSL--Y--S--GV--P---SRFSGSR-------S--GT----D-FTLTISSLQP-EDFATYYCQQYYS----------------------------LYWTFG-QGTKVEIK-</t>
  </si>
  <si>
    <t>QVQ-LVQSGA-EVKKPGASVKVSCKASGYTF---------TSYAIH-WVRQ-A-P-G-Q--G-LE-WMGWINKN-----------SGGTNF--A--Q--KF--Q---GRVTMTR-D---T-S--IS----T-AYMELSRLRS-DDTAVYYCARASYYG------------------------SSGYTANGFEGTLVTVSS</t>
  </si>
  <si>
    <t>DIQ-MTQSPSSLSASVGDRVTITCRASQGI-----------SSYLN-WYQQ-K-P-G-K--A-PK-LLIYAA----------------SSL--Q--S--GV--P---SRFSGSG-------S--GT----D-FTLTISSLQP-EDFATYYCQQSYS---------------------------SFPFTFG-QGTKVEIK-</t>
  </si>
  <si>
    <t>EVQ-LVESGG-GLVQPGGSLRLSCAASGFTF---------SSYSMN-WVRQ-A-P-G-K--G-LE-WVAYISSS-----------SGSTYY--A--D--SV--K---GRFTISR-D---N-S--KN----T-LYLQMNSLRA-EDTAVYYCARSPYGS-----------------------NFYWYDVWG-QGTTVTVSS</t>
  </si>
  <si>
    <t>DIQ-MTQSPSSLSASVGDRVTITCRASQSV-----------SSAVA-WYQQ-K-P-G-K--A-PK-LLIYSA----------------SYR--Y--S--GV--P---SRFSGSG-------S--GT----D-FTLTISSLQP-EDFATYYCQQSYS---------------------------TPPYTFG-QGTKVEIK-</t>
  </si>
  <si>
    <t>QVQ-LVQSGA-EVKKPGASVKVSCKASGYTF---------TSYAIH-WVRQ-A-P-G-Q--R-LE-WMGWIKN-------------GGTNY--A--Q--KF--Q---GRVTMTR-D---T-S--IS----T-AYMEL---RS-EDTAVYYCARV-------------------------------KDYWG-QGTLVTVSS</t>
  </si>
  <si>
    <t>NIV-LTQSPGTLSLSPGERATLSCRASQSVS----------SSYLA-WYQQ-K-P-G-Q--A-PR-LLIYGA----------------SSR--A--T--GI--P---DRFSGSG-------S--GT----D-FTLTISRLEP-EDFAVYYCQQYGS----------------------------SPWTFG-QGTKVEIK-</t>
  </si>
  <si>
    <t>EVQ-LQQSGP-ELVKPGASMKISCKASGYSF---------TGYTMN-WVKQ-S-H-G-K--S-LE-WIGYIFYP-----------NNKTGY--N--Q--KF--K---GKATLTV-D---K-S--SS----T-AYMQLSSLTS-EDSAVYYCARYGY---------------------------SISDVWG-AGTTVTVSS</t>
  </si>
  <si>
    <t>DIV-LTQSPAIMSASPGEKVTMTCSASSSV------------SYMH-WYQQ-K-S-G-T--S-PK-RWIYDT----------------SKL--A--S--GV--P---VRFSGSG-------S--GT----S-YSLTISRMEA-EDAATYYCQQWSS----------------------------NPPTFG-GGTKLEIK-</t>
  </si>
  <si>
    <t>TGQ-LVQSGG--GVQPGRSLRLSCAASGFTF----------SAAIH-WVRQ-A-P-G-K--G-LE-WVAVISYDG----------SNKTYY--A--D--SV--K---GRFTISR-D---N-S--KN----T-LYLQMNSLRP-EDTAVYYCARDGST-------------------------TGYFDYWG-QGTLVTVSA</t>
  </si>
  <si>
    <t>DIQ-MTQSPSSLSASVGDRVTITCQASQDI-----------RKYLA-WYQQ-K-P-G-K--A-PK-LLIYDA----------------SNL--Q--S--GV--P---SRFSGSG-------S--GT----D-FTLTISSLQP-EDVATYYCQQYK-----------------------------TPPTFG-QGTKVEIK-</t>
  </si>
  <si>
    <t>EVQ-LVESGG-GLVQPGGSLRLSCAASGFNF---------SSSSIH-WVRQ-A-P-G-K--G-LE-WVASISSS-----------SGSTSY--A--D--SV--K---GRFTISA-D---T-S--KN----T-AYLQMNSLRA-EDTAVYYCARWRY---------------------------GAMDYWG-QGTLVTVSS</t>
  </si>
  <si>
    <t>DIQ-MTQSPSSLSASVGDRVTITCRASQSV-----------SSAVA-WYQQ-K-P-G-K--A-PK-LLIYSA----------------SSL--Y--S--GV--P---SRFSGSR-------S--GT----D-FTLTISSLQP-EDFATYYCQQSST----------------------------FPYTFG-QGTKVEIK-</t>
  </si>
  <si>
    <t>EVQ-LVESGA-EVKKPGSSVKVSCKASGGTF---------SSYAIS-WVRQ-A-P-G-Q--G-LE-WMGGIIIF------------GTANY--A--Q--KF--Q---GRVTITA-D---E-S--TS----T-AYMELSSLRS-EDTAVYYCAREWA---------------------------GYYDVWG-KGTTVTVSS</t>
  </si>
  <si>
    <t>EIV-LTQSPGTLSLSPGERATLSCRASQSV-----------STYLA-WYQQ-K-P-G-Q--A-PR-LLIYGA----------------SSR--A--T--GI--P---DRFSGSG-------S--GT----D-FTLTISRLEP-EDFAVYYCQQYGS----------------------------SPWTFG-QGTKVEIK-</t>
  </si>
  <si>
    <t>EVQ-LVESGG-GLVKPGGSLRLSCAASGFTF---------SSYSMN-WVRQ-A-P-G-K--G-LE-WVSAISGS-----------GGSTYY--A--D--SV--K---GRFTISR-D---N-A--KN----S-LYLQMNSLRA-EDTAVYYCARQGKG-------------------------YSGLDYWG-QGTLVTVSS</t>
  </si>
  <si>
    <t>DIQ-MTQSPSSLSASVGDRVTITCRASQSI-----------SSYLN-WYQQ-K-P-G-K--A-PK-LLIYAA----------------SSL--Q--S--GV--P---SRFSGSG-------S--GT----D-FTLTISSLQP-EDFATYYCQQSYS----------------------------TPWTFG-QGTKVEIK-</t>
  </si>
  <si>
    <t>EVQ-LVESGA-EVKKPGSSVKVSCKASGGTF---------SSYAIS-WVRQ-A-P-G-Q--G-LE-WMGGIIIF------------GTANY--A--Q--KF--Q---GRVTITA-D---E-S--TS----T-AYMEL---RS-EDTAVYYCAR---------------------------------SYWG-QGVLVAV--</t>
  </si>
  <si>
    <t>DIQ-MTQSPSSLSASVGDRVTITCRASQGI-----------SSYLN-WYQQ-K-P-G-K--A-PK-LLIYAA----------------SSL--Q--S--GV--P---SRFSGSG-------S--GT----D-FTLTISSLQP-EDFATYFCQQSYS----------------------------TPRTFG-QGTKVEIK-</t>
  </si>
  <si>
    <t>EVQ-LVESGG-GLVQPGGSLRLSCAASGFIF---------SSYDMH-WVRQ-T-T-G-P--G-LE-WVASISSS------------GDTYY--A--D--SV--K---GRFTISA-D---T-S--KN----T-AYLQM---RA-EDTAVYYCARGVR---------------------------YGSDYWG-QGTLVTVSS</t>
  </si>
  <si>
    <t>EVQ-LVESGG-GLVQPGGSLRLSCAASGFNF---------SSSSIH-WVRQ-A-P-G-K--G-LE-WVASISSS-----------SGSTSY--A--D--SV--K---GRFTISA-D---T-S--KN----T-AYLQMNSLRA-EDTAVYYCARSYWYG------------------------YWMLDYWG-QGTLVTVSS</t>
  </si>
  <si>
    <t>QVQ-LVESGG-GLVKPGGSLRLSCAASGFTF---------RNYAIT-WVRQ-A-P-G-K--G-LE-WVSAISSS------------GSTYY--A--D--SV--K---GRFTISR-D---N-A--KN----T-LYLQMNSLRA-EDTAVYYCARSGGT-------------------------VIATDYWG-QGTLVTVSS</t>
  </si>
  <si>
    <t>DIE-LTQTPSSVSAAVGGTVTINCQASEDI-----------YSN-L-WYQQ-K-P-G-Q--P-PK-LLIYAA----------------SNL--E--T--GV--P---SRFSGSG-------S--GT----E-FTLTISSLQP-EDFATYYCQQYNN----------------------------LPWTFG-QGTKVEIK-</t>
  </si>
  <si>
    <t>EVQ-LVESGG-RLVKPGGSLKLSCAASGFTF---------SGYGMS-WVRQ-T-P-D-K--R-LE-LVAGENNY-----------IGGTTY--N--P--SL--K---DRLSISK-D---K-A--TF----T-ADTKQFSLQW-DDDTYYYMNL----------------------------------YWG-AGTTVTVSS</t>
  </si>
  <si>
    <t>QSV-LTQPPS-ASGTPGQRVTISCSGSSSNI----------GSNVY-WYQQ-F-P-G-T--A-PK-LLIYDN----------------NQR--P--S--GV--P---DRFSGSK-------S--GT----S-ASLAISGLQS-EDEADYYCAA---------------------------------WD------------</t>
  </si>
  <si>
    <t>EVQ-LQQSGA-ELVKPGASVKLSCTASGFNI---------KDTYMY-WVKQ-R-P-E-Q--G-LE-WIGRIDPA-----------NGNTKY--D--P--KF--Q---GKATITA-D---T-S--SN----T-AYLQLSSLTS-EDTAVYYCARSRGY--------------------------GYFDYWG-QGTTLTVSS</t>
  </si>
  <si>
    <t>DIV-LTQSPASLAVSLGQRATISCRASKSVSAS------NQKNYLA-WYQQ-K-P-G-Q--P-PK-LLIYAA----------------SNL--E--S--GI--P---ARFSGSG-------S--GT----D-FTLNIHPVEE-EDTATYYCQQSYS----------------------------FPFTFG-SGTKLEIK-</t>
  </si>
  <si>
    <t>QVQ-LQQSGA-ELVRPGASVKLSCKASGYTF----------TTYFH-WVKQ-R-P-E-Q--G-LE-WIGWIDPY-----------NGGTTY--R--D--D---K---GRFTISR-D---N-Q--SI----L-TELQMSSLKA-SDTAMYYCARSPGRY-----------------------DLAWFAYWG-QGTLVTVSS</t>
  </si>
  <si>
    <t>DIL-MTQSPSSMSVSLGDTVSITCHASQGI-----------SSNIG-WLQQ-K-P-G-K--S-FM-GL-YIA----------------TNL--Q--T--GV--P---SRFSGSG-------S--GA----D-YSLTISSLES-EDFADYYCLQYD------------------------------YRTFG-GGTKLTVL-</t>
  </si>
  <si>
    <t>EVQ-LQQSGP-ELVKPGASVKMSCKASGYTF---------TSYWMH-WVKQ-S-H-G-K--S-LE-WIGYINPN-----------SGGTNY--N--Q--KF--K---DKATLTV-D---K-S--SS----T-AYMQL---TS-EDSAVYYCARERYYGY---------------------FNNYAMDYWG-QGTSVTVSS</t>
  </si>
  <si>
    <t>DIV-LTQSPASLAVSLGQRATISCRASESVDN-------TYGSSMN-WFQQ-K-P-G-Q--P-PK-LLIYLA----------------SNL--E--S--GV--P---ARFSGSG-------S--RT----D-FTLTIDPVEA-DDAATYYCQQNNE----------------------------DPWAFG-GGTKLEIK-</t>
  </si>
  <si>
    <t>QVQ-LVQSGA-EVKKPGSSVKVSCKASGGTF---------SSYAIS-WVRQ-A-P-G-Q--G-LE-WMGGIIIF------------GTANY--A--Q--KF--Q---GRVTITA-D---E-S--TS----T-AYMEL---RS-EDTAVYYCARRGL----------------------------DVDIWG-QGTMVTVSS</t>
  </si>
  <si>
    <t>EVQ-LVESGG-GLVQPGGSLRLSCAASGFTF---------SSYWMS-WVRQ-A-P-G-K--G-LE-WVAYISSG-----------GGRFYY--P--D--TV--K---GRFTISR-D---N-A--KN----S-LYLQM---KT-EDTAVYYCARPQDY-------------------------GNYFDYWG-QGTLVTVSS</t>
  </si>
  <si>
    <t>DIV-MTQSPLSLPVTPGEPASISCRSSQSLLHS------NGYNYLD-WYLQ-K-P-G-Q--S-PQ-LLIYLG----------------SNR--A--S--GV--P---DRFSGSG-------S--GT----D-FTLKISRVEA-EDVGVYYCMQALQ----------------------------TPFTFG-PGTKVDIK-</t>
  </si>
  <si>
    <t>EVQ-LVESGG-GLVQPGGSLRLSCAASGFTF---------SNYGMN-WVRQ-A-P-G-K--G-LE-WVASISSS-----------SGSTSY--A--D--SV--K---GRFTISA-D---T-S--KN----T-AYLQMNSLRA-EDTAVYYCARYISSYS----------------------YWSYYDYWG-QGTLVTVSS</t>
  </si>
  <si>
    <t>DIQ-MTQSPSSLSASVGDRVTITCRASQSV-----------SSAVA-WYQQ-K-P-G-K--A-PK-LLIYSA----------------SSL--Y--S--GV--P---SRFSGSR-------S--GT----D-FTLTISSLQP-EDFATYYCQQYSS----------------------------TPITFG-QGTKVEIK-</t>
  </si>
  <si>
    <t>EVQ-LVESGG-GLVQPGGSLRLSCAASGFNFS--------DSYMIH-WVRQ-A-P-G-K--G-LE-WVASISSS-----------SGSTSY--A--D--SV--K---GRFTISA-D---T-S--KN----T-AYLQMNSLRA-EDTAVYYCARHGKYD------------------------WYAFDYWG-QGTLVTVSS</t>
  </si>
  <si>
    <t>DIQ-MTQSPSSLSASVGDRVTITCRASQSV-----------SSAVA-WYQQ-K-P-G-K--A-PK-LLIYSA----------------SSL--Y--S--GV--P---SRFSGSR-------S--GT----D-FTLTISSLQP-EDFATYYCQQYLY---------------------------YNLITFG-QGTKVEIK-</t>
  </si>
  <si>
    <t>QVQ-LQQSGA-ELVKPGSSVKMSCKASGYSF----------TSY---WVKQ-S-L-E-Q--V-ME-LNMASRTY-----------PGDKYN--E--K--KF--K---GKATLTA-D---K-S--SS----T-AYMELRSLTS-EDSAIYYCTRGGKY--------------------------GYFDYWG-QGTTLTVSS</t>
  </si>
  <si>
    <t>DIQ-MTQSPLSLSTSVGEKVTMSCKSSQNQ-----------KNYLS-WYQQ-K-P-G-Q--P-PK-LLIYWA----------------STR--H--P--GI--P---DRFSGSG-------Y--GT----D-FTLTISSLQA-EDVAVYYCQQYYS----------------------------TPYTFG-GGTKLEIK-</t>
  </si>
  <si>
    <t>EVQ-LVESGG-GLVQPGGSLRLSCAASGFNV---------SYSSIH-WVRQ-A-P-G-K--G-LE-WVASIYSY-----------YGYTSY--A--D--SV--K---GRFTISA-D---T-S--KN----T-AYLQMNSLRA-EDTAVYYCARSDYGLY----------------------SGYYYDYWG-QGTLVTVSS</t>
  </si>
  <si>
    <t>DIQ-MTQSPSSLSASVGDRVTITCRASQSV-----------SSAVA-WYQQ-K-P-G-K--A-PK-LLIYSA----------------SSL--Y--S--GV--P---SRFSGSR-------S--GT----D-FTLTISSLQP-EDFATYYCQQHGY---------------------------SPPITFG-QGTKVEIK-</t>
  </si>
  <si>
    <t>EVQ-LVESGG-GLVKPGGSLRLSCAASGFTF---------SNYAMS-WVRQ-A-P-G-K--G-LE-WVSAISGS-----------GGSTYY--A--D--SV--K---GRFTISR-D---N-A--KN----S-LYLQMNSLRA-EDTAIYYCARGSSR--------------------------VTFDYWG-QGTLVTVSS</t>
  </si>
  <si>
    <t>DIQ-MTQSPSSLSASVGDRVTITCRASQSI-----------SSYLN-WYQQ-K-P-G-K--A-PK-LLIYAA----------------SSL--Q--S--GV--P---SRFRGSG-------S--GT----D-FTLTISSLQP-EDFATYYCQQSYS----------------------------TPYTFG-QGTKVEIK-</t>
  </si>
  <si>
    <t>QVQ-LQQSGA-ELARPGASVKLSCKASGYTF---------SDYWMH-WVKQ-R-P-G-Q--G-LE-WIGYINPY-----------NGGTSY--N--Q--KF--K---GKATLTA-D---K-S--SS----T-AYMQLSSLTS-EDSAVYYCARRSPAPEYF-----------------GHYYVNAMDYWG-QGTSVTVSS</t>
  </si>
  <si>
    <t>DIQ-MTQSPSSLSASLGDRVTISCRASQDI-----------SNFLA-WYQQ-K-P-D-G--T-VK-LLIYYT----------------SRL--H--S--GV--P---SRFSGSG-------S--GT----G-FTLTISSLQP-EDFATYYCQQSYS----------------------------SPPTFG-QGTKVEIK-</t>
  </si>
  <si>
    <t>EVQ-LVESGG-GLVQPGGSLRLSCAASGFNI---------SSSSIH-WVRQ-A-P-G-K--G-LE-WVASISSS-----------SGSTSY--A--D--SV--K---GRFTISA-D---T-S--KN----T-AYLQMNSLRA-EDTAVYYCARAQGYSF----------------------WYSGLDYWG-QGTLVTVSS</t>
  </si>
  <si>
    <t>DIQ-MTQSPSSLSASVGDRVTITCRASQSV-----------SSAVA-WYQQ-K-P-G-K--A-PK-LLIYSA----------------SSL--Y--S--GV--P---SRFSGSR-------S--GT----D-FTLTISSLQP-EDFATYYCQQYN-----------------------------YRPGFG-QGTKVEIK-</t>
  </si>
  <si>
    <t>QVQ-LQQSGP-ELVKPGASVKMSCKASGYTF---------TSYWMH-WVKQ-R-P-G-Q--G-LE-WIGYINPS------------SNTGY--N--E--VF--K---GRVTMTR-D---T-S--IN----T-AYMQL---TS-EDSAVYYCARQKI----------------------------YYDYWG-QGTLVTVSS</t>
  </si>
  <si>
    <t>DIV-MSQSPSSLPA-AGVTLRLSCRASENI-----------YKYLA-WYQQ-K-P-G-Q--S-PK-LLIYWA----------------STR--H--P--GV--P---DRFTGSG-------S--GT----D-FTLTISSVQA-EDLAVYYCQHKYT---------------------------YSPPTFG-AGTKLEIK-</t>
  </si>
  <si>
    <t>QVQ-LVQSGA-EVKKPGASVKVSCKASGYTF---------TSYGIS-WVRQ-A-P-G-Q--G-LE-WMGWISAY-----------NGNTNY--A--Q--KL--Q---GRVTMTT-D---T-S--TS----T-AYMELRSLRS-DDTAVYYCARDYDYSY----------------------YRYGMDVWG-QGTVVTVSS</t>
  </si>
  <si>
    <t>EIV-MTQSPATLSVSPGERATLSCRASQSV-----------SSYLA-WYQQ-K-P-G-Q--A-PR-LLIYGA----------------STR--A--T--GI--P---ARFSGSG-------S--GT----E-FTLTISSLQS-EDFAVYYCQQYNN---------------------------WPPWTFG-QGTKVEIK-</t>
  </si>
  <si>
    <t>DIV-MTQSPATLSVTPGDSVSLSCRASQSI------------SNLA-WYQQ-K-S-H-E--S-PR-LLIKYA----------------SQS--I--S--GI--P---SRFSGSG-------S--GT----D-FTLSINSVET-EDFGMYFCQQSNS----------------------------WPYTFG-GGTKLEIK-</t>
  </si>
  <si>
    <t>QVQ-LQQSGA-ELARPGASVILSCKASGYTF---------TSYWIE-WVKQ-R-P-G-Q--G-LE-WIGAIYPG-----------DGHTKY--N--E--KF--K---GKATLTA-D---K-S--SS----T-AYMQLSSLTS-EDSAVYYCARIYYGR-----------------------YDSSYFYWG-QGTSVTVSS</t>
  </si>
  <si>
    <t>SYV-LTQPPS-VSAAPGQRVTISCRSSGSNI---------GSNYVY-WYQQ-F-P-G-Q--A-PK-LLIYDN----------------NNR--P--S--GV--P---DRFSGSK-------S--GT----S-ASLAITGLQA-EDEADYYCQSFDS---------------------------SLSWVFG-GGTKLTVL-</t>
  </si>
  <si>
    <t>EVQ-LVESGG-GLVQPGGSLRLSCAASGFTF---------SSYWMS-WVRQ-A-P-G-K--G-LE-WVSTINRSG----------GTSKHY--A--D--SV--K---GRFTISR-D---N-A--KN----T-LYLQMNSLRA-EDTAIYYCARFGRW-------------------------LYGFAYWG-QGTLVTVSS</t>
  </si>
  <si>
    <t>DVV-MTQSPL--SLTPGEPASVSCRSSQSLVS--------HYNAVF-WYQQ-K-P-G-Q--S-PK-LLIYLA----------------SNL--E--S--GV--P---SRFSGSG-------S--GT----D-FTLSISRVEA-EDVGVYYCQQGQS----------------------------FPFTFG-PGTKVDIK-</t>
  </si>
  <si>
    <t>QVQ-LVQSGA-EVKKPGASVKVSCKASGYTF---------TSYGIS-WVRQ-A-P-G-Q--G-LE-WMGWISAY-----------NGNTNY--A--Q--KL--Q---GRVTMTT-D---T-S--TS----T-AYMELRSLRS-DDTAVYYCARGGVY--------------------------FYFDYWG-QGTTVTVSS</t>
  </si>
  <si>
    <t>DIV-MTQSPSSLAVSLGERATINCKSSQSVLYS------SRSSYMH-WYQQ-K-P-G-Q--P-PK-LLIYWA----------------STR--E--S--GV--P---DRFSGSG-------S--GT----D-FTLTISSLQA-EDVAVYYCQQYYS----------------------------TPYTFG-QGTKLEIK-</t>
  </si>
  <si>
    <t>EVQ-LQQSGP-ELVKPGASMKISCKASGYSF---------TGYTMN-WVKQ-S-H-G-K--N-LE-WIGLINPN-----------NGGTTY--N--Q--KF--K---GKATLTV-D---K-S--SS----T-AYMELLSLTS-EDSAVYYCARSYYD-------------------------YGYFDYWG-QGTTLTVSS</t>
  </si>
  <si>
    <t>DIV-MSQSPSSLAVSLGERATLSCRASQSVS----------SSYLA-WYQQ-K-P-G-Q--S-PK-LLIYWA----------------STR--E--S--GV--P---DRFSGSG-------S--GT----D-FTLTISSVQA-EDLAVYYCQQYYS----------------------------YPLTFG-GGTKLEIK-</t>
  </si>
  <si>
    <t>EVQ-LQQSGA-ELVKPGASVKLSCTASGFNI---------KDTYVH-WVKQ-R-P-E-Q--G-LE-WIGRIDPA-----------NGYTKY--D--P--KF--Q---GKATITA-D---T-S--SN----T-AYLQLSSLTS-EDTAVYYCARSLGN-------------------------YYGYDYWG-QGTSVTVSS</t>
  </si>
  <si>
    <t>EVQ-LVESGG-GLVQPGGSLRLSCAASGFTF---------SSYAMS-WVRQ-A-P-G-K--G-LE-WVSAISPD------------SDTYY--A--D--SV--K---GRFTISR-D---N-S--KN----T-LYLQMNSLRA-EDTAVYYCARLGV----------------------------VGVNWG-QGTLVTVSS</t>
  </si>
  <si>
    <t>DIQ-MTQSPSSLSASVGDRVTITCRASQSI-----------SNWLA-WYQQ-K-P-G-K--A-PK-LLIYAA----------------SNL--E--T--GV--P---SRFSGSG-------S--GT----D-FTLTISSLQP-EDFATYYCQQYSS----------------------------APWTFG-QGTKVEIK-</t>
  </si>
  <si>
    <t>DIV-LTQSPATLSVSPGERATLSCRASQSV-----------RSYLA-WYQQ-K-P-G-Q--A-PR-LLIYGA----------------STR--A--T--GI--P---ARFSGSG-------S--GT----E-FTLTISSLQS-EDFAVYYCQQYNN---------------------------WPPRTFG-GGTKVEIK-</t>
  </si>
  <si>
    <t>QVQ-LVQSGA-EVKKPGASVKVSCKASGYTF---------TSYGIS-WVRQ-A-P-G-Q--G-LE-WMGWISTY-----------NGNTNY--A--Q--KF--Q---GRVTMTT-D---T-S--TT----T-GYMELRRLRS-DDTAVYYCAREYGN-------------------------YYGFDVWG-QGTTVTVSS</t>
  </si>
  <si>
    <t>DIQ-MTQSPSTLSASVGDRVTITCRASQSI-----------SSWLA-WYQQ-R-P-G-K--A-PK-LLIYKA----------------SSL--E--S--GV--P---SRFSGSG-------S--GT----E-FTLTISSLQP-DDFATYYCQQSNG----------------------------YPYTFG-QGTKVEIK-</t>
  </si>
  <si>
    <t>QVK-QVVSGG-GVKPGATSLRLSCAASGFDF----------DGFLY-WVRQ-A-P-G-Q--G-LE-WIGRIGGD------------SADKY--S--P--KF--Q---GKATITV-D---D-S--KN----T-VYLQINSLRA-DDTAVYFCAREATLWYD-------------------AHFGDNHFHWG-QGASISSAV</t>
  </si>
  <si>
    <t>DIQ-MTQSPSTLSASVGDRVTITCRASQSV-----------SSAVA-WYQQ-K-P-G-K--A-PK-LLIYSA----------------SSL--Y--S--GV--P---SRFSGSR-------S--GT----D-FTLTISSLQP-EDFATYYCQQYSS----------------------------YPITFG-QGTKVEIK-</t>
  </si>
  <si>
    <t>QVQ-LVQSGP-EVKKPGTSVKVSCKASGFTFS--------NQYWVQ-WVRQ-A-R-G-Q--R-LE-WIGWMNWF------------GNNRY--A--Q--KF--Q---GRVTMTR-DD--T-S--TS----T-AYMELSSLRS-EDTAVYYCARLQDSSGS--------------------YYHNWFDVWG-QGTTVTVS-</t>
  </si>
  <si>
    <t>QSA-LTQPAS-VSGSPGQSITISCTGTSSDVG--------GYNYLS-WYQQ-R-P-G-S--A-PK-LLIYKV----------------SNR--P--S--GV--S---NRFSGSK-------S--GN----T-ASLTISGLQA-EDEADYYCSSYTT----------------------------TSRVFG-TGTKVTVL-</t>
  </si>
  <si>
    <t>QVQ-LVQSGA-EVKKPGSSVKVSCKASGGTF---------SSYAIS-WVRQ-A-P-G-Q--G-LE-WMGGIIIF------------GTANY--A--Q--KF--Q---GRVTITA-D---K-S--TS----T-AYMEL---RS-EDTAVYYCARGTS----------------------------DYDYWG-QGTLVTVSS</t>
  </si>
  <si>
    <t>EVQ-LVESGG-GLVQPGGSLRLSCAASGFNV---------SYSSIH-WVRQ-A-P-G-K--G-LE-WVASIYSY-----------SGYTSY--A--D--SV--K---GRFTISA-D---T-S--KN----T-AYLQMNSLRA-EDTAVYYCARSRSYYSWY------------------GRLGYGMDVWG-QGTTVTVSS</t>
  </si>
  <si>
    <t>DIQ-MTQSPSSLSASVGDRVTITCRASQSV-----------SSAVA-WYQQ-K-P-G-K--A-PK-LLIYSA----------------SSL--Y--S--GV--P---SRFSGSR-------S--GT----D-FTLTISSLQP-EDFATYYCQQSSR----------------------------LPPTFG-QGTKVEIK-</t>
  </si>
  <si>
    <t>DIQ-MTQSPSSLSASVGDRVTITCRASQSV-----------SSAVA-WYQQ-K-P-G-K--A-PK-LLIYSA----------------SSL--Y--S--GV--P---SRFSGSR-------S--GT----D-FTLTISSLQP-EDFATYYCQQSST---------------------------YVPVTFG-QGTKVEIK-</t>
  </si>
  <si>
    <t>-VQ-LVQSGA-EVKKPGASVKVSCKASGYTF---------TGYYMH-WVRQ-A-P-G-Q--G-LE-WMGWINNS------------GGTNY--A--Q--KF--Q---GRVTMTR-D---T-S--TS----T-VYMELSSLRS-EDTAVYYCARHGS----------------------------SYDYWG-QGTLVTV--</t>
  </si>
  <si>
    <t>DIQ-MTQSPSSLSASVGDRVTITCRASQNI-----------SSYLN-WYQQ-K-P-G-K--A-PK-LLIYAA----------------SSL--Q--S--GV--P---SRFSGSG-------S--GT----D-FTLTISSLQP-EDFATYYCQQSYS----------------------------TPPTFG-QGTKVEIK-</t>
  </si>
  <si>
    <t>EVK-LVESGG-GLVKPGGSLKLSCAASGFSF---------SDYDMS-WVRQ-T-P-E-K--R-LE-WVATISGG------------GSTYY--P--D--TV--K---GRFTISR-D---N-A--KN----T-LYLQMSSLKS-EDTAMYYCARHDR----------------------------LDDYWG-QGTTLTVSS</t>
  </si>
  <si>
    <t>DIV-MSQSPSSLAVSAGEKVTMSCKSSQSL-----------LNYLG-WYQQ-K-P-G-Q--S-PK-LLIYWA----------------STR--E--S--GV--P---DRFTGSG-------S--GT----D-FTLTISSVQA-EDLADYFCQQHYS----------------------------TPLTFG-AGTKLELK-</t>
  </si>
  <si>
    <t>QVQ-LVQSGA-EVKKPGASVKVSCQTFTGYTF--------TDFYIH-WVRQ-A-P-G-Q--G-LE-WMGVNNF-------------GNTGY--A--Q--KF--Q---GRVTMTR-TIT-T-D--TS----T-AYMDLSSLRS-DDTAVYYCARQGYSLSSG------------------YSYYYGMDVWG-QGTTVTVSS</t>
  </si>
  <si>
    <t>DIV-MTQSPSSLSASVGDRVTITCQASQDI-----------SNYLN-WYQQ-K-P-G-K--A-PK-LLIYDA----------------SSL--Q--S--GV--P---SRFSGSG-------S--GT----D-FTLTISSLQP-EDFATYYCQQSYS----------------------------TPWTFG-QGTKVEIK-</t>
  </si>
  <si>
    <t>QVQ-LVQSGA-EVKKPGSSVKVSCKASGYTF---------TDINIH-WVRQ-A-R-G-Q--G-LE-WMGWYVKVG----------NGNTKY--A--Q--KF--Q---GRVTMTR-D---T-S--AS----T-AYMELSSLKS-EDTAVYYCARDPGW-------------------------GAGFDYWG-QGTLVTVSS</t>
  </si>
  <si>
    <t>-IV-LTQSPATLSVSPGERATLSCRASQSV-----------SSNLH-WYQQ-K-P-G-Q--A-PR-LLIYGA----------------STR--A--T--GI--P---ARFSGSG-------S--GT----E-FTLTISSLQS-EDFAVYYCQQYNN---------------------------WPPWTFG-QGTKVEIK-</t>
  </si>
  <si>
    <t>QVQ-LVQSGA-EVKKPGSSVKVSCKASGGTF---------SNYAIS-WVRQ-A-P-G-Q--G-LE-WMGRIIPI-----------LGIANY--A--Q--KF--Q---GRVTITA-D---E-S--TS----T-AYMELSSLRS-EDTAVYYCARAGYW--------------------------YYFDYWG-QGTLVTVSS</t>
  </si>
  <si>
    <t>DIQ-MTQSPSSLSASVGDRVTITCRASQGI-----------SSYLA-WYQQ-K-P-G-K--A-PK-LLIYAA----------------SSL--Q--S--GV--P---SRFSGSG-------S--GT----D-FTLTISSLQP-EDFATYYCQQYKY----------------------------VPVTFG-QGTKVEIK-</t>
  </si>
  <si>
    <t>QVQ-LQQSGP-ELVRPGASVKMSCKASGYTF---------TSYWMH-WVKQ-R-P-G-Q--G-LE-WIGMIPYN------------GDTSY--N--Q--KF--K---GKATLTV-D---K-S--ST----T-AYMELRSLTS-EDSAVYYCAREGQYD------------------------YYAMDYWG-QGTSVTVSS</t>
  </si>
  <si>
    <t>DIV-MTQSPSSLSASIGDRVTITCKASQDV-----------SDYLS-WLQQ-K-P-D-G--T-IK-RLIYRA----------------SNL--D--S--GV--P---KRFSGSR-------S--GS----D-YSLTISSLES-EDFADYYCLQYW-----------------------------TFPTFG-GGTKLEIK-</t>
  </si>
  <si>
    <t>EVQ-LVESGG-GLVQPGGSLRLSCAASGFTF---------SSFGMH-WVRQ-A-P-G-K--G-LE-WVSAISGG------------GSTYY--A--D--SV--K---GRFTISR-D---N-S--KN----T-LYLQM---RA-EDTAVYYCARDLR----------------------------AGDVWG-KGTTVTVSS</t>
  </si>
  <si>
    <t>DIQ-MTQSPSSLSASVGDRVTITCRASQGI-----------SNYLA-WYQQ-K-P-G-K--A-PK-LLIYAA----------------SSL--Q--S--GV--P---SRFSGSG-------S--GT----D-FTLTISSLQP-EDFATYYCQQSYS----------------------------TPWTFG-QGTKVEIK-</t>
  </si>
  <si>
    <t>QLV-LTQSPSFLSASVGDKVTITCRASQGI-----------SSYLA-WYQQ-K-P-G-K--A-PK-LLIYLA----------------SNL--E--S--GV--P---SRFSGSR-------S--GT----D-FTLTISSLQP-EDFATYYCQQGE-----------------------------YPFTFG-PGTKVEIK-</t>
  </si>
  <si>
    <t>QVQ-LQESGP-GLVKPSETLSLTCAVSGGSIS--------SSNWWS-WIRQ-P-P-G-K--G-LE-WIGSIYYS------------GSTNY--N--P--SL--K---SRVTISV-D---T-S--KN----Q-FSLKLSSVTA-ADTAVYYCARGR-----------------------------GYDHWG-QGTLVTVSS</t>
  </si>
  <si>
    <t>EIV-MTQSPATLSLSPGERATLSCRASQSV-----------SSYLA-WYQQ-K-P-G-Q--A-PR-LLIYDA----------------SNR--A--T--GI--P---ARFSGSG-------S--GT----D-FTLTISSLEP-EDFAVYYCQQRSN----------------------------WPLTFG-GGTKVEIK-</t>
  </si>
  <si>
    <t>-VQ-LLESGG-GLVQPGGSLRLSCAASGFTF---------SDYAMH-WVRQ-A-P-G-K--G-LE-WVSSIDS-------------SGKYY--A--D--SV--K---GRFTISR-D---N-S--KN----T-LYLQM---RA-EDTAVYYCARPQ-----------------------------GYDYWG-QGTLVTV--</t>
  </si>
  <si>
    <t>-SV-LTQAPS-VSAAPGQKATISCSGSSSNI---------GNNYVS-WYQQ-L-P-G-T--A-PK-LLIYDN----------------NKR--P--S--GI--P---DRFSGSK-------S--GT----S-ATLGITGLQT-GDEADYYCGTWD-----------------------------SLSVFG-GGTKLTVL-</t>
  </si>
  <si>
    <t>EVQ-LQQSGP-ELVKPGASVKMSCKASGYTF---------TSYWMH-WVKQ-S-H-G-K--S-LE-WINIYNGY-----------TGVTKY--N--Q--KF--K---GKATLTV-D---K-S--SS----T-AYMELRSLTS-EDSAVYYCARDRS---------------------------DYFDYWG-QGTTLTVSS</t>
  </si>
  <si>
    <t>DIV-LTQSPASLAVSLGQKATISCKSSQSLLDS-----DSGYSYMH-WYQQ-K-P-G-Q--P-PK-LLIYLA----------------SNL--E--S--GI--P---ARFSGSG-------S--GT----D-FTLNIHPVEE-EDAATYYCQQSNE----------------------------DPWTFG-GGTKLEIK-</t>
  </si>
  <si>
    <t>EVQ-LVESGG-GLVQPGGSLRLSCAASGFTF---------SSYAMS-WVRQ-A-P-G-K--G-LE-WVSVIYDG------------STIYY--A--D--SV--K---GRFTISR-D---N-S--KN----T-LYLQMNSLRA-EDTAVYYCARDRYVSS----------------------GYYYFDYWG-QGTLVTVSS</t>
  </si>
  <si>
    <t>DIV-MTQSPSSLSASVGDRVTITCRASQSI-----------SSYLN-WYQQ-K-P-G-K--A-PK-LLIYAA----------------SSL--Q--S--GV--P---SRFSGSG-------S--GT----D-FTLTISSLQP-EDFATYYCQQSHE----------------------------DPYTFG-QGTKVEIK-</t>
  </si>
  <si>
    <t>EVQ-LVESGG-GLVQPGGSLRLSCAASGFTF---------SSYDMS-WVRQ-A-P-G-K--G-LE-WVANIKQD-----------GSEKYY--V--D--SV--K---GRFTISR-D---N-A--KN----S-LYLQMNSLRA-EDTAVYYCARDLK---------------------------GWGDFWG-QGTLVTVSS</t>
  </si>
  <si>
    <t>QVQ-LVESGG-GVVQPGRSLRLSCAASGFTF---------SNYAMH-WVRQ-A-P-G-K--G-LE-WVAVISYD-----------GSNKYY--A--D--SV--K---GRFTISR-D---N-S--KN----T-LYLQMNSLRA-EDTAVYYCARQQQV--------------------------VYFDYWG-QGTTVTVSS</t>
  </si>
  <si>
    <t>DIQ-LTQSPSSLSASVGDRVTITCRASQSI-----------SSYLN-WYQQ-K-P-G-K--A-PK-LLIYAA----------------SSL--Q--S--GV--P---SRFSGSG-------S--GT----D-FTLTISSLQP-EDFATYYCQQYSY----------------------------VPPTFG-QGTKVEIK-</t>
  </si>
  <si>
    <t>-VQ-LQQSGA-ELARPGASVKLSCKASGYTF----------TYWMN-WVKQ-R-P-G-Q--G-LE-WIGDIYPG-----------SGSTNY--N--E--KF--K---GKATFTA-D---T-S--SN----T-AYMQLSSLTS-EDSAVYYCTRPYGY-------------------------FYAMDYWG-QGTSVTVSS</t>
  </si>
  <si>
    <t>DIL-MTQSPSSMSVSLGDTVSITCHASQGISS--------NIGALA-WYQQ-K-P-G-Q--S-PK-LLIYKA----------------SNL--E--T--GV--S---SRFTGSG-------Y--GT----S-FTLTISSV-P-EDVATYYCQQHYT----------------------------TPPTFG-AGTKLELK-</t>
  </si>
  <si>
    <t>QVQ-LVQSGA-EVKKPGASVKVSCKASGYTF---------TGYYMH-WVRQ-A-P-G-Q--G-LE-WMGWINPN-----------SGGTNY--A--Q--KF--Q---GRVTMTR-D---T-S--IS----T-AYMEL---RS-DDTAVYYCARRGEG-------------------------STYFDYWG-QGTLVTVSS</t>
  </si>
  <si>
    <t>QVQ-LVQSGA-EVKKPGASVKVSCKASGYTF---------TSYWMH-WVRQ-A-P-G-Q--G-LE-WMGVILG-------------GDTNY--A--Q--KF--Q---GRVTMTR-D---T-S--IN----T-AYMEL---RS-EDTAVYYCARLQG---------------------------VGYDYWG-QGTLVTVSS</t>
  </si>
  <si>
    <t>DIQ-MTQSPSSLSASVGDRVTITCRASQSI-----------SSWLA-WYQQ-K-P-G-K--V-PK-LLIYAA----------------SSL--Q--S--GV--P---SRFSGSG-------S--GT----D-FTLTISSLQP-EDFATYYCQQYNS----------------------------APWTFG-QGTKVEIK-</t>
  </si>
  <si>
    <t>EVQ-LVQSGA-EVKKPGESLKISCKGSGYSF---------TSYWIG-WVRQ-M-P-G-K--G-LE-WMGRIDPS-----------DSYTNY--S--P--KF--Q---GHVTMTR-D---T-S--IS----T-AYLQWSSLKA-SDTAMYYCARRGD----------------------------YFDYWG-QGTLVTVSS</t>
  </si>
  <si>
    <t>DIQ-MTQSPSSLSASVGDRVTITCRASQTI------------KYLN-WYQQ-K-P-G-K--A-PK-LLIYAA----------------SSL--Q--S--GV--P---SRFSGSG-------S--GT----D-FTLTISSLQP-EDFATYICQQSYS----------------------------TPWTFG-QGTKVEIK-</t>
  </si>
  <si>
    <t>QVQ-LVQSGA-EVKKPGSSVKVSCKASGGTF---------SSYAIS-WVRQ-A-P-G-Q--G-LE-WMGGIIFP-----------SDISAY--A--Q--KF--Q---GRVTITA-D---K-S--TS----T-AYMEL---RS-EDTAVYYCARER-----------------------------DYDD-G-QGTLVTVSS</t>
  </si>
  <si>
    <t>DIQ-MTQSPSSLSASVGDRVTITCRASQSI-----------SSYLN-WYQQ-K-P-G-K--A-PK-LLIYAA----------------SSL--Q--S--GV--P---SRFSGSG-------S--GT----D-FTLTISSLQP-EDFATYYCQQSY-----------------------------NLPTFG-QGTRLEIK-</t>
  </si>
  <si>
    <t>QVQ-LQESGP-GLVKPSETLSLTCTVSGGSIS--------SGSYWS-WIRQ-P-P-G-K--G-LE-WIGYIYYS------------GSTNY--N--P--SL--K---SRVTISV-D---T-S--KN----Q-FSLKLSSVTA-ADTAVYYCARAPEYY------------------------YYGMDVWG-QGTTVTVSS</t>
  </si>
  <si>
    <t>DIQ-MTQSPSSLSASVGDRVTITCRASQSI-----------SSYLN-WYQQ-K-P-G-K--A-PK-LLIYAA----------------SSL--Q--S--GV--P---SRFSGSG-------S--GT----D-FTLTISSLQP-EDFAAYYCQQSYS----------------------------TPRTFG-QGTKVEIK-</t>
  </si>
  <si>
    <t>EVQ-LVESGG-GLVKAGGSLILSCGVSNFRI---------SAHTMN-WVRR-V-P-G-G--G-LE-WVASISS--------------STYY--A--D--SV--E---GRFTISR-D---N-P--KN----T-LYLQM---KS-EDTAMYYCARGEG----------------------------YYDVWG-AGTTVTVSS</t>
  </si>
  <si>
    <t>DIV-LTQSPATLSVTPGISVSLSCRASQTI-----------SNYLA-WYQQ-K-P-G-E--A-PK-LLIYK-----------------ASN--Q--S--GV--P---GRFSGSG-------S--GT----D-FTLTISSLEP-EDFAVYYCQQYD-----------------------------YSFSFG-GGTKVEIK-</t>
  </si>
  <si>
    <t>QVQ-LVQSGA-EVKKPGASVKVSCKASGYTF---------TNYGMH-WVRQ-A-P-G-Q--R-LE-WMGWISAY-----------NGNTNY--A--Q--KL--Q---GRVTMTT-D---T-S--TS----T-AYMELRSLRS-DDTAVYYCARDGA----------------------------TYDYWG-QGTLVTVSS</t>
  </si>
  <si>
    <t>DIV-MTQSPDSLAVSLGERATINCKSSQSVLYS-----SNNKNYLA-WYQQ-K-P-G-Q--P-PK-LLIYWA----------------STR--E--S--GV--P---DRFSGSG-------S--GT----D-FTLTISSLQA-EDVAVYYCQQYY-----------------------------SPYTFG-QGTKLEIK-</t>
  </si>
  <si>
    <t>DIQ-MTQSPSTLSASVGDRVTITCRASQSI-----------SSWLA-WYQQ-K-P-G-K--A-PK-LLIYDA----------------SNL--E--S--GV--P---SRFSGSG-------S--GT----E-FTLTISSLQP-DDFATYYCQQYYY---------------------------SSLVTFG-QGTKVEIK-</t>
  </si>
  <si>
    <t>QVQ-LQQPGA-ELVKPGASVKLSCKASGYTF---------TSYWMH-WVKQ-R-P-G-Q--G-LE-WIGWIGYT------------SDTYY--N--Q--RF--KAQ-VKATLTA-D---T-S--SS----T-AYMQLRSLTS-EDSAVYYCTRSPY---------------------------RTFDYWG-QGTLVTVSA</t>
  </si>
  <si>
    <t>DIQ-MTQTTSSLSASLGDRVTISCRASQDI-----------SNYLN-WYQQ-K-P-D-G--T-VK-LLIYYT----------------SRL--H--S--GV--P---SRFSGSG-------S--GT----D-YSLTISNLEQ-EDIATYFCQQGNT----------------------------LPFTFG-SGTKLEIK-</t>
  </si>
  <si>
    <t>QVQ-LVQSGA-EVKKPGSSVKVSCKASGYTF---------TSYAMH-WVRQ-A-R-G-QAPG-LE-WMGYISGS------------GNTNY--A--Q--KF--Q---GRVTMTR-D---T-S--IS----T-AYMEL---RS-DDTAVYYCARDVT---------------------------DRYDVWG-QGTTVTVSS</t>
  </si>
  <si>
    <t>DIQ-MTQSPSSLSASVGDRVTITCRASQDI-----------SNYLN-WYQQ-K-P-G-K--A-PK-LLIYAA----------------SRL--Q--S--GV--P---SRFSGSG-------S--GT----D-FTLTISSLQP-EDFATYYCQQSYS----------------------------TPLTFG-PGTKVEIK-</t>
  </si>
  <si>
    <t>EVQ-LVQSGA-EVKKPGASVKVSCKASGYTF---------TSYAMH-WVRQ-A-P-G-Q--R-LE-WMGWMNPK-----------VGGTNY--A--Q--KF--Q---GRVTMTR-D---T-S--IS----T-AYMEL---RS-DDTAVYYCARDKYY-------------------------FGRGEVWG-QGTQVTVSS</t>
  </si>
  <si>
    <t>DIQ-MTQSPVTLSASVGDRVTITCRASQSI-----------SSWLA-WYQQ-K-P-G-K--A-PK-LLIYKA----------------SNL--E--T--GV--P---SRFSGSG-------S--GT----E-FTLTISSLQP-DDFATYYCQQYYS----------------------------TPLTFG-GGTKVEIK-</t>
  </si>
  <si>
    <t>QIH-LVQSGT-EVKKPGSSVTVSCKAYGVNT---------FGLYAV-WVRQ-A-P-G-Q--S-LE-YIGQIWR-------------WKSSA--S--H--HF--R---GRVLISA-V---D-L--TG----S-SSLEI---TS-DDTAVYFCTTTST---------------------------YDRSSWG-QGTLISVSA</t>
  </si>
  <si>
    <t>DIQ-MTQSPSTLSASTGDTVRISCRASQSI-----------TNWVA-WYQQ-R-P-G-K--A-PR-LLIYRG----------------AAL--L--G--GV--P---SRFRGSA-------A--GT----D-FTLTIGNLQA-EDFGTFYCQQYDT----------------------------YPGTFG-QGTKVEVK-</t>
  </si>
  <si>
    <t>EVQ-LVESGG-GLVQPGGSLRLSCAASGFNV---------SSYSIH-WVRQ-A-P-G-K--G-LE-WVASISSY-----------YGYTYY--A--D--SV--K---GRFTISA-D---T-S--KN----T-AYLQMNSLRA-EDTAVYYCARSYYGSF----------------------WYSGYGVWG-QGTLVTVSS</t>
  </si>
  <si>
    <t>EVQ-LVQSGGGAVARPGASVKVSCKASGYTF---------TSYSIH-WVRQ-A-P-G-Q--G-LE-WVGFIRYS------------GDKTY--A--Q--KF--Q---GRVTMTE-D---T-S--TS----T-AYMELRSLTS-EDTAVYFCARD--------------------------------RYWG-QGTLVTVSS</t>
  </si>
  <si>
    <t>DIV-MTQSPATLSVSPGERATLSCRASQSV-----------SSNLA-WYQQ-K-P-G-Q--A-PR-LLIYGA----------------STR--A--T--GI--P---ARFSGSG-------S--GT----E-FTLTISSLQS-EDFAVYYCQQYNN---------------------------WPPFTFG-PGTKVEIK-</t>
  </si>
  <si>
    <t>QVQ-LQQSGP-ELVKPGASVKMSCKASGYTF---------TSYWMH-WVKQ-R-P-G-Q--G-LE-WIGYINPS------------GGTTY--N--Q--KF--K---GKATLTV-D---K-S--SS----T-AYIQLSSLTS-EDSAVYYCARRGRY-------------------------YYAMDYWG-QGTSVTVSS</t>
  </si>
  <si>
    <t>DIV-MTQSPLSLPVTPGEPASISCRSSQSLLHS------NGYNYLD-WYLQ-K-P-G-Q--S-PQ-LLIYLG----------------SNR--A--S--GV--P---DRFSGSG-------S--GT----D-FTLKISRVEA-EDVGVYYCMQAL-----------------------------QTPTFG-QGTKVEIK-</t>
  </si>
  <si>
    <t>EVQ-LVESGG-GLVQPGGSLRLSCAASGFNV---------SYYSIH-WVRQ-A-P-G-K--G-LE-WVASISSS-----------SGSTSY--A--D--SV--K---GRFTISA-D---T-S--KN----T-AYLQMNSLRA-EDTAVYYCARSRYYW------------------------GGYLDFWG-QGTLVTVSS</t>
  </si>
  <si>
    <t>DIQ-MTQSPSSLSASVGDRVTITCRASQSV-----------SSAVA-WYQQ-K-P-G-K--A-PK-LLIYSA----------------SSL--Y--S--GV--P---SRFSGSR-------S--GT----D-FTLTISSLQP-EDFATYYCQQSSY---------------------------SSPITFG-QGTKVEIK-</t>
  </si>
  <si>
    <t>-VK-LVESGG-GVVQPGGSLRLSCAASGFTF---------SSYAMH-WVRQ-A-P-G-K--G-LE-WVADIFPG-----------DSDTRY--A--Q--RF--Q---GRVTISA-D---R-S--IN----T-AYLQMTSLRA-EDTALYYCAK---------------------------------DWGG-QGTLVTVSS</t>
  </si>
  <si>
    <t>DIQ-MTQSPSSLSASVGDRVTITCKASQDI------------DYLN-WYQQ-K-P-G-K--A-PK-LLIYDA----------------SSL--E--T--GV--P---SRFSGSG-------S--GT----D-FTLTISSLQP-EDFATYYCQQYS-----------------------------FPYTFG-QGTKVEIK-</t>
  </si>
  <si>
    <t>QVQ-LQESGP-GLVKPSQTLSLTCTVSGGSIS--------SSNWWS-WVRQ-P-P-G-K--G-LE-WIGEIYHS------------GNTNY--N--P--SL--K---SRVTISV-D---T-S--KN----Q-FSLKVNSVTA-ADTAVYYCARAGGVG-----------------------VGPYFDYWG-QGTLVTVSS</t>
  </si>
  <si>
    <t>DIQ-MTQSPSSLSASVGDRVTITCRASQSI-----------SSYLN-WYQQ-K-P-G-K--A-PK-LLIYAA----------------SSL--Q--S--GV--P---SRFSGSG-------S--GT----D-FTLTISSLQP-EDFATYYCQQSYS----------------------------TLALFG-GGTKVEIK-</t>
  </si>
  <si>
    <t>EVQ-LVESGG-GLVQPGGSLRLSCAASGFTF---------SSYAMH-WVRQ-A-P-G-K--G-LE-WVSAISSS-----------GITTYY--A--D--SV--K---GRFTISR-D---N-S--KN----T-LYLQMNSLRA-EDTAVYYCARSYGAF-----------------------GKYYFDYWG-QGTLVTVSS</t>
  </si>
  <si>
    <t>DIQ-MTQSPSSLSASVGDRVTITCRASQSI-----------SSYLN-WYQQ-K-P-G-K--A-PK-LLIYAA----------------SSL--Q--S--GV--P---SRFSGSG-------S--GT----D-FTLTISSLQP-EDFATYYCQQSYG---------------------------STLFTFG-PGTKVDIK-</t>
  </si>
  <si>
    <t>-VQ-LQQSAA-ELARPGASVKMSCKASGYTF---------SLYWMH-WVKQ-R-P-G-Q--G-LE-WIGAIYPG-----------DGRTNE--N--F--KD--K---SKATLTV-D---K-S--SS----T-AYMQLSSLTS-EDSAVYYCARDRRYD-----------------------RGGGYLHWG-QGTTVTVSS</t>
  </si>
  <si>
    <t>DIQ-MTQTTSSLSASLGDRVTISCRASQDI-----------SRNLA-WLQQ-K-P-D-G--T-VK-LLIYYT----------------SSL--H--S--GV--P---SRFSGSG-------S--GT----D-YSLTISNLEP-EDIATYFCQQYGN----------------------------FPWTFG-QGTKLEIK-</t>
  </si>
  <si>
    <t>QVQ-LVESGG-GVVQPGRSLRLSCAASGFTF---------SSYGMH-WVRQ-A-P-G-K--G-LE-WVAGIYDG------------SNKYY--A--D--SV--K---GRFTISR-D---N-S--KN----T-LYLQMNSLRA-EDTAVYYCARASLYY------------------------DYGYDYWG-QGTLVTVSS</t>
  </si>
  <si>
    <t>QVQ-LQESGP-GLVKPSETLSLTCTVSGGSIS--------SSNWWS-WIRQ-P-P-G-K--G-LE-WIGYIYDG------------GNTYY--N--P--SL--K---SRVTISV-D---T-S--KN----Q-FSLKLSSVTA-ADTAVYYCARVYR---------------------------VRVDYWG-QGTLVTVSS</t>
  </si>
  <si>
    <t>DIV-MTQSPSSLSASVGDRVTITCRASQSI-----------SSYLN-WYQQ-K-P-G-K--A-PK-LLIYAA----------------SSL--Q--S--GV--P---SRFSGSG-------S--GT----D-FTLTISSLQP-EDFATYYCQQSYS----------------------------TPRTFG-QGTKLEIK-</t>
  </si>
  <si>
    <t>QVQ-LVESGG-GVVRPGGSLRLSCAASGFTF---------NTYAMH-WVRQ-A-P-G-K--G-LE-WVAKISYD-----------GNNKYY--A--D--SV--K---GRFTISR-D---N-S--KN----T-LYLQM---RA-EDTAVYYCARERWD--------------------------LDFDIWG-QGTMVTVSS</t>
  </si>
  <si>
    <t>EIV-LTQSPGTLSLSPGERATLSCRASQSV-----------RSYLA-WYQQ-K-P-G-Q--A-PR-LLIYGA----------------SSR--A--T--GI--P---DRFSGSG-------S--GT----D-FTLTISRLEP-EDFAVYYCQQYGS----------------------------SPWTFG-QGTKVEIK-</t>
  </si>
  <si>
    <t>QLQ-LQESGP-GLVKPSETLSLTCTVSGGSI---------SSYYWS-WIRQ-P-P-G-K--G-LE-WIGCIYYS------------GSTNY--N--P--SL--K---SRVTMSV-D---T-S--KN----Q-FSLKL---TA-ADTAVYYCARVD-----------------------------RDDSWG-QGTLVTVSS</t>
  </si>
  <si>
    <t>EIV-MTQSPATLSVSPGERATLSCRASQSV-----------SSNLA-WYQQ-K-P-G-Q--A-PR-LLIYGA----------------STR--A--T--GI--P---ARFSGSG-------S--GT----E-FTLTISSLQS-EDFAVYYCQQYNN---------------------------WPSWTFG-QGTKVEIK-</t>
  </si>
  <si>
    <t>-VK-LVESGG-GLVKPGGSLKLSCVASGFTF---------SSYAMH-WVRQ-T-P-E-K--R-LE-WVATITG-------------SGRYY--A--QK-YV--K---GRFTISR-D---N-I---N----Q-VFLQM---RA-EDTATYYCARVGQR-------------------------GYIADYWG-QGTSVTVSS</t>
  </si>
  <si>
    <t>DIV-LTQSPSSLAMSVGQKVTMTCRASSSVS----------SSYLH-WYQQ-K-P-G-Q--S-PK-LLIYWA----------------STR--E--S--GV--P---DRFTGSG-------S--GT----D-FTLTISSVQA-EDL-VYYCHQYL-----------------------------SSYTFG-GGTKLEIK-</t>
  </si>
  <si>
    <t>EVQ-LVQSGA-EVKKPGASVKVSCKASGYPF---------TSYGIS-WVRQ-A-P-G-Q--G-LE-WMGGVIPI-----------SGVTNY--A--Q--KF--Q---GRVTLTR-D---T-S--TS----T-AYMELRSLRS-DDTAVYYCARDYER-------------------------GYGMDVWG-QGTTVTVSS</t>
  </si>
  <si>
    <t>DIV-MTQSPATLSVSPGERATLSCRASQSV-----------SSNLA-WYQQ-K-A-G-Q--A-PR-LLIYGA----------------STR--A--T--GI--P---ARFSGSG-------S--GT----E-FTLTISSLQS-EDFAVYYCQQYNNW--------------------------PPGYTFG-QGTKLEIK-</t>
  </si>
  <si>
    <t>EVQ-LVESGG-GLVQPGGSLRLSCAASGFNF---------SSSSIH-WVRQ-A-P-G-K--G-LE-WVASISSY-----------YGSTYY--A--D--SV--K---GRFTISA-D---T-S--KN----T-AYLQMNSLRA-EDTAVYYCARSRSYG-----------------------WYGSFDYWG-QGTLVTVSS</t>
  </si>
  <si>
    <t>DIQ-MTQSPSSLSASVGDRVTITCRASQSV-----------SSAVA-WYQQ-K-P-G-K--A-PK-LLIYSA----------------SSL--Y--S--GV--P---SRFSGSR-------S--GT----D-FTLTISSLQP-EDFATYYCQQYKY----------------------------VPVTFG-QGTKVEI--</t>
  </si>
  <si>
    <t>EVQ-LVESGG-GLVQPGGSLRLSCTGSGFSL---------SSYSMS-WVRQ-A-P-G-K--G-LE-WVGFIRYD-----------GSEKYY--V--D--SV--K---GRFTISR-D---D-S--KN----T-LYLQMNRLRA-EDTAVYYCARDHVYL-----------------------PYYAMDYWG-QGTLVTVSS</t>
  </si>
  <si>
    <t>DIQ-MTQSPSSLSASVGDRVTITCRASQSV-----------SSYLN-WYQQ-K-P-G-K--A-PK-LLIYAT----------------SSL--Q--S--GV--P---SRFSGSG-------S--GT----D-FTLTISSLQP-EDFATYYCQQSHE----------------------------DPPTFG-QGTKVEIK-</t>
  </si>
  <si>
    <t>QVQ-LQESGP-GLVKPSQTLSLTCTVSGGSIS-------SGHYFWN-WIRQ-F-P-G-K--G-LE-WIGYIDPS-----------NGNTNY--N--P--SL--K---SRVTISV-D---T-S--KN----Q-FSLKLSSVTA-ADTAVYYCARDRAL--------------------------GVGDLWG-QGTLVTVSS</t>
  </si>
  <si>
    <t>DIV-MTQSPDSLAVSLGERATINCKSSQSVLYS-----SNNKNYLA-WYQQ-K-P-G-Q--S-PK-LLIYWA----------------STR--E--S--GV--P---DRFSGSG-------S--GT----D-FTLTISSLQA-EDVAVYYCQQYYS----------------------------TPLTFG-GGTKVEIK-</t>
  </si>
  <si>
    <t>EVQ-LVQSGA-EVKKPGSSVKVSCKASGYTF---------TGYYMH-WVRQ-A-P-G-Q--G-LE-WMGWINPI-----------SGTTNY--A--Q--KF--Q---GRVTISA-D---E-S--TS----T-AYMELSSLRS-EDTAVYYCARVGYGSSY-------------------YYYYYMNDFWG-QGTLVTVSS</t>
  </si>
  <si>
    <t>-SV-LTQPPS-ASGTPGQRVTISCSGSSSNI---------GSNTVN-WYQQ-L-P-G-T--A-PK-LLIYSN----------------NQR--P--S--GV--P---DRFSGSK-------S--GT----S-ASLAISGLRS-EDEADYYCATWDDS--------------------------LSGWVFG-GGTKVTVL-</t>
  </si>
  <si>
    <t>-IV-MTQSPATLSLSPGERATLSCRASQSV-----------SSYLA-WYQQ-K-P-G-Q--A-PR-LLIYDA----------------SNR--A--T--GI--P---ARFSGSG-------S--GT----D-FTLTISSLEP-EDFAVYYCQQYGS----------------------------SPWTFG-QGTKVEIK-</t>
  </si>
  <si>
    <t>EVQ-LQQSGP-ELVKPGASVKISCKASGYTFT--------DYNIMH-WVKQ-S-H-G-K--S-LE-WIGVINPN-----------NGGTSY--N--Q--KF--K---GKATLTV-D---K-S--SS----T-AYMELSSLTS-EDSAVYYCARSPFY--------------------------GSFDYWG-QGTLVTVSA</t>
  </si>
  <si>
    <t>DIV-MTQSHKFMSTSVGDRVSITCKASQDV-----------STAVA-WYQQ-K-P-G-Q--S-PK-LLIYSA----------------SYR--Y--T--GV--P---GRFSGSG-------S--GT----D-FTFTISSLQA-EDVAVYFCQQYS-----------------------------IPRTFG-GGTKLEIK-</t>
  </si>
  <si>
    <t>EVQ-LVESGG-GVVQPGGSLRLSCAASGFNV---------SYYSIH-WVRQ-A-P-G-K--G-LE-WVAVISYD-----------GSNKYY--A--D--SV--K---GRFTISR-D---N-S--KN----T-LYLQMNSLRA-EDTAIYYCARDRY---------------------------SGLDYWG-QGTLVTVSS</t>
  </si>
  <si>
    <t>EVQ-LVESGG-GLVKPGGSLKLSCAASGFTF---------SSYAMS-WVRQ-T-P-E-K--R-LE-WVATISGG------------GGSYY--P--D--TV--K---GRFTISR-D---N-A--KN----T-LYLQMSSLKS-EDTAMYYCARLRN---------------------------RGYDYWG-QGTLVTVSS</t>
  </si>
  <si>
    <t>DIQ-MTQSPSSLSASVGDRVTITCRASQGI-----------SSYLN-WYQQ-K-P-G-K--A-PK-LLIYAA----------------SSL--Q--S--GV--P---SRFSGSG-------S--GT----D-FTLTISSLQP-EDFATYYCQQSYN----------------------------LPFTFG-PGTKVDIK-</t>
  </si>
  <si>
    <t>QVQ-LQESGP-GLVKPSQTLSLTCAVSGDSM---------NNYYWT-WIRQ-S-P-G-K--G-LE-WIGYIYYS------------GSTYY--N--P--SL--K---SRVTISV-D---T-S--KN----Q-FSLKLSSVTA-ADTAVYYCARLQWG--------------------------LGYDVWG-KGTTVTVSS</t>
  </si>
  <si>
    <t>DVV-MTQSPLSLPVTPGEPASISCRSSQSLVHS------NGNTYLH-WYLQ-K-P-G-Q--S-PQ-LLIYLV----------------SKL--D--S--GV--P---DRFSGSG-------S--GT----D-FTLKISRVEA-EDVGVYYCMQGTQ----------------------------FPWTFG-QGTKVEIK-</t>
  </si>
  <si>
    <t>EVQ-LVESGG-GLVKPGGSLRLSCAASGFTF---------SRYSMN-WVRQ-A-P-G-K--G-LE-WVSSISSS-----------SGSTSY--A--D--SV--K---GRFTISR-D---N-A--KN----S-LYLQMNSLRA-EDTAVYYCARDLYYD-----------------------GFYAMDYWG-QGTLVTVSS</t>
  </si>
  <si>
    <t>DIQ-MTQSPSSLSASVGDRVTITCRASQSI-----------SSYLN-WYQQ-K-P-G-K--A-PK-LLIYAA----------------SSL--Q--S--GV--P---SRFSGSG-------S--GT----D-FTLTISSLQP-EDFATYYCQQSSS----------------------------SLITFG-QGTKVEIK-</t>
  </si>
  <si>
    <t>QVQ-LVQSGA-EVKKPGASVKVSCKASGYTF---------TSYGIS-WVRQ-A-P-G-Q--G-LE-WMGWISAY-----------NGNTNY--A--Q--KL--Q---GRVTMTT-D---T-S--TS----T-AYMELRSLRS-DDTAVYYCARGSGY-------------------------GYDYDYWG-QGTLVTVSS</t>
  </si>
  <si>
    <t>EVQ-LQQSGP-ELKKPGTSVKISCKASGYTF---------TEYGIH-WVKQ-R-P-G-Q--G-LE-WIGSIYPG-----------SGGTNY--N--E--KF--K---GKATLTV-D---K-S--SS----T-AYMQLSSLTS-EDSAVYYCARLGGY-------------------------SGYFDYWG-QGTTLTVSS</t>
  </si>
  <si>
    <t>QVQ-LQQSGT-ELVRPGSSVKLSCKASGYTF---------TSYWMH-WVKQ-R-P-G-Q--G-LE-WIGWIGYH-----------SDGKFY--N--Q--KF--K---DKATLTA-D---K-S--SS----T-AYMQLSSLTS-EDSAVYYCARERGH--------------------------GSSFYWG-QGTSVTVSS</t>
  </si>
  <si>
    <t>DIV-MTQSQKFMSTSVGDRVSITCKASQNV-----------GTAVA-WYQQ-K-P-G-Q--S-PK-LLIYWA----------------STR--H--T--GV--P---DRFTGSG-------S--GT----D-FTLTITNVQS-EDLADYFCHQYTY---------------------------SPPWTFG-AGTKLELK-</t>
  </si>
  <si>
    <t>QVQ-LVQSGA-EVKKPGSSVKVSCKASGGTF---------SSYAIS-WVRQ-A-P-G-Q--G-LE-WMGGIIPI-----------FGTANY--A--Q--KF--Q---GRVTITA-D---K-S--TS----T-AYMELSSLRS-EDTAVYYCARE--------------------------------IYWG-QGTLVTVSS</t>
  </si>
  <si>
    <t>EIV-LTQSPGTLSLSPGERATLSCRASKSVS----------STYLA-WYQQ-K-P-G-Q--A-PR-LLIYGA----------------SSR--A--T--GI--P---DRFSGSG-------S--GT----D-FTLTISRLEP-EDFAVYYCQHYG-----------------------------RSSTFG-QGTKLEIK-</t>
  </si>
  <si>
    <t>EVQ-LVESGG-GLVQPGGSLRLSCAASGFTF---------SNYWMN-WVRQ-A-P-G-K--G-LE-WVAVSYSG-----------DSYTYY--A--D--SV--K---GRFTISA-D---T-S--KN----T-AYLQM---RA-EDTAVYYCARGRVSS------------------------YSGRDFWG-QGTLVTVSS</t>
  </si>
  <si>
    <t>DIQ-MTQSPSSLSASVGDRVTITCRASQGI-----------SNYLN-WYQQ-K-P-G-K--A-PK-LLIYAA----------------SSL--Q--S--GV--P---SRFSGSG-------S--GT----D-FTLTISSLQP-EDFATYYCQQSYN----------------------------LPWTFG-QGTKVEIK-</t>
  </si>
  <si>
    <t>QVQ-LQQSGP-ELVKPGASVKISCKASGYSF---------SNYYMY-WVKQ-R-P-G-Q--G-LE-WIGNIYPG-----------DSDTNY--N--Q--KV--KE--SRDTASLTG---T-V--NS----D-DYL--SSLTS-EDSAVYFCSGE-------------------------------FDYWG-QGTLVTVSA</t>
  </si>
  <si>
    <t>DIK-MTQSPSSLSASLGDRVTITCRASQSI-----------DNWLA-WYQQ-K-P-G-K--A-PK-LLIYYT----------------SRL--H--S--GV--P---SRFSGSG-------S--GT----D-YTLTISSLQP-EDVATYYCQQYD-----------------------------YPLTFG-AGTKLELK-</t>
  </si>
  <si>
    <t>QVQ-LQQPGA-ELVKPGASVKLSCKASGYTF---------TNYYIN-WVKQ-R-P-G-Q--G-LE-WIGDIYPG------------DSDTY--N--Q--KF--K---GKATLTA-D---K-S--SS----T-AYMQLSSLTS-EDSAVYYCARRGL---------------------------GYFDVWG-AGTTVTVSS</t>
  </si>
  <si>
    <t>DIL-LTQSPAILSVSPGERVSFSCRASQSI-----------GTDIH-WYQQ-R-T-N-G--S-PR-LLIKYA----------------SES--I--S--GI--P---SRFSGSG-------S--GT----D-FTL-ISRLEP-EDFAVYYCQQFSN----------------------------WPLTFG-GGTKLEIK-</t>
  </si>
  <si>
    <t>EVQ-LVESGG-GLVQPGGSLRLSCAASGFTF---------SSYAMS-WVRQ-A-P-G-K--G-LE-WVSSISSS------------SYIYY--A--D--SV--K---GRFTISR-D---N-S--KN----T-LYLQMNSLRA-EDTAVYYCARADG---------------------------YGYDYWG-QGTLVTVSS</t>
  </si>
  <si>
    <t>DIQ-MTQSPSSLSASVGDRVTITCRASQSI-----------SSYLN-WYQQ-K-P-G-K--A-PK-LLIYAA----------------SSL--Q--S--GV--P---SRFSGSG-------S--GT----D-FTLTISSLQP-EDFATYYCQQSYS----------------------------TPFTFG-PGTKVDIK-</t>
  </si>
  <si>
    <t>EVQ-LQQSGP-ELVKPGASVKISCKASGYAF---------SNFGMN-WVKQKR-P-G-K--G-LE-WIGRIYPG-----------DGDTNY--N--G--KF--K---GKATLTA-D---K-S--SS----T-AYMQLSSLTS-EDSAVYFCARADYY--------------------------GAFDYWG-QGTTLTVSS</t>
  </si>
  <si>
    <t>DIV-MTQSPDSLAVSLGERATINCKSSQSVLYS-----SNNKNYLA-WYQQ-K-P-G-Q--S-PK-LLIYWA----------------STR--E--S--GV--P---DRFTGSG-------S--GT----D-FTLTISSVKA-EDLAVYYCQQYYS----------------------------YPYTFG-GGTKLEIK-</t>
  </si>
  <si>
    <t>DIV-MTQSPDSLAVSLGERATINCKSSQSVLYS-----SNNKNYLA-WYQQ-K-P-G-Q--P-PK-LLIYWA----------------STR--E--S--GV--P---DRFSGSG-------S--GT----D-FTLTISSLQA-EDVAVYYCHQYTH----------------------------NPLTFG-AGTKLELK-</t>
  </si>
  <si>
    <t>EVQ-LVESGG-GLVQPGGSLRLSCAASGFNF---------SSSSIH-WVRQ-A-P-G-K--G-LE-WVASIYSY-----------YGSTSY--A--D--SV--K---GRFTISA-D---T-S--KN----T-AYLQMNSLRA-EDTAVYYCARFYGSS-----------------------YSGYFDLWG-RGTLVTVSS</t>
  </si>
  <si>
    <t>-VV-MTQSPDSLAVSLGERATINCKSSQS--------------V---GYST-F-G-S-F--T-RK-LAIYSASR-----------TPGQAA--T--V--GV--P---SRFSGSA-------S--GI----N--TLTITSLQS-EDEADYYCQTSWD---------------------------SNSLVFG-GGTKLTVL-</t>
  </si>
  <si>
    <t>QVQ-LQESGP-GLVRPSQTLSLTCTVSGGSIS-------SGSYYWS-WIRQ-P-P-G-K--G-LE-WIGSISYS------------GSTN---------AL--N---SRLSISR-D---T-S--KN----Q-FFLK-NSLTA-ADTGTYFCTTNYG----------------------------AMDYWG-QGTLVTVSS</t>
  </si>
  <si>
    <t>DIQ-MTQSPSSLSASVGDRVTITCRASQTI-----------SSFLN-WYQQ-K-P-G-R--A-PK-LLIYKA----------------SSL--Q--S--GI--P---SRFSGSG-------S--GT----E-FTLTISSLQP-EDFAVYYCQQYG-----------------------------SPLTFG-GGTKVEIK-</t>
  </si>
  <si>
    <t>EVQ-LVESGG-GLVQPGGSLRLSCAASGFTF---------SSYAMS-WVRQ-A-P-G-K--G-LE-WVSRISP-------------YSKYY--A--D--SV--K---GRFTISR-D---N-S--KN----T-LYLQM---RA-EDTAVYYCARGGW---------------------------YGFDFWG-QGTLVTVSS</t>
  </si>
  <si>
    <t>DIQ-MTQSPSSLSASVGDRVTITCRASQSI-----------SNWLA-WYQQ-K-P-G-K--A-PK-LLIYKA----------------SNL--E--T--GV--P---SRFSGSG-------S--GT----D-FTFTISSLQP-EDIATYYCQQFYG----------------------------YPYTFG-QGTKVEIK-</t>
  </si>
  <si>
    <t>QVQ-LVQSGA-EVKKPGSSVKVSCKASGYTI----------FTNIS-WVRQ-A-P-G-Q--G-LE-WMGRILTP------------IYSGY--N--E--KF--K---GRVTITA-D---T-S--TS----T-AYMELSSLRS-EDTAVYYCARRSDG--------------------------VYFDYWG-QGTLVTVSS</t>
  </si>
  <si>
    <t>DIL-LTQSPASLSASPGEKVTITCSG-SIY-----------GNTVS-WYQQ-R-P-G-K--S-PQ-LLIYSA----------------SSL--Y--S--GV--P---SRFSGSG-------S--GT----D-FTLTISSLQM-EDFATYYCQQFY-----------------------------TPRTFG-QGTKVEIK-</t>
  </si>
  <si>
    <t>QVQ-LVQSGA-EVKKPGASVKVSCKASGYTF---------TSYSMH-WVRQ-A-P-G-Q--G-LE-WMGWINPN-----------SGGTNY--A--Q--KF--Q---GRVTMTR-D---T-S--IS----T-AYMEL---RS-DDTAVYYCARDGF----------------------------DGDYWG-QGTLVTVSS</t>
  </si>
  <si>
    <t>DIV-MTQSPSSLSASVGDRVTITCRASKSI-----------SNWLA-WYQQ-K-P-G-K--A-PK-LLIYWA----------------SSQ--G--S--GV--P---ARFIGSG-------S--GT----D-YTLTISSLQP-EDVATYYCQQRYE---------------------------GYPITFG-QGTKVEIK-</t>
  </si>
  <si>
    <t>QVQ-LQESGP-GLVKPSETLSLTCSVSGGSF----------SRYWS-WIRQ-P-P-G-K--G-LE-WIGYITYGS----------GSYTNY--N--P--SL--K---SRVTISV-D---N-S--KN----T-LYLQVNSLKT-EDTAVYYCARESYYGY---------------------WVTVGFDYWG-QGTLVTVSS</t>
  </si>
  <si>
    <t>DIQ-MTQSPSTLSASVGDRVTITCRASQS--------------I-S-WYLQ-K-P-G-K--A-PK-LLIYDT---------------SLAS--Q--P--GV--PKRPDRFSGSG-------S--GT----D-FTLTISSLQP-EDFATYYCQQASQ----------------------------LPYTFG-GGTKLEIK-</t>
  </si>
  <si>
    <t>QVQ-LVQSGA-EVKRPGSSVKVSCKASGGSF---------STYALS-WVRQ-A-P-G-R--G-LE-WMGGFIPV-----------GGVTPY--A--Q--QF--Q---GRVTITA-D---E-S--TN----T-AYMELT---S-EDTAVYYCARGVV---------------------------GVFDVWG-QGTTVTVSS</t>
  </si>
  <si>
    <t>EIV-LTQSPATLSLSPGERATLSCRASQSV-----------SSYLA-WYQQ-K-P-G-Q--A-PR-LLIYDA----------------SNR--A--T--GI--P---ARFSGSG-------S--GT----D-FTLTISSLEP-EDFAVYYCQQRSN----------------------------WPRTFG-GGTKVEIK-</t>
  </si>
  <si>
    <t>QVQ-LQESGP-GLVKPSETLSLTCAVSGGSIS--------NTQWWS-WIRQ-P-P-G-K--G-LE-WIGQIYG-------------DGATY--N--P--SL--K---SRVTISV-D---T-S--KN----Q-FSLKLSSVTA-ADTAVYYCARGTVVYGD--------------------LTSYYFDYWG-QGTLVTVSS</t>
  </si>
  <si>
    <t>DIQ-MTQSPSSLSASVGDRVTITCRASQSV-----------SSALA-WYQQ-K-P-G-K--A-PK-LLIYAA----------------SNL--Q--S--GV--P---SRFSGSG-------S--GT----D-FTLTISSLQP-EDFATYYCQQSNS----------------------------CWFTFG-QGTKVEIK-</t>
  </si>
  <si>
    <t>QVQ-LQESGP-GLVKPSETLSLTCTVSGGSI---------SNYYWS-WIRQ-P-P-G-K--G-LE-WIGYIYYS------------GSTNY--N--P--SL--K---SRVTMSV-D---T-S--KN----Q-FSLKLSSVTA-ADTAVYYCARSRWG--------------------------GDYFGWG-QGTLVTVSS</t>
  </si>
  <si>
    <t>EIV-LTQSPATLSLSPGERATLSCRASQSV-----------SSYLA-WYQQ-K-P-G-Q--A-PR-LLIYDA----------------SSR--A--T--GI--P---DRFSGSG-------S--GT----D-FTLTISRLEP-EDFAVYYCQQYGS----------------------------SPLTFG-QGTKLEIK-</t>
  </si>
  <si>
    <t>QVQ-LVQSGA-EVKKPGSSVKVSCKASGYTFT--------SYYYIH-WVRQ-A-P-G-Q--G-LE-WMGWIIN-------------PNDTY--A--Q--KF--Q---GRVTMTT-D---E-S--TS----T-AYMEL---RS-EDTAVYYCARNYYGQ------------------------IQVSDYWG-QGTLVTVSS</t>
  </si>
  <si>
    <t>--Q-LTQPPS-ASGSPGQSVTISCTGTSSDVG--------GYNYVS-WYQQ-H-P-G-K--A-PK-LMIYDV----------------SNR--P--S--GV--S---NRFSGSK-------S--GN----T-ASLTISGLQA-EDEADYYCSSYTS---------------------------SSTLVFG-GGTKLTVL-</t>
  </si>
  <si>
    <t>DIV-MTQSPSSLAVSAGE-VSITCKASQDI-----------NNYLN-WYQQ-K-P-G-K--A-PK-LLIYAA----------------SNL--E--S--GI--P---ARFSGSG-------S--GT----D-FTLNIHPVEE-EDAATYYCQQYDN----------------------------LPRTFG-GGTKLEIK-</t>
  </si>
  <si>
    <t>QVQ-LQESGP-GLVKPSQTLSLTCTVSGGSTT-------TAYYWIH-WIRQ-P-P-G-K--G-LE-WIGEYSGS------------GNTNY--N--P--SL--K---SRVTMSL-D---T-S--KS----Q-FSLKLNSVTA-ADTAVYYCARVY-----------------------------GSDVWG-QGTTVTVSS</t>
  </si>
  <si>
    <t>DVV-MTQSPLSLPVSLGDQASISCRSSQSLVHS------NGNTYLH-WYLQ-K-P-G-Q--S-PK-LLIYKV----------------SNR--F--S--GV--P---ERFSGSG-------S--GT----D-FTLKISRVEA-EDLGIYYCFQGSH----------------------------VPLTFG-AGTKLELK-</t>
  </si>
  <si>
    <t>QVH-LQESGP-GLVKPSETLSLTCAVSGGSI---------SRYYWS-WIRQ-P-P-G-K--G-LE-WIGNIYYT------------GSTYY--N--P--SL--K---SRVTISV-D---T-S--KN----Q-FSLKLSSVTA-ADTAVYYCARVW-----------------------------VYGYWG-QGTLVTVSS</t>
  </si>
  <si>
    <t>QVQ-LQESGP-GLVKPSQTLSLTCAVSGDTF---------SNYAMN-WIRQ-S-P-G-K--G-LE-WIGNTYYS------------GTTSY--N--P--SL--K---GRVTISA-D---K-S--QN----Q-FSLKLSSVTA-ADTAVYYCASGV------------------------------YLLWG-QGTLVTVSS</t>
  </si>
  <si>
    <t>EIV-LTQSPATLSLSPGERATLSCRASQSV-----------RSYLA-WYQQ-K-P-G-Q--A-PR-LLIYDA----------------SNR--A--T--GI--P---ARFSGSG-------S--GT----D-FTLTISSLEP-EDFAVYYCQQFY-----------------------------SRWTFG-QGTKLEIK-</t>
  </si>
  <si>
    <t>EVQ-LQQSGA-ELVKPGASVKLSCTASGFNI---------KDYYMV-WVKQ-R-P-E-Q--G-LE-WIGRIDPA-----------NGDTKY--D--P--KF--Q---GKATITA-D---T-S--SN----T-AYLQLSSLTS-EDTAVYYCVRPLYD-------------------------YYAMDYWG-QGTSVTVSS</t>
  </si>
  <si>
    <t>DIL-LTQSPAILSVSPGERVSFSCRASQSI-----------GTDIH-WYQQ-R-T-N-G--S-PR-LLIKYA----------------SES--I--S--GI--P---SRFSGSG-------S--GT----D-FTLTISSLEP-EDFAVYYCQQRSN----------------------------WPYTFG-GGTKLEIK-</t>
  </si>
  <si>
    <t>QVQ-LQQSGP-ELVRPGASVKMSCKASGYTF---------TDYMYW-WVKQ-R-P-G-Q--G-LE-WIGAIYPG-----------NGDTNY--N--E--KF--K---GKATLTA-D---K-S--SS----T-AYMQLSSLTS-EDSAVYYCARERG----------------------------AGDYWG-QGTLVTVSS</t>
  </si>
  <si>
    <t>DIV-LTQSPASLAVSLGQRATISCRASESVDN-------YGISFMN-WFQQ-K-P-G-Q--P-PK-LLIYAA----------------SNL--E--S--GI--P---ARFSGSG-------S--GT----D-FTLNIHPVEE-EDAATYYCQHSRE----------------------------YPITFG-SGTKLEIK-</t>
  </si>
  <si>
    <t>QVQ-LQQSGT-ELVRPGTSVTARSFCKGYTT---------WIRDFL-WVKQ-R-P-E-Q--G-LE-WIGVINTD------------GRTDY--N--A--KF--K---GRVTISD-T---S-TT-AS----L-EIYYLKSLRS-DDTAVYYCAREGY----------------------------YGDFWG-QGILVTVSS</t>
  </si>
  <si>
    <t>DIQ-MTQSPSSLSASIGDRVTITCRASQSID----------INKLN-WYQQ-K-P-G-K--A-PK-LLIYAA----------------SSL--Q--S--GV--P---SRFSGSG-------S--GT----D-FTLTISSLQP-EDFAAYYCQQYNF----------------------------FPWTFG-QGTKLEIK-</t>
  </si>
  <si>
    <t>QVQ-LVQSGA-EVRKPGASVKVSCKASGYTF---------TDYGIS-WVRQ-A-P-G-Q--G-LE-WMGWISPY-----------NGDTKY--A--Q--KF--Q---GRVTMTR-D---T-S--TS----T-VYMELSSLTS-EDTAVYYCARSRG----------------------------QFDSWG-QGTLVTVSS</t>
  </si>
  <si>
    <t>-SV-LTQPPS-ASGTPGQRVSISCSGSSIGSN--------YGTYVS-WYQQ-F-P-G-T--V-PK-LMIYDN----------------NKR--P--S--GV--P---DRFSGSK-------S--GT----S-ASLAISGLRS-EDEADYYCAAWDSY--------------------------GSTLVFG-GGTKLTV--</t>
  </si>
  <si>
    <t>QSV-LTQPPS-ASGTPGQRVTISCSGSSSNI---------GSNYVY-WYQQ-L-P-G-T--A-PK-LLIYRN---------------GNKR--P--S--GV--P---DRFSGSK-------S--GT----S-ASLAISGLQS-EDEAEYYCSAAG-----------------------------GRLSFG-GGTKLTVL-</t>
  </si>
  <si>
    <t>QVQ-LQESGP-GLVKPSETLSLTCTVSGGSV---------SSYYWS-WIRQ-P-P-G-K--G-LE-WIGYIYG-------------SGTNY--N--P--SL--K---SRVTMSV-D---T-S--KN----Q-FSLKLNSVTA-ADTAVYYCARRQRVL-----------------------GYGYFDYWG-QGTTVTVSS</t>
  </si>
  <si>
    <t>DIQ-MTQSPSSLSASVGDRVTITCRASQGI-----------SSWLA-WYQQ-K-P-G-K--A-PK-LLIYAA----------------STL--Q--S--GV--P---SRFSGSG-------S--GT----D-FTLTISSLQP-EDFATYYCQQSYS----------------------------TPPTFG-QGTKLEIK-</t>
  </si>
  <si>
    <t>EVQ-LQQSGP-ELVKPGASVKMSCKASGYTF---------TSNWMH-WVKQ-R-P-G-Q--G-LE-WIGWIYPG-----------SGSTNY--N--E--KF--K---GKATLTV-D---K-S--SS----T-AYMQLSSLTS-EDSAVYYCARGYG---------------------------YGLDYWG-QGTTLTVSS</t>
  </si>
  <si>
    <t>DIL-MTQSPSSMSVSLGDTVSITCHASQGI-----------SSNIG-WLQQ-K-P-G-K--S-PK-RWIYQR----------------STL--I--P--GV--P---SRFSGSG-------S--GY----S-FTLTISSLQP-EDFALYYCQQSYS----------------------------TPRTFG-GGTKVEIK-</t>
  </si>
  <si>
    <t>EIV-LTQSPATLSLSPGERATLSCRASQSV-----------SSYLA-WYQQ-K-P-G-Q--A-PR-LLIYDA----------------SNR--A--T--GI--P---ARFSGSG-------S--GT----D-FTLTISSLEP-EDFAVYYCQQRSN----------------------------WPRTFG-QGTRLEIK-</t>
  </si>
  <si>
    <t>EVQ-LQQSGP-ELVKPGASVKMSCKASGYTF---------TSYWMH-WVKQ-K-P-G-Q--G-LE-WIGYINPN-----------SGGTAY--N--Q--KF--R---GRVTMTL-D---K-S--ST----T-AYMQL---KT-EDSAVYYCARDSS---------------------------GVDDYWG-QGTTVTVSS</t>
  </si>
  <si>
    <t>--V-LTQPPS-VSVSPGQTARITCGGNNIGS---------KKVYVS-WYQQ-F-P-G-S--A-PK-LLIYDN----------------NKR--P--S--GV--P---DRFSASK-------S--GN----T-ASLTISGLQA-DDEADYYCQSYDSS--------------------------LSGWVFG-GGTKLTVL-</t>
  </si>
  <si>
    <t>EVQ-LVESGG-GLVQPGGSLRLSCAASGFTF---------SNYAMN-WVRQ-A-P-G-K--G-LE-WVARISYS------------GSTYY--A--D--SV--K---GRFTISR-D---N-A--KN----T-LYLQMNSLRA-EDTAVYYCAKDRYT--------------------------NSGDYWG-QGTLVTVSS</t>
  </si>
  <si>
    <t>DIQ-MTQSPSSLSASVGDRVTITCRASQDV-----------STAVA-WYQQ-K-P-G-K--A-PK-LLIYSA----------------SFL--Y--S--GV--P---SRFSGSG-------S--GT----D-FTLTISSLQP-EDFATYYCQQHYT----------------------------TPPTFG-QGTKVEIK-</t>
  </si>
  <si>
    <t>QGQ-LVQSGA-EVKKPGASVKVSCKASGYTF---------TDYYIH-WVRQ-A-P-G-Q--G-LE-WMGIINPI-----------SGGTAY--A--Q--KF--Q---GRVTMTR-D---T-S--TS----T-VYMELSSLRS-EDTAVYYCARGGWISS---------------------TYYDGMDVWG-QGTTVTVSS</t>
  </si>
  <si>
    <t>DIV-MTQSPDSLAVSLGERATINCKSSQSLLYS-----SNQKNYLA-WYQQ-K-P-G-Q--P-PK-LLVYAA----------------TDL--A--S--GV--P---SRFSGSG-------S--GT----D-FTLTISSLQA-EDVAVYYCQQYDN----------------------------LPRTFG-GGTKVEIK-</t>
  </si>
  <si>
    <t>EVQ-LVESGG-GLVQPGGSLRLSCAASGFTF---------SSYAMS-WVRQ-A-P-G-K--G-LE-WVSAINQVK----------GNEQA---------YL--K---GRATISR-D---N-S--KN----T-LYLQM---RA-EDTAVYYCARGL-----------------------------LRDYWG-QGTLVTVSS</t>
  </si>
  <si>
    <t>SYE-LTQPPS-VSVAPGQTARITCGGDKN--------------YLG-WYQQ-K-P-G-T--A-PK-LLIYDG---------------NNKR--P--S--GV--P---DRFSGSI-----D-S--SN----S-ASLTISGLQS-EDEADYYCQTWDS----------------------------SLWVFG-GGTKLTVG-</t>
  </si>
  <si>
    <t>QVQ-LQESGP-GLVKPSETLSLTCAVSGGSI---------SRYYWS-WIRQ-P-P-G-K--G-LE-WIGRIHST------------GYTNY--N--P--SL--K---SRVTISV-D---T-S--KN----Q-FSLKLSSVTA-ADTAVYYCARDF-----------------------------HPLFWG-QGTLVTVSS</t>
  </si>
  <si>
    <t>DIQ-MTQSPSSLSASVGDRVTITCRASQTI-----------NNYLN-WYQQ-K-P-G-K--A-PK-LLIYAA----------------TSL--Q--S--GV--P---SRFSGSG-------S--GT----D-FTLTISSLQP-EDIATYYCQKYNS----------------------------IPPTFG-AGTKLELK-</t>
  </si>
  <si>
    <t>QVQ-LVQSGA-EVKKPGSSVKVSCKASGGTF---------SSYGIS-WVRQ-A-P-G-Q--G-LE-WMGGIIPI-----------FGTANY--A--Q--KF--Q---GRVTITA-D---E-S--TS----T-AYMELSSLRS-EDTAVYYCARARHGQ------------------------GESGDYWG-QGTLVTVSS</t>
  </si>
  <si>
    <t>DIQ-LTQSPSSLSASVGDRVTITCRASQSI-----------SSYLN-WYQQ-K-P-G-K--A-PK-LLIYAA----------------SSL--Q--S--GV--P---SRFSGSG-------S--GT----E-FTLTISSLQP-EDFATYYCQQSYS----------------------------TPWTFG-QGTKVEIK-</t>
  </si>
  <si>
    <t>QVQ-LVQSGA-EVKKPGATVKLSCKASGYTF---------TSYAIH-WVRQ-A-P-G-Q--G-LE-WMGWINPS-----------NGGTSY--A--Q--KF--Q---GRVTMTR-D---T-S--IS----T-AYMELSGLRS-DDTAVYYCARGGYWYS---------------------STYGYMDVWG-QGTTVTVSS</t>
  </si>
  <si>
    <t>-SA-LTQPAS-VSGSPGQSITISCTGTSSDVG--------AYNCVQ-WYQ--H-P-G-K--A-PK-LMIYGS---------------TEKR--P--S--GV--S---NRFSGSK-------S--GN----T-ASLTISGLQA-EDEADYYCCSYAG---------------------------SSTVVFG-GGTKLTVL-</t>
  </si>
  <si>
    <t>EVQ-LVQSGA-EVKKPGESLRISCKVSGYTF----------TDYIH-WVRQ-A-P-G-K--G-LV-WMGWINPN-----------SGGTKF--A--P--KF--Q---GRVTITA-D---K-S--TS----T-AYMELSSLRS-EDTAVYYCAREGY----------------------------WYDYWG-QGTLVTV--</t>
  </si>
  <si>
    <t>DIQ-MTQSPSSLSASVGDRVTITCRASQSI-----------DSYLN-WYQQ-K-P-G-K--A-PK-LLIFHAA--------------STLQ--R--P--GI--P---ARFSGSG-------S--GT----D-FTLTISSLQP-EDFATYYCQQYS-----------------------------SPYTFG-QGTKVEIK-</t>
  </si>
  <si>
    <t>EVQ-LVQSGA-EVKKPGESLKISCKGSGYSF----------SYWIS-WVRQ-M-P-G-K--G-LE-WMGRIDSD------------SYTTY--S--P--SL--K---GRFTISR-D---D-S---N----T-AYLQLTSLKS-EDTAMYYCARQHQG--------------------------ILPDYWG-QGTLVTVSS</t>
  </si>
  <si>
    <t>DIQ-MTQSPSSLSASVGDRVTITCRASQDI-----------SSVLA-WYQQ-K-P-G-K--A-PK-LLIYDA----------------SNL--Q--S--GV--P---SRFSGSG-------S--GT----D-FTLTISSLQP-EDVATYYCQQGYS----------------------------FPITFG-QGTKVEIK-</t>
  </si>
  <si>
    <t>EVQ-LVESGG-GLVQPGGSLRLSCAASGFNI---------SSSSIH-WVRQ-A-P-G-K--G-LE-WVASIYSY-----------YGYTYY--A--D--SV--K---GRFTISA-D---T-S--KN----T-AYLQMNSLRA-EDTAVYYCARSDW---------------------------YGFDYWG-QGTLVTVSS</t>
  </si>
  <si>
    <t>EVQ-LVESGG-GLVKPGGSLRLSCAASGFTF---------STYSMN-WVRQ-A-P-G-K--G-LE-WVSSISSS------------SSYIY--A--D--SV--K---GRFTISR-D---N-A--KN----S-LYLQMNSLRA-EDTAVYYCARG-------------------------------GQYWG-QGTLVTVSS</t>
  </si>
  <si>
    <t>QVQ-LQQSGT-ELVRPGASVKLSCKASGYTF---------TSYWIR-WVKQ-R-P-G-Q--G-LE-WIGMIPYNG----------YTTEKY--N--Q--NF--K---DKATLTA-D---K-S--SS----T-AFMQLSSLTS-EDSAVYYCARERWY--------------------------RTSDYWG-QGTLVTVSA</t>
  </si>
  <si>
    <t>DIQ-LTQSPSFLSASVGDRVTITCRASQSIG----------STFLA-WYQQ-K-P-G-K--A-PK-LLIYAA----------------SSL--Q--S--GV--P---SRFSGSG-------S--GT----D-FTLTISSLQP-EDFATYYCQQSYS----------------------------TPRTFG-GGTKLEIK-</t>
  </si>
  <si>
    <t>EVQ-LVESGG-GLVQPGGSLRLSCAASGFTF---------SSYGMH-WVRQ-A-P-G-K--G-LE-WVANINQD-----------GSEKYY--V--D--SV--K---GRFTISR-D---N-A--KN----S-LYLQMNSLRA-EDTAVYYCAREGYSGYP--------------------SGYLYYDYWG-QGTLVTVSG</t>
  </si>
  <si>
    <t>DIQ-MTQSPSSLSASVGDRVTITCRSSQSI-----------SSYLN-WYQQ-K-P-G-K--A-PK-LLIYAA----------------SSL--Q--S--GV--P---SRFSGSG-------S--GT----D-FTLTISSLQP-EDFATYYCQQSYY---------------------------SFPFTFG-QGTKVEIK-</t>
  </si>
  <si>
    <t>QVQ-LQQSGP-GLVKPSQTLSLTCAISGDSV----------SSYWS-WIRQ-S-P-S-R--G-LE-WLASIWSG------------SNTYY--N--P--SL--R---SRVIISV-D---T-S--KN----Q-FSLKL---TA-ADTALYYCASYWY---------------------------EGWSYWG-QGTLVTVSS</t>
  </si>
  <si>
    <t>-IV-MTQSPSSLSASVGDRVLTSCKSSQSI-----------SSYLN-WYQQ-K-P-G-K--A-PK-LLIYDA----------------SNL--E--T--GV--P---ARFSGSG-------S--GT----D-FTLTISSLQP-EDFAVYYCQQHWS----------------------------TPRTFG-QGTKVEIK-</t>
  </si>
  <si>
    <t>QVQ-LQESGP-GLVRPSETLSLTCTVSGGSIT--------SYYTWG-WIRQ-P-P-G-K--G-LE-WIGSIYSG------------DSTYY--N--P--SL--K---SRVTISV-D---T-S--KN----Q-FSLKLSSVTA-ADTAVYYCARVYVRH-----------------------GDGYFDYWG-QGTLVTVSS</t>
  </si>
  <si>
    <t>DIQ-MTQSPSSVSASVGDRVTITCRASQGI-----------SSWLA-WYQQ-K-P-G-K--A-PK-LLIYAA----------------STL--Q--S--GV--P---SRFSGSG-------S--GT----D-FTLTISSLQP-EDFATYYCQQLNS----------------------------SPWTFG-QGTKVEIK-</t>
  </si>
  <si>
    <t>QVQ-LQESGP-GLVKPSQTLSLTCTVSGGSI---------SSGSYY-WIRQ-P-P-G-K--G-LE-WIGYIYYN------------GSTNY--N--P--SL--R---SRVTMSV-D---T-S--KN----Q-FSLKLSSVTA-ADTAVYYCARLGPP-------------------------LYWFDPWG-QGTLVTVSS</t>
  </si>
  <si>
    <t>-IQ-MTQSPSSLSASVGDRVTITCRASQDI-----------SNYLA-WYQQ-K-P-G-K--A-PK-LLIYAA----------------SSL--Q--S--GV--P---SRFSGSG-------S--GT----D-FTLTISSLQP-EDFATYYCLQHNW----------------------------SPQTFG-QGTRLEI--</t>
  </si>
  <si>
    <t>QVQ-LQESGP-GLVKPSQTLSLTCTVSGGSI---------SSSGYY-WIRQ-P-P-G-K--G-LE-WIGYIYYS------------GSTNY--N--P--SL--K---SRVTISV-D---T-S--KN----Q-FSLKLSSVTA-ADTAVYYCARLS-----------------------------SFDYWG-QGTLVTVSS</t>
  </si>
  <si>
    <t>EVQ-LVESGG-GLVKPGGSLRLSCAASGFSF---------SDYAMS-WVRQ-A-P-G-K--G-LE-WVSGISWSG----------DSDTYY--A--D--SV--K---GRFTISR-D---N-S--KN----T-VFLQMNSLRA-EDTAIYYCARVWGYSYG--------------------YGYWYFDVWG-QGTTVTVSS</t>
  </si>
  <si>
    <t>DIV-MTQSPDSLAVSLGERATINCKSSQSVLYS-----SNNKNYLA-WYQQ-K-P-G-Q--P-PK-LLIYWA----------------STR--E--S--GV--P---DRFSGSG-------S--GT----D-FTLTISSLQA-EDVAVYYCQQYYS---------------------------TPPYTFG-QGTKLEIK-</t>
  </si>
  <si>
    <t>QVQ-LQQSGP-GLVKPSQTLSLTCAISGDSV----------SSGNS-WIRQ-S-P-S-R--G-LE-WLGRIYA-------------SYWGY--A--S--WA--K---GRFTISR-D---D-S--KN----Q--YLQLTSLKS-EDTAMYYCARGL-----------------------------LRGYWG-QGTTVTVSS</t>
  </si>
  <si>
    <t>DIV-MTQSHKFMSTSVGDRVSITCKASQNV-----------ITNLA-WYQQ-K-P-G-Q--A-PK-LLIYDA----------------SNL--A--S--GV--P---SRFSGGG-------S--GT----D-FTLTISGVQA-DDEAVYYCQQYDL----------------------------YPLTFG-SGTKLELK-</t>
  </si>
  <si>
    <t>QVH-LQESGP-GLVKPSETLSLTCTVSGGSVS--------SGYYWT-WIRQ-P-P-G-K--G-LE-WIGNIYGS------------GTTNY--N--P--SL--K---SRVTISV-D---T-S--KN----Q-FSLKLSSVTA-ADTAVYYCARGRYGY-----------------------GYWYFDVWG-PGTVVTVSS</t>
  </si>
  <si>
    <t>DIQ-MTQSPASLSASVGETVTITCRASGNI-----------HNYLA-WYQQ-K-Q-G-K--S-PQ-LLVYAA----------------TNL--A--D--GV--P---SRFSGSG-------S--GT----Q-YSLKINSLQP-EDFGSYYCQHFWS----------------------------TPRTFG-QGTRLEIK-</t>
  </si>
  <si>
    <t>QVQ-LVQSGA-EVKKPGSSVKVSCKASGGSF---------NSYAIS-WVRQ-A-P-G-Q--G-LE-WMGGIIPI-----------LGIANY--A--Q--KF--Q---GRVTITA-D---K-S--TS----T-AYMELSSLRS-EDTAVYYCAREYG---------------------------GGYDYWG-QGTLVTVSS</t>
  </si>
  <si>
    <t>DIQ-MTQSPSSVSASVGDRVTITCRASQGI-----------SSWLA-WYQQ-K-P-G-K--A-PK-LLIYA-----------------ASR--Y--T--GV--P---SRFSGSG-------S--GT----D-FTLTISSLQP-EDFATYYCQQYSS----------------------------YPLTFG-QGTKVEIK-</t>
  </si>
  <si>
    <t>EVQ-LVESGG-RLVQPGRSLRLSCAASGFTF---------SSYAMH-WVRQ-A-P-G-K--G-LE-WVAAIRNS------------DYTYY--A--D--SV--K---GRFTISR-D---N-S--KN----T-LYLQMNSLRA-EDTAVYYCAKDW-----------------------------SYDVWG-QGTLVTVSS</t>
  </si>
  <si>
    <t>DIQ-MTQSPSSLSAAVGDRVTITCRASQSI-----------SSYLN-WYQQ-K-P-G-K--A-PK-LLIYAA----------------SSL--Q--S--GV--P---SRFSGSG-------S--GT----D-FTLTISSLQP-EDFATYYCQQSYS---------------------------TLALTFG-GGTKVEIK-</t>
  </si>
  <si>
    <t>DIQ-MTQSPSSLSASVGDRVTITCRASQSV-----------SSAVA-WYQQ-K-P-G-K--A-PK-LLIYSA----------------SSL--Y--S--GV--P---SRFSGSR-------S--GT----D-FTLTISSLQP-EDFATYYCQQFSL----------------------------YSFTFG-QGTKVEIK-</t>
  </si>
  <si>
    <t>EVQ-LVESGG-GLVQPGGSLRLSCAASGFTF---------SSYWMN-WVRQ-A-P-G-K--G-LE-WVANINPED----------GGTTYY--A--D--SV--K---GRFTISR-D---N-S--KN----T-LYLQMNSLRA-EDTAVYYCARDRYYG-----------------------SSYYPDYWG-QGTLVTVSS</t>
  </si>
  <si>
    <t>-VI-YTQSPSVLSASVGDRVTITCRASQSV-----------SSAVA-WYQQ-K-P-G-K--A-PK-LLIYSA----------------SFL--Y--S--GV--P---SRFSGSR-------S--GT----D-FTLTISSLQP-EDFATYYCQQSSS----------------------------SLITFG-QGTKVEIK-</t>
  </si>
  <si>
    <t>QVQ-LVQSGA-EVKKSGESLKISCKGSGYSF---------TSYWIG-WVRQ-M-P-G-K--G-LE-WMGIIYPG-----------DSDTRY--S--P--SF--Q---GQVTISA-D---K-S--IS----T-AYLQWSSLKA-SDTAMYYCARHGS----------------------------SYDYWG-QGTLVTVSS</t>
  </si>
  <si>
    <t>DIQ-MTQSPSSLSASVGDRVTITCRASQSI-----------SSYLN-WYQQ-K-P-G-K--A-PK-LLIYAA----------------SSL--Q--S--GV--P---SRFSGSG-------S--GT----D-FTLTISSLQP-EDFATYYCQQSYS---------------------------FPPFTFG-PGTKVDIK-</t>
  </si>
  <si>
    <t>QVQ-LQQSGA-ELVKPGASVKLSCTASGFNI---------KDTYMH-WVKQ-R-P-E-Q--G-LE-WIGRIDPA-----------NGNTKY--D--P--KF--Q---GKATITA-D---T-S--SN----T-AYLQLSSLTS-EDTAVYYCARERGY--------------------------GYFDYWG-QGTTLTVSS</t>
  </si>
  <si>
    <t>DIL-MTQSPSSMSVSLGERVTMTCKASQDI-----------NSYLA-WYQQ-K-P-G-K--S-PK-LLIYWA----------------STR--E--S--GV--P---DRFTGSG-------S--GT----D-FTLTISSVQA-EDLADYFCQQSYS----------------------------TPRTFG-GGTKLEIK-</t>
  </si>
  <si>
    <t>QVQ-LQQSGA-ELVKPGASVKLSCTASGFNI---------KDTYMH-WVKQ-R-P-E-Q--G-LE-WIGRIDPA-----------NGNTKY--D--P--KF--Q---GKATITA-D---T-S--SN----T-AYLQLSSLTS-EDTAVYYCVRPYYG--------------------------YAFDYWG-QGTSVTVSS</t>
  </si>
  <si>
    <t>DVV-MTQSPSSMYASLGERVTITCKASQDI-----------SSYLA-WYQQ-K-P-G-Q--S-PK-LLIYWA----------------STR--E--S--GV--P---DRFTGSG-------S--GT----D-FTLTISSVQA-EDLAVYYCQNDYS----------------------------YPLTFG-AGTKLELK-</t>
  </si>
  <si>
    <t>-SV-LTQPPS-VSGAPGQRVTISCTGSSSNIG--------AGYDVH-WYQQ-L-P-G-T--A-PK-LLIYGN----------------SNR--P--S--GV--P---DRFSGSK-------S--GT----S-ASLAITGLQA-EDEADYYCQSYDR----------------------------SLSWFG-GGTKLTVL-</t>
  </si>
  <si>
    <t>QVQ-LVESGG-GVVQPGRSLRLSCAASGFTF---------SHYAMH-WVRQ-A-P-G-K--G-LE-WVAVIWYD-----------GSNTYY--A--D--SV--K---GRFTISR-D---N-S--KN----T-LYLQMNSLRA-EDTAVYYCARERG---------------------------HGGDYWG-QGTLVTVSS</t>
  </si>
  <si>
    <t>DIQ-MTQSPSTLSASVGDRVTITCRASQSI-----------SSWLA-WYQQ-K-P-G-K--A-PK-LLIYAA----------------SSL--Q--S--GV--P---SRFSGSG-------S--GT----D-FTLTISSLQP-EDFATYYCQQSY-----------------------------YSYTFG-QGTKVEIK-</t>
  </si>
  <si>
    <t>EVQ-LVESGG-GLVQPGGSLRLSCAASGFNV---------SYYSIH-WVRQ-A-P-G-K--G-LE-WVASIYSS-----------SGSTSY--A--D--SV--K---GRFTISA-D---T-S--KN----T-AYLQMNSLRA-EDTAVYYCASYYSYAS---------------------GMYYYFDYWG-QGTLVTVSS</t>
  </si>
  <si>
    <t>DIQ-MTQSPSSLSASVGDRVTITCRASQSV-----------SSAVA-WYQQ-K-P-G-K--A-PK-LLIYSA----------------SSL--Y--S--GV--P---SRFSGSR-------S--GT----D-FTLTISSLQP-EDFATYYCQQIWS---------------------------TFPITFG-QGTKVEIK-</t>
  </si>
  <si>
    <t>QVQ-LVQSGA-EVKKPGASVKVSCKASGYTF---------TGYYMH-WVRQ-A-P-G-Q--G-LE-WMGWINNS------------GGTNY--A--Q--KF--Q---GRVTMTR-D---T-S--IS----T-AYMEL---RS-DDTAVYYCARGYG----------------------------GYDYWG-QGTLVTVSS</t>
  </si>
  <si>
    <t>DIQ-LTQSPSSLSASVGDRVTTLCRASKIS-----------KYSVS-WFQQ-K-P-G-K--A-PK-LLIYAA----------------SSL--Q--S--GV--P---SRFSGSG-------S--GT----D-FTLTISSLQP-EDFATYYCQQYNN----------------------------YPLTFG-GGTKVEIK-</t>
  </si>
  <si>
    <t>QVH-LQESGP-GVVKPSETLSLTCAVSGGSIS--------SGYYWG-WIRQ-P-P-G-K--G-LE-WIGEIYHS------------GSTNY--N--P--SL--K---SRVTISL-D---N-S--KN----Q-FSLKLTSVTA-ADTAVYYCARQY-----------------------------LGDYWG-QGTTVTVSS</t>
  </si>
  <si>
    <t>DIV-MTQSPLSLSVTPGEPASISCRSSQSLLHS------NGYNYLD-WYLQ-K-P-G-Q--S-PQ-LLIYLG----------------SNR--A--S--GV--P---DRFSGSG-------S--GT----D-FTLKISRVEA-EDVGVYYCMQALQ----------------------------TPFTFG-PGTKVDIK-</t>
  </si>
  <si>
    <t>QSA-LTQPAS-VSGSPGQSITISCTGTSSDVG--------GYNYVS-WYQQ-H-P-G-K--A-PK-LIIYEV----------------TTR--P--S--GV--S---NRFSGSK-------S--GN----T-ASLTISGLQA-EDEADYYCSSYAG---------------------------NSLVVFG-GGTKLTVL-</t>
  </si>
  <si>
    <t>EVQ-LVESGG-GLVKPGGSLRLSCSASGFEF---------SSYDMN-WVRQ-T-P-E-K--R-LE-WVAYISSG-----------GGST-Y--P--D--TV--K---GRFTISR-D---N-A--KN----T-LYLQM---KS-EDTAMYYCTRERWDG-----------------------WGPSFDYWG-QGTTLTVSS</t>
  </si>
  <si>
    <t>DIQ-MTQSPSSLSASVGDRVTITCRASQSV-----------SSYLN-WYQQ-K-P-G-K--A-PK-LLIYAA----------------SSL--Q--S--GV--P---SRFSGSG-------S--GT----D-FTLTISSLQP-EDFATYYCQQANS----------------------------YPFTFG-PGTKVDIK-</t>
  </si>
  <si>
    <t>QVQ-LQESGP-GLVKPSETLSLTCTVSGGSI---------SSYYWS-WIRQ-P-P-G-K--G-LE-WIGYIYYS------------GSTNY--N--P--SL--K---SRVTISV-D---T-S--KN----Q-FSLKLSSVTA-ADTAVYYCARTYVYGY----------------------GYGYFDLWG-PGTLVTVSS</t>
  </si>
  <si>
    <t>--V-LTQPPS-VSGAPGQRVTISCTGSSGA-----------GYDVH-WYQQ-L-P-G-T--A-PK-LLIYSN----------------NQR--P--S--GV--P---DRFSGSK-------S--GT----S-ASLAITGLQS-EDEADYYCAAWDD----------------------------SLSGAG-FGTRLTVL-</t>
  </si>
  <si>
    <t>QVQ-LQQSGA-ELVKPGASVKLSCTASGFNI---------KDTYMY-WVKQ-R-P-E-Q--G-LE-WIGRIDPA-----------NGDTKY--D--P--KF--Q---GKATITA-D---T-S--SN----T-AYLQLSSLTS-EDTAVYYCVRPLYD-------------------------YYAMDYWG-QGTSVTVSS</t>
  </si>
  <si>
    <t>DVV-MTQTPLSLPVSLGDQASISCRSSQSLVHS------NGNTYLE-WYLQ-K-P-G-Q--S-PK-LLIYKV----------------SNR--F--S--GV--P---DRFSGSG-------S--GT----D-FTLKISRVEA-EDLGVYFCSQSTH----------------------------VPFTFG-AGTKLELK-</t>
  </si>
  <si>
    <t>-VQ-LQQSGA-ELVKPGASVKLSCTASGFNI---------KDTYMY-WVKQ-R-P-E-Q--G-LE-WIGRIDPA-----------NGDTKY--D--P--KF--Q---GKATITT-D---T-F--SN----T-AYLQLSSLTS-EDTAVYYCVRPLYD-------------------------YYAMDYWG-QGTSVTVSS</t>
  </si>
  <si>
    <t>DIL-LTQSPAILSVSPGERVSFSCRASQSI-----------GTDIH-WYQQ-R-T-N-E--S-PR-LLIKYA----------------SES--I--S--GI--P---SRFSGSG-------S--GT----D-FTLSINSVES-EDIADYYCQQSNR----------------------------WPFTFG-SGTKLEIK-</t>
  </si>
  <si>
    <t>QVQ-LQESGP-GLVKPSETLSLTCTVSGGSVS-------SGGYWWS-WIRQ-P-P-G-K--G-LE-WIGEIYYN------------GDTNY--N--P--SL--K---SRVTISV-D---T-S--KN----Q-FSLKLSSVTA-ADTAVYYCARHGVSP------------------------TGYFDHWG-QGTLVTVSS</t>
  </si>
  <si>
    <t>DIV-LTQSPSSKSASVGDRVTITCRASQGI-----------SNYLA-WYQQ-K-P-G-K--A-PK-LLIYAA----------------SSL--Q--S--GV--P---SRFSGSG-------S--GT----D-FTLTISSLQP-EDFATYYCQQYSS----------------------------YPLTFG-GGTKVEIK-</t>
  </si>
  <si>
    <t>QVQ-LQQSGP-ELVKPGASVKISCKASGYSF---------TSYWIM-WVKQ-R-P-G-K--G-LE-WIGYINPS-----------SGNTK---N--Q--KF--QK--LKATLTV-D---K-S--SS----T-AYMQI-TLRS-EDTSIYYCASGYRQ-------------------------YDGFDIWG-QGTTVTVSS</t>
  </si>
  <si>
    <t>DIQ-MTQTTSSLSASLGDRVTISCRASQDI-----------SNYLN-WYQQ-K-P-D-G--T-VK-LLIYYT----------------SRL--H--S--GV--P---SRFSGSG-------S--GT----D-YSLTISNLEQ-EDIATYFCQQGNT----------------------------LPWTFG-GGTKLEIK-</t>
  </si>
  <si>
    <t>DIV-MTQSPSSLAVSAGEKVTMSCKSSQSVLSS-----RNQKNYLA-WYQQ-K-P-G-Q--P-PK-LLIYWA----------------STR--E--S--GV--P---DRFTGSG-------S--GT----D-FTLTISSVKA-EDLAVYYCQQYYS----------------------------YPLTFG-AGTKLELK-</t>
  </si>
  <si>
    <t>EVQ-LVESGG-GLVQPGGSLRLSCAASGFNV---------SYYSIH-WVRQ-A-P-G-K--G-LE-WVASIYSS-----------SGSTYY--A--D--SV--K---GRFTISA-D---T-S--KN----T-AYLQMNSLRA-EDTAVYYCARWGSLY-----------------------DGGAMDYWG-QGTLVTVSS</t>
  </si>
  <si>
    <t>DVV-MTQSPLSLPVTPGEPASISCRSSQSLLHS------NGYNYLD-WYLQ-K-P-G-Q--S-PQ-LLIYLG----------------SNR--A--S--GV--P---DRFSGSG-------S--GT----D-FTLKISRVEA-EDVGVYYCMQALQ----------------------------TPGTFG-QGTKVEIK-</t>
  </si>
  <si>
    <t>QVQ-LKESGP-GLVAPSQSLSITCTVSGFSL---------TNYGVH-WVRQ-P-P-G-K--G-LE-WLGVIWAG------------GSTDY--N--A--AF--GS--VKSRISR-DS--N-A--KN----M-LYM---------DTATYYCARDRG----------------------------YFDYWG-QGTLVTVSS</t>
  </si>
  <si>
    <t>DIQ-MTQSPSSLSASLGDRVTITCKASQDI-----------NNYLN-WYQQ-K-P-G-K--A-PK-LLIYAA----------------SSL--Q--S--GV--P---SRFSGSG-------S--GT----D-FTLTISSLQP-EDFATYYCQQSYS---------------------------TLALTFG-GGTKVEIK-</t>
  </si>
  <si>
    <t>QVQ-LVQSGA-EVKKPGSSVRVSCKASGGTF---------NSYAIS-WVRQ-A-P-G-Q--G-LE-WMGGIIPVL----------GIMANY--A--Q--KF--Q---GRVTITA-D---E-S--TS----T-AYMELSSLRS-EDTAVYYCARSVQGG-----------------------FYGDSDYWG-QGTLVTVSS</t>
  </si>
  <si>
    <t>DIQ-LTQSPSSLSASVGDRVTITCRASQGI-----------RDYLN-WYQQ-K-P-G-K--A-PK-LLIYAA----------------SSL--Q--S--GV--P---SRFSGSG-------S--GT----D-FTLTISSLQP-EDFATYYCQQSYS----------------------------TPWTFG-QGTKVEIK-</t>
  </si>
  <si>
    <t>DVQ-LVESGG-GVVQPGGSLRLSCAASGFNF---------SNYGMQ-WVRQ-A-P-G-K--G-LE-WVAVISYD-----------GSNFYY--A--D--SV--K---GRFTISR-D---N-A--KN----S-LYLQMNSLRA-EDTAVYYCARSAGG--------------------------SAMDYWG-QGTLVTVSS</t>
  </si>
  <si>
    <t>QVQ-LQQSGA-ELMKPGASVKISCKTSGYTF----------TYWIE-WVKQ-R-P-G-H--G-LE-WIGQIYPG-----------DGDTKY--N--G--KF--K---GKATLTV-D---R-S--SS----T-AYMELSSLTS-EDSAVYYCARGGW---------------------------YGFAYWG-QGTTLTVSS</t>
  </si>
  <si>
    <t>DIV-MTQSQKFMSTSVGDRVSITCKASQNV-----------RTSVA-WYQQ-K-P-G-Q--S-PK-ALIYSA----------------SYR--Y--S--GV--P---DRFTGSG-------S--GT----D-FTLTIS-VQA-EDLADYFCQQSYS----------------------------TPRTFG-GGTKLEIK-</t>
  </si>
  <si>
    <t>QVQ-LQQSGA-ELVKPGASVKLSCTASGFNI---------KDTYIH-WVKQ-R-P-E-Q--G-LE-WIGRIDPA------------NHTGY--T--Q--KF--K---GKATITA-D---T-S--SN----T-AYLQLSSLTS-EDTAVYYCVRPLYD-------------------------YYAMDYWG-QGTSVTVSS</t>
  </si>
  <si>
    <t>DVV-MTQSQKFMSTSVGDRVSITCKASQNV-----------GTNVA-WYQQ-K-P-G-Q--S-PK-LLIYWA----------------STR--H--T--GV--P---DRFTGSG-------S--GT----D-FTLTISNVQS-EDLADYFCHQYSS----------------------------YPLTFG-GGTKLEIK-</t>
  </si>
  <si>
    <t>EVQ-LVESGG-GLVQPGGSLRLSCAASGFNV---------SSYSIH-WVRQ-A-P-G-K--G-LE-WVASIYSY-----------SGSTYY--A--D--SV--K---GRFTISA-D---T-S--KN----T-AYLQMNSLRA-EDTAVYYCAR---------------------------------QIWG-QGTLVTVSS</t>
  </si>
  <si>
    <t>DIQ-MTQSPSSLSASVGDRVTITCRASQDV-----------STAVA-WYQQ-K-P-G-K--A-PK-LLIYSA----------------SFL--Y--S--GV--P---SRFSGSG-------S--GT----D-FTLTISSLQP-EDFATYYCQQYSY----------------------------HPPTFG-QGTKVEIK-</t>
  </si>
  <si>
    <t>QVQ-LVQSGA-EVKKPGASVKVSCKASGYTF---------TSYGIS-WVRQ-A-P-G-Q--G-LE-WMGWISAY-----------NGNTNY--A--Q--KL--Q---GRVTMTT-D---T-S--TS----T-AYMELRSLRS-DDTAVYYCARGGWISLYY------------------DSSYYYMDVWG-QGTTVTVSS</t>
  </si>
  <si>
    <t>DIQ-MTQSPSSLSASVGDRVTITCQASQDI-----------SNYLN-WYQQ-K-P-G-K--A-PK-LLIYAA----------------SSL--Q--S--GV--P---SRFSGSG-------S--GT----D-FTLTINSLQP-EDFATYYCQQSYS----------------------------TPLTFG-GGTKVEIK-</t>
  </si>
  <si>
    <t>-VQ-LQQSGA-ELVKPGASVKLSCTASGFNI---------KDTYMH-WVKQ-R-P-E-H--G-LE-WIGRIDPA-----------NGDTKY--D--P--KF--Q---GKATMTA-D---T-S--SN----T-AYLQLSSLTS-EDTAVYYCARERGDG------------------------YGYFDYWG-QGTSVTVSS</t>
  </si>
  <si>
    <t>DIV-MTQSHKFMSTSVGDRVSITCKASQSI------------DYVS-WYQQ-K-P-G-K--A-PN-LLIYAA----------------SSL--A--S--GV--P---SRFSGGG-------S--GA----D-YSLTISSVQA-EDLALYYCQQHYS----------------------------TPRTFG-GGTKLEIK-</t>
  </si>
  <si>
    <t>QVQ-LQESGP-GLVKPSETLSLTCTVSGGSI---------SNYYWT-WIRQ-S-P-G-K--G-LE-WIGYIYYS------------GSTYY--N--P--SL--K---SRVTISV-D---T-S--KN----Q-FSLRLS---A-ADTAVYYCARRGE----------------------------VVDVWG-KGTTVTVSS</t>
  </si>
  <si>
    <t>DIQ-MTQSPSSLSAAVGDRVTITCQASQNID----------TKYLN-WYQQ-K-P-G-K--A-PK-LLIYDA----------------SNL--Q--S--GV--P---SRFSGSG-------S--GT----D-FTLTISSLQP-EDFATYYCQQSYS----------------------------TPFTFG-PGTKVEIK-</t>
  </si>
  <si>
    <t>QVQ-LQQSGP-GLVKPSQTLSLTCAISGDSV---------SSNWWS-WIRQ-S-P-G-K--G-LE-WIGYIYYS------------GSTYY--N--P--SL--K---SRTSIS--D---T-S--KN----Q-VSLKLNSVTA-ADTAVYYCARHGYY--------------------------YDLDYWG-QGTSVTVSS</t>
  </si>
  <si>
    <t>DIQ-MTQSSSSFSVSLGDRVTISCKASQS-------------VDYA-WNQQ-K-P-G-K--S-PK-LWYQS-----------------L-N--Q--S--GV--P---SRFSGSG-------S--GT----D-FTLTISSLQP-EDFATYYCQQSYS----------------------------TPPTFG-GGTKLEIK-</t>
  </si>
  <si>
    <t>EVQ-LVESGG-GLVQPGGSLSLSCAASGFTF---------SNYAMN-WVRQ-A-P-G-K--G-LE-WVSVSYS-------------GSTYY--A--A--SV--K---GRFTISR-D---N-S--KN----T-LYLQM---RA-EDTAVYYCAKVTGY--------------------------VAMDYWG-QGTLVTVSS</t>
  </si>
  <si>
    <t>DIV-MTQSPSSLSASVGDRVTITCRASQSI-----------SSYLN-WYQQ-K-P-G-K--A-PK-LLIYAA----------------SSL--Q--S--GV--P---SRFSGSG-------S--GT----D-FTLTISSLQP-EDFAAYYCQQSYS----------------------------TPWTFG-QGTKVEIK-</t>
  </si>
  <si>
    <t>QVQ-LQESGP-GLVKPSQTLSLTCTVSGGSIS-------SGSYYWS-WIRQ-P-P-G-K--G-LE-WIGSIYYS------------GSTYY--N--P--SL--K---SRVTISV-D---T-S--KN----Q-FSLKLSSVTA-ADTAVYYCARLKYFD-----------------------HWYTSDYWG-KGTLVTVSS</t>
  </si>
  <si>
    <t>QAV-VTQESA-LTTSPGETVTLTCRSSTGAVT--------TINFAN-WVQE-K-P-D-H--L-FT-GLIGGT----------------NNR--A--P--GV--P---ARFSGSR----------------D-YSLTISSLES-EDTATYFCQQGY-----------------------------TPLTFG-AGTKLELK-</t>
  </si>
  <si>
    <t>QVQ-LVQSGA-EVKKPGASVKVSCKASGYTF---------TGYYMH-WVRQ-A-P-G-Q--G-LE-WMGWINNS------------GGTNY--A--Q--KF--Q---GRVTMTR-D---T-S--IS----T-AYMELSRLRS-DDTAVYYCARGGWYG------------------------SSPMDYWG-QGTLVTVSS</t>
  </si>
  <si>
    <t>EIV-LTQSPGTLSLSPGERATLSCRASQSVS----------SSYLA-WYQQ-K-P-G-Q--A-PR-LLIYGA----------------SSR--A--T--GI--P---DRFSGSG-------S--GT----D-FTLTISRLEP-EDFAVYYCQQYGS---------------------------SGTITFG-QGTKVEIK-</t>
  </si>
  <si>
    <t>QLQ-LQESGP-GLVKPSQTLSLTCTVSGFSL---------TSYGVH-WVRQ-P-P-G-K--G-LE-WLGVIWGD------------GNTDY--N--S--AL--K---SRLSISK-D---N-S--QS------ISLQVSLEAT-ADTATYYCAIKDGQHNH-------------------SWWANWFDVWG-AGTTVTVSS</t>
  </si>
  <si>
    <t>DVL-MTQTPLSLPVSLGDQASISCRSSQNG-----------NTYLE-WYLQ-K-P-G-Q--S-PK-LLIYKV----------------SNR--F--S--GV--P---DRFSGSG-------S--GT----D-FTLKINRVEA-EDLGVYYCFQGSH----------------------------VPWTFG-GGTKLEIK-</t>
  </si>
  <si>
    <t>QVQ-LVQSGA-EVKKPGASVKVSCKASGYTF---------TGYYMH-WVRQ-A-P-G-Q--G-LE-WMGWINNS------------GGTNY--A--Q--KF--Q---GRVTMTR-D---T-S--IS----T-AYMELSRLRS-DDTAVYYCARGGWIS-----------------------LYYDSSYWG-QGTLVTVSS</t>
  </si>
  <si>
    <t>SYE-LTQPPS-VSVSPGQTARISCSGNIIN------------YDVS-WYQQ-H-P-G-K--A-PK-LMIYDV----------------SDR--P--S--GI--P---ERFSGSN-------S--GN----T-ATLTISGTQA-MDEADYYCQAWDT---------------------------SDSVVFG-GGTKLTVL-</t>
  </si>
  <si>
    <t>QVQ-LQQSGA-ELARPGASVKLSCKASGYTF---------TNYWMY-WVKQ-R-P-G-Q--G-LE-WIGWIFYP-----------GDYTEY--N--E---F--K---GKATLTA-D---K-S--SS----T-AYMQLTSLTS-EDSAVYYCARSRG---------------------------YAFDYWG-QGTTLTVSS</t>
  </si>
  <si>
    <t>DIL-LTQSPAILSVSPGERVSFSCRASQSI-----------GTSIH-WYQQ-R-T-N-G--S-PR-LLIKYA----------------SES--I--S--GI--P---SRFSGSG-------S--GT----D-FTLSINSVES-EDIANYYCQQSNR----------------------------WPFTFG-SGTKLEIK-</t>
  </si>
  <si>
    <t>DIQ-MTQSPSSLSASVGDRVTITCRASQSV-----------SSAVA-WYQQ-K-P-G-K--A-PK-LLIYSA----------------SYR--Y--T--GV--P---SRFSGSG-------S--GT----D-FTLTISSLQP-EDFATYYCQQSY-----------------------------YPYTFG-QGTKVEIK-</t>
  </si>
  <si>
    <t>EVQ-LVESGG-GLVQPGRSLRLSCAASGFTF---------DDYAIH-WVRQ-A-P-G-K--G-LE-WVSGIDSSS---------SSSYIDY--A--D--SV--K---GRFTISA-D---T-S--KN----T-AYLQMNSLRA-EDTAVYYCARWY-----------------------------YYWYWG-QGTLVTVSS</t>
  </si>
  <si>
    <t>DIQ-MTQSPSSLSASVGDRVTITCQASQDI-----------RNNLN-WYQQ-K-P-G-K--A-PK-LLIYAA----------------SSL--Q--S--GV--P---SRFSGSG-------S--GT----D-FTLTISSLQP-EDFATYYCQQYI------------------------------QWTFG-QGTKVEIK-</t>
  </si>
  <si>
    <t>EVQ-LVESGG-GLVKPGGSLKLSCAASGFTF---------SNYAMS-WVRQ-T-P-E-K--R-LE-WVAYISSG-----------GGYTYY--P--D--TV--K---GRFTISR-D---N-A--KN----T-LYLQMSSLKS-EDTAMYYCARRGDYF-----------------------GGYAAVYWG-QGTTLTVSS</t>
  </si>
  <si>
    <t>QAV-VTQEPS-FAVSVGGTVT-NCVKSSQYII--------DYDYVS-WYQQ-R-P-E-Q--S-PK-RVMVV-----------------IYD--T--S--GI--P---ERFSGSN-------S--GN----T-ATLTISRVEA-EDAATYYCQNEYG---------------------------VVPLTFG-GGTKLTVL-</t>
  </si>
  <si>
    <t>QVH-LQESGP-GLVKPSETLSLTCTVSGGSI---------SSGYYW-WIRQ-P-P-G-K--G-LE-WIGEIYHS------------GSTNY--N--P--SL--K---SRVTISV-D---T-S--KN----Q-FSLKLSSVTA-ADTAVYYCARGGYY--------------------------NILDVWG-QGTTVTVSS</t>
  </si>
  <si>
    <t>-LA-LTQPPS-VSVSPGQTARITCSGDTLG-----------SKYVS-WYQQ-K-P-G-Q--A-PV-LVIYKD----------------SER--P--S--GI--P---ERFSGSS-------S--GT----T-VTLTISGVQA-EDEADYYCQSADSFPF----------------------GGGTRVLFG-GGTKLTVL-</t>
  </si>
  <si>
    <t>QVH-LQESGP-GLVKPSETLSLTCTVSGGSIS--------SGYYWG-WIRQ-P-P-G-K--G-LE-WIGSISY-------------TGTNY--N--P--SL--K---SRVTISV-D---T-S--KN----Q-FSLKLSSVTA-ADTAVYYCATDGYY-------------------------GTMRDVWG-KGTT-----</t>
  </si>
  <si>
    <t>QIV-LSQSPSFLSASVGDRITITCRASQGK------------NFLA-WYQQ-K-P-G-K--A-PK-LLIYDA----------------SSL--E--S--GV--P---SRFSGSG-------S--GT----E-FTLTISSLQP-DDFATYYCQQYKY----------------------------SPTTFG-PGTKVDIK-</t>
  </si>
  <si>
    <t>QVQ-LQESGP-GLVKPSETLSLTCNVSGHLT---------NSYYWS-WIRQ-P-P-G-K--G-LE-WIGYIYYS------------GSTSY--N--P--SL--K---SRVTISR-D---T-S---N----Q-FSLKL---TA-ADTAVYYCARIYY---------------------------GYLVYWG-QGTLVTVSS</t>
  </si>
  <si>
    <t>EIV-MTQSPATLSLSPGERATLSCRASQSV-----------SSYLA-WYQQ-K-P-G-Q--A-PR-LLIYDA----------------SNR--A--T--GI--P---ARFSGSG-------S--GT----D-FTLTISSLEP-EDFAVYYCQQYG-----------------------------SSPTFG-QGTKVEIK-</t>
  </si>
  <si>
    <t>QVQ-LVESGG-GVVQPGRSLRLSCAASGFTF---------SNGGMH-WVRQ-A-P-G-K--G-LE-WVAVIWDG------------SNKYY--A--D--SV--K---GRFTISR-D---N-S--KN----T-LYLQM---RA-EDTAVYYCARDK-----------------------------YYDVWG-QGTTVTVSS</t>
  </si>
  <si>
    <t>DIQ-MTQSPSTLTVSITGD-TITCRASQSI-----------SNYLA-WYQQ-K-P-G-K--A-PR-LLISAS----------------STL--Q--S--GV--P---SRFSGSG-------S--GT----E-FTLTISSLQP-EDFATYYCQQSFS----------------------------SPFTFG-QGTRLEIK-</t>
  </si>
  <si>
    <t>EVQ-LVESGG-GLVKPGGSLRLSCAASGFTF---------SSYAMS-WVRQ-A-P-G-K--G-LE-WVSSISSS-----------SSYIYY--A--D--SV--K---GRFTISR-D---N-A--KN----S-LYLQMNSLRA-EDTAVYYCAKHGGG-------------------------ALWYDFWG-QGTLVTVSS</t>
  </si>
  <si>
    <t>DIQ-MTQSPSSLSASVGDRVTITCRASQSV-----------SSAVA-WYQQ-K-P-G-K--A-PK-LLIYSA----------------SSL--Y--S--GV--P---SRFSGSR-------S--GT----D-FTLTISSLQP-EDFATYYCQQYYL---------------------------VPPGTFG-QGTKVEIK-</t>
  </si>
  <si>
    <t>QVQ-LQESGP-GLVKPSETLSLTCTVSGGSIS--------SGYYWS-WIRQ-P-P-G-K--G-LE-WIGYIYYS------------GSTNY--N--P--SL--K---SRVTISV-D---T-S--KN----Q-FSLKLSSVTA-ADTAVYYCARRSP---------------------------GGGVYWG-QGTLVTVSS</t>
  </si>
  <si>
    <t>EIV-LTQSPGTLSLSPGERATLSCRASQSI------------DYLH-WYQQ-K-P-G-Q--A-PR-LLLYSG----------------STN--Q--S--GV--P---DRFSGSG-------S--GT----D-FTLTISRLEP-EDFAVYYCQQYGS----------------------------SPWTFG-QGTKVEIK-</t>
  </si>
  <si>
    <t>QVQ-LVESGG-GLVKPGGSLRLSCAASGFTF---------SNYAMS-WVRQ-A-P-G-K--G-LE-WVSLISYD------------GSNRY--A--D--SV--K---GRFTISR-D---N-S--KN----T-LYLQMNSLRA-EDTAVYYCARERGDRV---------------------YGYPYFDVWG-QGTTVTVSS</t>
  </si>
  <si>
    <t>DIQ-MTQSPSSLSASVGDRVTITCRASQSV-----------SSNLA-WYQQ-K-P-G-K--A-PK-LLIYSA----------------SFL--Y--S--GV--P---SRFSGSR-------S--GT----D-FTLTISSLQP-EDFATYYCQQSSY---------------------------WLPITFG-QGTKVEIK-</t>
  </si>
  <si>
    <t>QVQ-LVQSGA-EVKKPGSSVKVSCKASGYTF---------NPYGIS-WVRQ-A-P-G-Q--G-LE-WMGWISAY-----------NGNTNY--A--Q--KL--Q---GRVTMTT-D---T-S--TS----T-AYMELRSLRS-DDTAVYYCARSWQYL------------------------VYGMDVWG-QGTTVTVSS</t>
  </si>
  <si>
    <t>EIV-LTQSPGTLSVSPGERATLSCRASQSV-----------SSYLA-WYQQ-K-P-G-Q--A-PR-LLIYGA----------------SSR--A--T--GI--P---DRFSGSG-------S--GT----D-FTLTISRLEP-EDFAVYYCQQYGS----------------------------SPRTFG-QGTKVEIK-</t>
  </si>
  <si>
    <t>EVQ-LVESGG-GLVQPGGSLRLSCAASGFTF---------SSYWMS-WVRQ-A-P-G-K--G-LE-WVANIKQD-----------GSEKYY--V--D--SV--K---GRFTISR-D---N-A--KN----S-LFLQMNSVRA-EDTAVYYCARSPY----------------------------SDDYWG-QGTLVTVSS</t>
  </si>
  <si>
    <t>SYE-LTQPPS-VSVSPGQTARITCSGDALP-----------KQYVY-WYQQ-K-P-G-Q--A-PV-LVIYKD----------------DER--P--S--GI--P---ERFSGSN-------S--GN----T-ATLTISGTQA-MDEADYYCQVWDSS-------------------------SSGANVFG-GGTKLTVL-</t>
  </si>
  <si>
    <t>EVQ-LVQSGGGGLVQPGGSLRLSCATSGFTF---------SSYAMS-WVRQ-A-P-G-K--G-LE-WVSGISWN-----------SGSSTY--A--D--SV--K---GRFTISR-D---N-S--KN----T-LSLQMNSLRA-EDTAVYYCARVDDG--------------------------FLFDVWG-QGTTVTVSS</t>
  </si>
  <si>
    <t>SYE-LTQPPS-VSVAPGQTARITCGGNNIGRTW-----YANGYFLH-WYQQ-K-P-G-Q--A-PV-LVIYDV----------------SNR--P--S--GF--S---------------A-S--GN----T-ASLTISRLQA-EDEADYYCGSAD-----------------------------SSQVFG-GGTKLTVG-</t>
  </si>
  <si>
    <t>EVQ-LVQSGA-EVKKPGSSVKVSCKASGYTF---------TNYGIS-WVRQ-A-P-G-Q--G-LE-WMGRITG-------------TKYTY--A--Q--KF--Q---GRVTITR-D---T-S--TS----T-AYMEL---RS-EDTAVYYCARVG-----------------------------YGDSWG-QGTLVTVSS</t>
  </si>
  <si>
    <t>DIV-MTQSPDSLAVSLGERATINCKSSQYASLS------SRNNYLF-WYQQ-K-P-G-Q--P-PK-LLIYWA----------------STR--E--S--GV--P---DRFSGSG-------S--GT----D-FTLTISSLQA-EDVAVYYCHQYQS----------------------------TPLTFG-GGTKVDIK-</t>
  </si>
  <si>
    <t>EVQ-LQQSGP-ELVKPGASMKISCKASGYSF---------TGYSMN-WVKQ-S-H-G-K--S-LE-WIGYIFPY-----------NDGTTY--N-----KF--K---GKATLTA-D---K-S--SS----T-AYMQLSSLTS-EDSAVYYCTRGY------------------------------GDYWG-QGTTLTVSS</t>
  </si>
  <si>
    <t>DIV-MSQSPSSLAVSLGERVTITCKASQDI-----------NTYLN-WFQQ-K-P-G-K--S-PK-RLIYSA----------------SNL--T--S--GV--P---DRFSGSG-------S--GT----S-YSLTISNLQP-EDFATYYCQQYNN----------------------------YPLTFG-GGTKLEIK-</t>
  </si>
  <si>
    <t>EVQ-LVESGG-GLVKPGGSLRLSCAASGFTF---------SAYYMT-WVRQ-A-P-G-K--G-LE-WVGRIKSKT----------GGTTDY--A--A--PV--K---GRFTISR-D---D-S--KN----T-LYLQMNSLKT-EDTAVYYCARHVG---------------------------YGAIYWG-QGTLVTVSS</t>
  </si>
  <si>
    <t>EIV-LTQSPATLSLSPGERATLSCRASQSV-----------SSYLA-WYQQ-K-P-G-Q--A-PR-LLIYGA----------------SNR--A--T--GI--P---DRFSGSG-------S--GT----D-FTLTISRLEP-EDFAVYYCQQYGS----------------------------SPLTFG-GGTKVDF--</t>
  </si>
  <si>
    <t>EVQ-LVESGG-GLVQPGGSLRLSCAASGFTF---------SSYAMS-WVRQ-A-P-G-K--G-LE-WVSLISYD-----------GGNTYY--A--D--SV--K---GRFTISR-D---N-S--KN----T-LYLQMNSLRA-EDTAVYYCARQGYGS------------------------LWYFDVWG-QGTLVTVSS</t>
  </si>
  <si>
    <t>DIV-MTQSPSSLSASVGDRVTITCRASQSI-----------SNYLA-WFQQ-K-P-G-K--A-PK-LLIYDA----------------SSL--Q--S--GV--P---SRFSGSG-------S--GT----D-FTLTISSLQP-EDFATYYCQQLHS----------------------------YPFTFG-PGTKVDIK-</t>
  </si>
  <si>
    <t>QVQ-LVQSGA-EVRKPGSSVKVSCQASGDTF---------GYGISH-WVRQ-A-P-G-Q--G-LE-WMGGVIPS-----------SGGTDY--A--Q--TF--Q---GRVSMTR-D---T-S--IN----T-AYMELLSLTS-EDTAVYYCARAQGV--------------------------DYFDYWG-QGTTVTVSS</t>
  </si>
  <si>
    <t>DIV-MTQSPDSLAVSLGERATINCKSSQSVLSS----DNAQKNYLA-WYQQ-K-P-G-Q--P-PK-LLVYA-----------------A-------T--GV--P---SRFSGSG-------S--GT----D-FTLTISSLQA-EDVAVYYCQQYF-----------------------------FPPTFG-GGTKVEIK-</t>
  </si>
  <si>
    <t>EVQ-LVESGG-GLVQPGGSLRLSCAASGFNV---------SSNYMN-WVRQ-A-P-G-K--G-LE-WVAYISSY------------TGTNY--A--D--SV--K---GRFTISA-D---T-S--KN----T-AYLQMNSLRA-EDTAVYYCARVLYYD------------------------YSGLDYWG-QGTLVTVSS</t>
  </si>
  <si>
    <t>DIQ-MTQSPSSLSASVGDRVTITCRASQSV-----------SSAVA-WYQQ-K-P-G-K--A-PK-LLIYSA----------------SDL--Y--S--GV--P---SRFSGSR-------S--GT----D-FTLTISSLQP-EDFATYYCQQAYY---------------------------TYPITFG-QGTKVEIK-</t>
  </si>
  <si>
    <t>EVQ-LVESGG-GLVQPGGSLRLSCAASGFNF---------SSYSIH-WVRQ-A-P-G-K--G-LE-WVASISSS-----------SGSTSY--A--D--SV--K---GRFTISA-D---T-S--KN----T-LYLQMNSLRA-EDTAVYYCARQG-----------------------------GLDYWG-QGTLVTVSS</t>
  </si>
  <si>
    <t>DIV-MTQSPSSLSASVGDRVTITCRASQSV-----------SSAVA-WYQQ-K-P-G-K--A-PK-LLIYSA----------------SSL--Y--S--GV--P---SRFSGSR-------S--GT----D-FTLTISSLQP-EDFATYYCQQYSY----------------------------YPITFG-QGTKVEIK-</t>
  </si>
  <si>
    <t>EIV-LTQSPATLSLSPGERATLSCRASQSV-----------SSYLA-WYQQ-K-P-G-Q--A-PR-LLIYDA----------------SNR--A--T--GI--P---ARFSGSG-------S--GT----D-FTLTISSLEP-EDFAVYYCQQYGS----------------------------SPPTFG-QGTKVEIK-</t>
  </si>
  <si>
    <t>QVQ-LVQSGA-EVKKPGSSVKVSCKASGYSF---------TSYGIS-WVRQ-A-P-G-Q--G-LE-WMGRIIPI-----------FGTANY--A--Q--KF--Q---GRVTITA-D---K-S--TS----T-VYMELSSLRS-EDTAVYYCARPIS----------------------------VYDYWG-QGTLVTVSS</t>
  </si>
  <si>
    <t>-IQ-MTQSPSSVSASVGDRVTITCRASQGI-----------SSWLA-WYQQ-K-P-G-K--A-PK-LLIYAA----------------SSL--Q--S--GV--P---SRFSGSG-------S--GT----D-FTLTISSLQP-EDFATYYCQQYNN----------------------------YPLTFG-QGTKVEIK-</t>
  </si>
  <si>
    <t>EVQ-LVESGG-GLVQPGGSLRLSCAASGFTF---------SSYAMS-WVRQ-A-P-G-K--G-LE-WVSAISSS-----------GSTIYY--A--D--SV--K---GRFTISR-D---N-S--KN----T-LYLQMNSLRA-EDTAVYYCAK----------------------------------DWG-QGVVVTVSS</t>
  </si>
  <si>
    <t>DIQ-MTQSPSSLSASVGDRVTITCRASQSIG----------SIWLY-WYQQ-K-P-G-K--A-PK-LLISAA----------------SSL--Q--S--GV--P---SRFSGSG-------S--GT----D-FTLTISSLQP-EDFATYYCQQYSS----------------------------YPLTFG-GGTKVEIK-</t>
  </si>
  <si>
    <t>EVQ-LVESGG-GLVQPGGSLRLSCAASGFNV---------YSSSIH-WVRQ-A-P-G-K--G-LE-WVASISSS------------YSTYY--A--D--SV--K---GRFTISR-D---D-S--KN----T-LYLQMNSLRA-EDTAVYYCARHQGWS-----------------------GWSYFDYWG-QGTLVTV--</t>
  </si>
  <si>
    <t>DIQ-MTQSPSSLSASVGDRVSITCRASQIF------------NNLH-WYQQ-K-P-G-K--A-PK-LLIYYA----------------STL--Q--S--GV--P---SRFSGSG-------S--GT----E-FTLTISSLQP-EDFATYFCQQANS----------------------------FPYTFG-QGTKLEIK-</t>
  </si>
  <si>
    <t>QVQ-LQESGP-GLVKPSETLSLTCAVSGGSI---------SNYYWS-WIRQ-S-P-G-K--G-LE-WIGYIYYS------------GSTYY--N--P--SL--K---SRVTISV-D---T-S--KN----Q-FSLKLSSVTA-ADTAVYYCARDRRS-------------------------YYGLDYWG-QGTLVTVSS</t>
  </si>
  <si>
    <t>DIV-LTQSPASLAVSLGQRATISCRASESVDN-------YGISSMN-WFQQ-K-P-G-Q--P-PK-LLIYLA----------------SNL--E--S--GV--P---ARFSGSG-------S--RT----D-FTLTIDPVEA-DDAATYYCQQYNS---------------------------YPPRTFG-QGTKLEIK-</t>
  </si>
  <si>
    <t>EVQ-LVESGG-GLVQPGGSLRLSCAASGFNV---------SYSSIH-WVRQ-A-P-G-K--G-LE-WVASISSY-----------YGYTYY--A--D--SV--K---GRFTISA-D---T-S--KN----T-AYLQMNSLRA-EDTAVYYCARSYYSG------------------------YWYFDVWG-QGTLVTVSS</t>
  </si>
  <si>
    <t>DIQ-MTQSPSSLSASVGDRVTITCRASQSV-----------SSAVA-WYQQ-K-P-G-K--A-PK-LLIYSA----------------SSL--Y--S--GV--P---SRFSGSR-------S--GT----D-FTLTISSLQP-EDFATYYCQQHYT----------------------------YPITFG-QGTKVEIK-</t>
  </si>
  <si>
    <t>QVQ-LVQSGA-EVKKPGASVKVSCKASGYTF---------TSYAMH-WVRQ-A-P-G-Q--R-LE-WMGWINR-------------GGTNY--A--Q--KF--Q---GRVTMTR-D---T-S--IS----T-AYMEL---RS-DDTAVYYCARDGY---------------------------YTYDVWG-QGTTVTVS-</t>
  </si>
  <si>
    <t>DIQ-MTQSPSTLSASVGDRVTITCRASQSI-----------SSWLA-WYQQ-K-P-G-K--A-PK-LLIYKA----------------SSL--E--S--GV--P---SRFSGSG-------S--GT----E-FTLTISSLQP-DDFATYYCQQYHY---------------------------YPLFTFG-QGTKVEI--</t>
  </si>
  <si>
    <t>EVQ-LVESGG-GLVQPGGSLRLSCAASGFNF---------SSSSIH-WVRQ-A-P-G-K--G-LE-WVASISS-------------SYTSY--A--D--SV--K---GRFTISA-D---T-S--KN----T-AYLQMNSLRA-EDTAVYYCARSDW---------------------------GAFDYWG-QGTLVTVSS</t>
  </si>
  <si>
    <t>DIQ-MTQSPSSLSASVGDRVTITCKASQDV-----------STAVA-WYQQ-K-P-G-K--A-PK-LLIYSA----------------SSL--Y--S--GV--P---SRFSGSR-------S--GT----D-FTLTISSLQP-EDFATYYCQQSY-----------------------------YPFTFG-QGTKVEIK-</t>
  </si>
  <si>
    <t>EVQ-LVESGG-GLVQPGGSLRLSCAVSGFTF---------SNYAMH-WVRQ-A-P-G-K--G-LE-WVASVYSS-----------SGST-Y--A--D--SV--K---GRFTISR-D---N-S--KN----T-LYLQMNSLRA-EDTAVYYCARPRAITP----------------------DSAWFAYWG-QGTLVTVSS</t>
  </si>
  <si>
    <t>DIQ-MTQSPSSLSASVGDRVTITCRASQSV-----------SSAVA-WYQQ-K-P-G-K--A-PK-LLIYSA----------------SSL--Y--S--GV--P---SRFSGSR-------S--GT----D-FTLTISSLQP-EDFATYYCQQYLY---------------------------YPRITFG-QGTKVEIK-</t>
  </si>
  <si>
    <t>EVQ-LVESGG-GLVQPGGSLRLSCAASGFNV---------SYSSIH-WVRQ-A-P-G-K--G-LE-WVASISSS-----------YGYTYY--A--D--SV--K---GRFTISA-D---T-S--KN----T-AYLQMNSLRA-EDTAVYYCARSWYGWGS--------------------YFNYGMDVWG-QGTLVTVSS</t>
  </si>
  <si>
    <t>EVR-LVESGG-GLVQPGGSLRLSCAASGFTF---------TSDWMS-WVRQ-A-P-G-K--G-LE-WVANINYN-----------GGEPYY--S--D--AV--K---GRFTISR-D---N-S--KN----T-LYLQM---KT-EDTAVYYCARGYS----------------------------DYDYWG-QGTLVTVSS</t>
  </si>
  <si>
    <t>DIV-MTQSPSSLSASVGDRVTITCRASQSI-----------SSYLN-WYQQ-K-P-G-K--A-PK-LLLYSG----------------S-T--R--H--GV--P---SRFSGSG-------S--GT----D-FTLTISSLQP-EDFATYYCQQYSS----------------------------FPITFG-QGTKVEIK-</t>
  </si>
  <si>
    <t>QVQ-LQESGP-GLVKPSETLSLTCTVSGGSIS--------SGYYWS-WIRQ-P-P-G-K--G-LE-WIGYIYYS------------GSTYY--N--P--SL--K---SRVTISV-D---T-S--KN----Q-FSLKLSSVTA-ADTAVYYCARSYYGY------------------------DWYFDVWG-PGTLVTVSS</t>
  </si>
  <si>
    <t>DIV-MTQSPSSLSASVGDRVTITCRASQSI-----------SSYLN-WYQQ-K-P-G-K--A-PK-LLIYAA----------------SSL--Q--S--GV--P---SRFSGSG-------S--GT----E-FTLTISGLQP-EDFATYYCQQSYS---------------------------SPPFTFG-PGTKVEIK-</t>
  </si>
  <si>
    <t>EVQ-LVESGG-GLVQPGGSLRLSCAASGFTF---------SSYSMN-WVRQ-A-P-G-K--G-LE-WVANINQD-----------GGEKYY--V--D--SV--K---GRFTISR-D---N-A--KN----S-LYLQMNSLRA-EDTAVYYCARGSASG-----------------------YYYGMDVWG-QGTTVTVSS</t>
  </si>
  <si>
    <t>DIQ-LTQSPSSLSASVGDRVTITCRASQSI-----------SSYLN-WYQQ-K-P-G-K--A-PK-LLIYDA----------------SNL--Q--S--GV--P---SRFSGSG-------S--GT----D-FTLTISSLQP-EDFATYYCQQSYS----------------------------TPRTFG-QGTKVEIK-</t>
  </si>
  <si>
    <t>QVQ-LVQSGA-EVKKPGSSVKVSCKASGGTF---------SSYAIS-WVRQ-A-P-G-Q--G-LE-WMGGIIIF------------GTANY--A--Q--KF--Q---GRVTITA-D---R-S--TS----T-AYMEL---RS-EDTAVYYCAREGGV--------------------------YSYDVWG-QGTMVT---</t>
  </si>
  <si>
    <t>--V-MTQSPLSLPVTPGEPASISCRSSQSLLHS------NGYNYLD-WYLQ-K-P-G-Q--S-PQ-LLIYG-----------------SNR--A--S--GV--P---DRFSGSG-------S--GT----D-FTLKISRVEA-EDVGVYYCMQGTH----------------------------WPRTFG-QGTKLEI--</t>
  </si>
  <si>
    <t>EVQ-LVESGG-GLVQPGGSLRLSCAASGFNV---------SYSSIH-WVRQ-A-P-G-K--G-LE-WVASISSY-----------YGYTYY--A--D--SV--K---GRFTISA-D---T-S--KN----T-AYLQM---RA-EDTAVYYCARHS-----------------------------YVAYWG-QGTLVTVSS</t>
  </si>
  <si>
    <t>--A-LTQPPS-VSGAPGQTVTISCTGSSGA-----------GYDVH-WYQQ-L-P-G-T--A-PK-LLIYDN----------------NNR--P--S--GV--P---DRFSGSK-------S--GT----S-ASLAITGLQA-EDEADYYCQSYDSS--------------------------LSGNVFG-TGTKVTVG-</t>
  </si>
  <si>
    <t>QVQ-LVQSGA-EVKKPGASVKVSCKASGYTF---------TDSAIH-WVRQ-A-P-G-Q--G-LE-WMGIINPG-----------SGGTSY--A--Q--KF--Q---GRVTMTR-D---T-S--TT----T-AYMEL---RS-DDTAIYYCARQQRYP------------------------DYGMDVWG-QGTTVTVSS</t>
  </si>
  <si>
    <t>EIV-LTQSPGTLSLSPGERATLSCRASQVS-----------SSYLA-WYQQ-K-P-G-Q--A-PR-LLIYGA----------------SSR--A--T--GI--P---DRFSGSG-------S--GT----D-FTLTISRLEP-EDFAVYYCQQYGS----------------------------SPLTFG-QGTKVEIK-</t>
  </si>
  <si>
    <t>EVQ-LVESGG-GLIQPGGSLRLSCAASGFTV---------SSNYMS-WVRQ-A-P-G-K--G-LE-WVSVNISN-----------GGSTYY--A--D--SV--K---GRFTISR-D---N-S--KN----T-LYLQMNSLRA-EDTAVYYCARGGVV-------------------------VYGMDYWG-QGTLVTVSS</t>
  </si>
  <si>
    <t>DIQ-LTQSPSSLSASVGDRVTITCRASQGV-----------STYLA-WYQQ-K-P-G-K--A-PK-LLIFDA----------------SNL--E--T--GV--P---SRFSGSG-------S--GT----D-FTLTISSLQP-EDVGTYYCQQYGS----------------------------SPITFG-GGTKVEIK-</t>
  </si>
  <si>
    <t>EVQ-LVESGG-GLVQPGGSLRLSCAASGFTF---------SSYAMH-WVRQ-A-P-G-K--G-LE-WVAYISSG------------GSTYY--A--D--SV--K---GRFTISR-D---N-S--KN----T-LYLQM---RA-EDTAVYYCAKDTGY-------------------------YPSSDYWG-QGTLVTVSS</t>
  </si>
  <si>
    <t>DIQ-MTQSPSSLSASVGDRVTITCQASQDI-----------DNYLN-WYQQ-K-P-G-K--A-PK-LLIYAA----------------STL--Q--S--GV--P---SRFSGSG-------S--GT----D-FTLTISSLQP-EDFATYYCQQSYS----------------------------TPWTFG-QGTKVEIK-</t>
  </si>
  <si>
    <t>QVQ-LQQSGP-ELVRPGASVKMSCKASGYSF---------TGYTMH-WVKQ-S-H-G-K--S-LE-WIGNINPN-----------NGDTSY--N--Q--KF--K---GKATLTV-D---K-S--SS----T-AYMELRSLTS-EDSAVYYCARSDY---------------------------FYGDVWG-AGTTVTVSS</t>
  </si>
  <si>
    <t>DIV-MTQSQKFMSTSVGDRVSITCKASQNV-----------DNDNV-WYQQ-K-P-G-Q--S-PK-ALIYSA----------------SYR--Y--S--GV--P---ERF-GSG-------S--GT----D-FTLTISNVQS-EDLADYFCQQYNN----------------------------YPLTFG-AGTKLELK-</t>
  </si>
  <si>
    <t>EVQ-LVESGG-GLVKPGGSLRLSCSASGFPF---------STYDMS-WVRQ-T-P-E-K--R-LE-WVAYITESG----------GGITYY--A--D--SV--K---GRFTISR-D---N-S--KN----T-VFLQMNSLRA-EDTAVYYCARVQM----------------------------WPDVWG-KGTTLTVSS</t>
  </si>
  <si>
    <t>DIV-LTQSPAIMSASPGEKVTMTCSASSSV------------SYMH-WYQQ-K-S-G-T--S-PK-RWIYDT----------------SKL--A--S--GV--P---ARFSGSG-------S--GT----S-YSLTISSMEA-EDAATYYCQQWSS----------------------------NPPTFG-GGTKLEIK-</t>
  </si>
  <si>
    <t>EVQ-LVESGG-GLVQPGGSLRLSCAASGFTF---------SSYDMS-WVRQ-A-P-G-K--G-LE-WVANIKDG------------SEKYY--V--D--SV--K---GRFTISR-D---N-S--KN----T-LYLQMNSLRA-EDTAVYYCARDL-----------------------------GDFYWG-QGTLVTVSS</t>
  </si>
  <si>
    <t>DIV-MTQSPDSLAVSLGERATINCKSSQSVLYS-----SNNKNYLA-WYQQ-K-P-G-Q--P-PK-LLIYWA----------------STR--E--S--GV--P---DRFSGSG-------S--GT----D-FTLTISSLQA-EDVAVYYCQQYYS----------------------------SPLTFG-GGTKVEIK-</t>
  </si>
  <si>
    <t>QVQ-LQESGP-GLVKPSETLSLTCAVSGGSI---------SNYYWS-WIRQ-S-P-G-K--G-LE-WIGYIYYS------------GSTYY--N--P--SL--K---SRVTISV-D---T-S--KN----Q-FSLRL---TA-ADTAVYYCARLW------------------------------GDYWG-QGTLVTVSS</t>
  </si>
  <si>
    <t>DIQ-MTQSPSTLSASVGDRVTITCRASQSI-----------SSWLA-WYQQ-K-P-G-K--A-PK-LLIYDA----------------SNL--E--T--GV--P---SRFSGSG-------S--GT----D-FTLTISSLQP-EDFATYYCQQYK-----------------------------TPPTFG-GGTKVEIK-</t>
  </si>
  <si>
    <t>QVQ-LVESGG-GVVQPGRSLRLSCAASGFTF---------SSYGMH-WVRQ-A-P-G-K--G-LE-WVAVISYD-----------GSNKYY--A--D--SV--K---GRFTISR-D---N-S--KN----T-LYLQMNSLRA-EDTAVYYCARDRISS-----------------------GSIWFAYWG-QGTLVTVSS</t>
  </si>
  <si>
    <t>EVQ-LVESGG-GLVQPGGSLRLSCAASGFTF---------SSYAMS-WVRQ-A-P-G-K--G-LE-WVSAISGS-----------GGSTYY--A--D--SV--K---GRFTISR-D---N-S--KN----T-LYLQMNSLRA-EDTAVYYCAKDRGG--------------------------GYFDLWG-QGTMVTVSS</t>
  </si>
  <si>
    <t>DIQ-MTQSPSSLSASVGDRVTITCRASQSI-----------SSYLN-WYQQ-K-P-G-K--A-PK-LLIYAA----------------SSL--Q--S--GV--P---SRFSGSG-------S--GT----D-FTLTISSLQP-EDFATYYCQQSF-----------------------------DPRTFG-QGTKVEIK-</t>
  </si>
  <si>
    <t>QVQ-LQESGP-GLVKPSETLSVTCSVSGDSM---------NNYYWT-WIRQ-S-P-G-K--G-LE-WIGYISDR------------ESATY--N--P--SL--N---SRVVISR-D---T-S--KN----Q-LSLKL---TP-ADTAVYYCATARR---------------------------GQRDVWG-KGTTVTVSS</t>
  </si>
  <si>
    <t>DIQ-MTQSPSSLSASVGDRVTITCRASQSV-----------SSYLN-WYQQ-K-P-G-K--A-PK-LLIYDA----------------SNL--Q--S--GV--P---SRFSGSG-------S--GT----D-FTLTISSLQP-EDFATYYCQQSYS----------------------------TPFTFG-PGTKVEIK-</t>
  </si>
  <si>
    <t>QVQ-LKESGP-GLVAPSQSLSITCTVSGFSL---------TNYGVH-WVRQ-P-P-G-K--G-LE-WLGVIWRG-----------GGNTDY--N--S--AL--K---SRLSITK-D---N-S--KS----Q-VFFKMNSLQT-DDTAIYYCARDEIY--------------------------YGYDYWG-QGTSVTVSS</t>
  </si>
  <si>
    <t>DIQ-MTQSPSTLSASVGDRVTITCRASQSI-----------DNWLA-WYQQ-K-P-G-E--A-PK-LLIYKA----------------SSL--Q--S--GV--P---SRFSGSG-------S--GT----E-FTLTISSLQP-DDVATYYCQHYNS----------------------------YPLTFG-GGTKVEIK-</t>
  </si>
  <si>
    <t>EVQ-LVESGG-GLVQPGGSLRLSCAASGFTF---------SSYAMS-WVRQ-A-P-G-K--G-LE-WVSGISWNS----------GDSDNY--A--D--SV--K---GRFTISR-D---N-S--KN----T-LYLQMNSLRA-DDTAVYYCARSRYYS------------------------GGYFDYWG-QGTLVTVSS</t>
  </si>
  <si>
    <t>DIV-MTQSPSSLSASVGDRVTITCRASQSI-----------SSYLN-WYQQ-K-P-G-K--A-PK-LLIYAA----------------SSL--Q--S--GV--P---SRFSGSG-------S--GT----D-FTLTISSLQP-EDFATYYCQQSYS----------------------------TPFTFG-PGTKVDIK-</t>
  </si>
  <si>
    <t>EVQ-LVESGG-GLVQPGGSLRLSCAASGFNF---------SSSSIH-WVRQ-A-P-G-K--G-LE-WVASIYSY------------SYTSY--A--D--SV--K---GRFTISA-D---T-S--KN----T-AYLQMNSLRA-EDTAVYYCARQGYWS------------------------GYGMDYWG-QGTLVTVSS</t>
  </si>
  <si>
    <t>EVQ-LVQSGA-EVKKPGESLKISCKGSGYSF---------TSYWIG-WVRQ-M-P-G-K--G-LE-WMGIIYPG-----------DSDTRY--S--P--SF--Q---GQVTISA-D---K-S--IS----T-AYLQWSSLKA-SDTAMYYCARTQF---------------------------DYFDYWG-QGTLVTVSS</t>
  </si>
  <si>
    <t>-SV-LTQPPS-ASGTPGQRVTISCSGSSSNI---------GSNTVN-WYQQ-L-P-G-T--A-PK-LLIYRN---------------RSDV--I--S--GV--S---DRFSGSK-------S--GT----S-ASLAISGLQS-EDEADYYCAAWDD---------------------------SLSGVFG-GGTKLTVL-</t>
  </si>
  <si>
    <t>EVQ-LVESGG-GLVQPGGSLRLSCAASGFNV---------YSSSIH-WVRQ-A-P-G-K--G-LE-WVASISSY-----------YGYTYY--A--D--SV--K---GRFTISA-D---T-S--KN----T-AYLQMNSLRA-EDTAVYYCARSDWGSSW--------------------YDYWGLDYWG-QGTLVTVSS</t>
  </si>
  <si>
    <t>DIQ-MTQSPSSLSASVGDRVTITCRASQG-------------ISTN-WYQQ-K-P-G-K--A-PK-LLIYVA----------------SSL--Q--S--GV--P---SRFSGSG-------S--GT----D-FTLTISSLQP-EDFATYFCQQSNE----------------------------YPLTFG-PGTKLEIK-</t>
  </si>
  <si>
    <t>QVQ-LVQSGA-ELKKPGASVKVSCKTSGYTF---------TSYGIS-WVRQ-A-P-G-Q--G-LE-WMGWISYN------------GNTYY--F--Q--KF--Q---GRVTMTR-T---T-S--TS----T-AYMEL---RS-EDTAVYYCARDLG----------------------------SRGYWG-QGTLVTVSS</t>
  </si>
  <si>
    <t>DIV-MTQSPDSLAVSLGERATINCKSSQK-------------NYLA-WYQQ-K-P-G-Q--A-PR-LLIYGA----------------SSR--A--T--GI--P---DRFSGSG-------S--GT----D-FTLTISRLEP-EDFAVYYCQQYGG----------------------------SPFTFG-QGTKLEIK-</t>
  </si>
  <si>
    <t>EVQ-LVESGG-GLVQPGRSLRLSCAASGFTF---------DDYAMH-WVRQ-A-P-G-K--G-LE-WVSGISWN-----------SGTIYY--A--D--SV--K---GRFTISR-D---N-A--KN----S-LFLQMNSLRA-EDTALYYCAKYG------------------------------SHRHG-QGALVTVSS</t>
  </si>
  <si>
    <t>DIQ-MTQSPSSLSASVGDRVTITCRASQSI-----------SSYLN-WYQQ-K-P-G-K--A-PK-LLIYAA----------------SSL--Q--S--GV--P---SRFSGSG-------S--GT----D-FTLTISSLQP-EDFATYYCQQSS-----------------------------TPYTFG-QGTKVEIK-</t>
  </si>
  <si>
    <t>QVQ-LQESGP-GLVKPSETLSLTCTVSGGSI---------SGYTWS-WIRQ-P-P-G-K--G-LE-WIGYIYYN------------GGTTY--N--P--SL--K---HRVSVSL-D---T-S--AS----Q-FSLKLTSVTA-ADTAVYYCARDLRYVV----------------------PGYGMDVWG-KGTTVTVSS</t>
  </si>
  <si>
    <t>EIV-LTQSPATLSLSPGERATLSCRLTSQVS---------SSSYLA-WYQQ-K-P-G-Q--A-PR-LLIYDA----------------SNR--A--T--GI--P---ARFSGSG-------S--GT----D-FTLTISSLEP-EDFAVYYCQQRN-----------------------------WPLTFG-GGTKVEIK-</t>
  </si>
  <si>
    <t>EVK-LVESGG-GLVQPGGSLRLSCAASGFTF---------NSYWMI-WVRQ-A-P-G-K--G-LE-WVSVIYTG------------TTTYY--A--E--SV--K---GRFTISR-D---D-S--KN----T-LYLQMNSLKT-EDTAVYYCAREERGY-----------------------GYWGFDPWG-QGTLVTVSS</t>
  </si>
  <si>
    <t>EVQ-LVQSGG-EVKKPGGSLKVSCKGSGYTF---------TDYYIH-WVRQ-A-P-G-Q--G-LE-WMGGLINP-----------SGSSYY--A--S--WA--K---SRVTISR-D---T-S--KN----Q-YVLKMNSLKT-EDTAVYYCTRGGSS--------------------------RYFDYWG-QGTLVTVSS</t>
  </si>
  <si>
    <t>DIV-MTQSPDSLAVSLGERATINCKSSQSVLLR-----SSRKNYLA-WYQQ-K-P-G-Q--A-PK-LLIYWA----------------STR--E--S--GV--P---DRFSGSG-------S--GA----E-FTLTISSLQA-EDVAVYYCQQYYS----------------------------APPTFG-PGTKVDIK-</t>
  </si>
  <si>
    <t>EVQ-LQQSGA-ELVKPGASVKLSCTASGFNI---------KDTYMY-WVKQ-R-P-E-Q--G-LE-WIGRIDPA-----------NGDTKY--D--P--KF--Q---GKATITA-D---T-S--SN----T-AYLQLTSVTP-EDTAIYYCARGRG---------------------------YGSDFWG-QGTSVTVSS</t>
  </si>
  <si>
    <t>-DT-MTQSQ-PASVSPGERVTLTCSASGSI-----------SSDLA-WYQQ-K-P-G-Q--A-PR-LLIYGA----------------SSR--A--S--GV--P---DRFSGSG-------S--GT----D-FTLAISRLEP-EDFAV-YCQQYEG----------------------------SPFTFG-PGTKVEIK-</t>
  </si>
  <si>
    <t>QVQ-LQQSGA-ELVKPGASVKLSCKASGYTF---------SSYWMH-WVKQ-R-P-G-Q--G-LE-WIGEIFPG-----------SGSTNY--N--E--KF--K---GKATLTA-D---K-S--SS----T-AYMQLSSLTS-EDSAVYYCARSYYG-------------------------YEGFDPWG-QGTPVTVSS</t>
  </si>
  <si>
    <t>DIQ-MTQTTSSLSASLGDRVTISCRASQDI-----------SNYLN-WYQQ-K-P-D-G--T-VK-LLIYYT----------------SRL--H--S--GV--P---SRFSGSG-------S--GT----D-YSLTISNLEQ-EDIATYFCQQGNT----------------------------LPLTFG-AGTKLELK-</t>
  </si>
  <si>
    <t>QVQ-LVQSGA-EVKKPGASVKVSCKASGYTF---------TSYAIS-WVRQ-A-P-G-Q--G-LE-WMGWISYN------------GNTNY--A--Q--KL--Q---GRVTMTT-D---T-S--TS----T-AYMELRSLRS-DDTAVYYCARVKVR-------------------------GLPMDYWG-QGTLVTVSS</t>
  </si>
  <si>
    <t>QVQ-LQQSGA-ELVKPGASVKLSCKASGYTF---------TSYWMH-WVKQ-R-P-G-Q--G-LE-WIGEIFPG-----------SGSTNY--N--E--KF--K---GKATLTA-D---K-S--SS----T-AYMQLSSLTS-EDSAVYYCARDLGY--------------------------YGMDVWG-QGTTVTVSS</t>
  </si>
  <si>
    <t>DIL-LTQSPAILSVSPGERVSFSCRASQSI-----------GTDIH-WYQQ-R-T-N-G--S-PR-LLIKYA----------------SES--I--S--GI--P---SRFSGSG-------S--GT----D-FTLSINSVES-EDIADYYCQQSNW----------------------------LPWTFG-GGTKLEIK-</t>
  </si>
  <si>
    <t>EVQ-LVESGG-GLVKPGGSLRLSCAASGFTF---------SSYSMN-WVRQ-A-P-G-K--G-LE-WVSSISSS------------SSYIY--A--D--SV--K---GRFTISR-D---N-A--KN----S-LYLQMNSLRA-EDTAVYYCARDRLYGYSG------------------GYYYYYMDVWG-KGTTVTVSS</t>
  </si>
  <si>
    <t>-YE-LTQPPS-VSVAPGKTATITCGGNNIG-----------SKSVH-WYQQ-K-P-G-Q--A-PV-LVIYKD----------------SER--P--S--GI--P---ERFSGSN-------S--GN----T-ATLTISRVEA-GDEADYYCQVWD-----------------------------SGVVFG-GGTKLTVL-</t>
  </si>
  <si>
    <t>EVQ-LVESGG-GLVKPGGSLRLSCAASGFTF---------STYSMN-WVRQ-A-P-G-K--G-LE-WVGSITSS------------RSIYY--A--D--SV--K---GRFTISR-D---N-S--KN----T-LFLQM---RA-EDTAVYYCVKDTGD--------------------------LVYDYWG-QGTLVTVSS</t>
  </si>
  <si>
    <t>DIQ-MTQSPSSLSASVGDRVTITCRASQSI-----------SNYLN-WYQQ-K-P-G-K--A-PK-LLIYAA----------------SSL--Q--S--GV--P---SRFSGSG-------S--GT----D-FTLTISSLQP-EDFATYYCQQSYS---------------------------TLALTFG-GGTKVEIK-</t>
  </si>
  <si>
    <t>QVQ-LVQSGA-EVKRPGSSVTVSCKASGGSF---------STYALS-WVRQ-A-P-G-Q--G-LE-WMGGIIPI-----------FGGNKY--A--Q--KF--Q---GRVTITA-D---K-S--TS----T-AYMELSSLRS-EDTAVYYCARGEHG--------------------------NWYDVWG-QGTTVTVSS</t>
  </si>
  <si>
    <t>DIQ-MTQSPSSLSASVGDRVTITCRASQSI-----------DNYLN-WYQQ-K-P-G-K--A-PK-LLIYAA----------------SSL--Q--S--GV--P---SRFSGSG-------S--GT----D-FTLTISSLQP-EDFATYYCQQSYS----------------------------TPFTFG-PGTKVDIK-</t>
  </si>
  <si>
    <t>EVQ-LVESGG-GLVQPGGSLRLSCAASGFNF---------SSSSIH-WVRQ-A-P-G-K--G-LE-WVASIYSY-----------YGSTSY--A--D--SV--K---GRFTISA-D---T-S--KN----T-AYLQMNSLRA-EDTAVYYCARDRSS--------------------------GYLDYWG-QGTLVTVSS</t>
  </si>
  <si>
    <t>DIV-MTQSPLSLPVTPGEPASISCRSSQSLLHS------NGYNYLD-WYLQ-K-P-G-Q--S-PQ-LLIYLG----------------SNR--A--S--GV--P---DRFSGSG-------S--GT----D-FTLKISRVEA-EDVGVYYCMQALQ----------------------------TPFTFG-PGTKVEIK-</t>
  </si>
  <si>
    <t>QVQ-LVESGG-GLVKPGGSLRLSCAASGFTF---------SSYSIH-WVRQ-A-P-G-K--G-LE-WVSSISGS------------GGTYY--A--D--SV--K---GRFTISR-D---N-S--KN----T-LYLQM---RA-EDTAVYYCAKDDD----------------------------IYDYWG-QGTLVTVSS</t>
  </si>
  <si>
    <t>EIV-LTQSPATLSLSPGERATLSCRASQSV-----------SSYLA-WYQQ-K-P-G-Q--A-PR-LLIYGA----------------SSR--A--T--GI--P---ARFSGSG-------S--GT----D-FTLTI-RLEP-EDFAVYYCQQYG-----------------------------SSPTFG-QGTKVEIK-</t>
  </si>
  <si>
    <t>-IV-MTQSPSSLSASVGDRVTITCRASQSV-----------SSAVA-WYQQ-K-P-G-K--A-PK-LLIYSA----------------SSL--Y--S--GV--P---SRFSGSR-------S--GT----D-FTLTISSLQP-EDFATYYCQQYLY---------------------------YSLVTFG-QGTKVEIK-</t>
  </si>
  <si>
    <t>EVQ-LVESGG-GLVQPGGSLRLSCAASGFTF---------SSYAMS-WVRQ-A-P-G-K--G-LE-WVSAISSS------------GSTYY--A--D--SV--K---GRFTISR-D---N-S--KN----T-LYLQMNSLRA-EDTAVYYCARYDGYQ-----------------------NWRWYDVWG-QGTTVTVSS</t>
  </si>
  <si>
    <t>DIQ-LTQSPSSLSASVGDRVTITCRASQSI-----------SDYLA-WYQQ-K-P-G-K--A-PK-LLIYAA----------------SYL--E--S--GV--P---SRFSGSG-------S--GT----D-FTLTISSLQP-EDFATYYCQQGAN---------------------------SALITFG-QGTKVEIK-</t>
  </si>
  <si>
    <t>EVQ-LVESGG-GLVQPGGSLRLSCAASGFTF---------STYAMS-WVRQ-A-P-G-K--G-LE-WVSGISDG------------SSIYY--A--D--SV--K---GRFTISR-D---N-S--KN----T-LYLQM---RA-EDTAVYYCARLGY----------------------------GGDYWG-QGTLVTVSS</t>
  </si>
  <si>
    <t>DIQ-MTQSPSTLSASVGDRVTITCRASQSI-----------SSWLA-WYQQ-K-P-G-K--A-PK-LLIYKA----------------SSL--E--S--GV--P---SRFSGSG-------S--GT----E-FTLTISSLQP-DDFATYYCQQYN------------------------------YWTFG-QGTKVEIK-</t>
  </si>
  <si>
    <t>QVQ-LQQSGA-ELARPGASVKLSCKASGYTF---------TSYWMH-WVKQ-R-P-G-Q--G-LE-WIGYIYHS-----------GDTTNY--N--E--KF--K---GKATLTA-D---K-S--SS----T-AYMQLTSLTS-EDSAVYFCARALTY--------------------------GYDYLWG-PGTLVTVSA</t>
  </si>
  <si>
    <t>DIV-MTQSPSSLSA-VGDRVTITCQASQDI-----------SNYLN-WYQQ-R-P-G-K--A-PK-LLIYDA----------------SNL--E--T--GV--P---SRFSGSG-------S--GT----D-FTFTISSLQP-EDIATYYCQQYDY----------------------------VPLTFG-GGTKVEIK-</t>
  </si>
  <si>
    <t>EVQ-LVESGG-GLVQPGGSLRLSCAASGFTF---------SSYAMS-WVRQ-A-P-G-K--G-LE-WVSGISWN------------GGINY--A--D--SV--K---GRFTISR-D---N-A--KN----S-LYLQM---RA-EDTAVYYCARSRG----------------------------YSSVWG-KGTSVTVSS</t>
  </si>
  <si>
    <t>DIQ-MTQSPSSLSASVGDRVTITCRASQSI-----------SSYLN-WYQQ-K-P-G-K--A-PK-LLIYAA----------------SSL--Q--S--GV--P---SRFSGSG-------S--GT----D-FTLTISSLQP-EDFATYYCQQSYS----------------------------TPITFG-QGTKVEIK-</t>
  </si>
  <si>
    <t>--E-LTQPPS-VSVSPGQTASITCSGDKLG-----------KNYVS-WYQQ-V-P-G-T--A-PK-LLIYDN----------------NKR--P--S--GI--P---ERFSGSS-------S--GN----T-ATLTISGTQA-MDEADYYCQTYDS----------------------------SSTVFG-GGTKLTVL-</t>
  </si>
  <si>
    <t>QVQ-LQQSGP-ELVKPGASVKISCKASGYTF---------TDYSMH-WVKQ-R-P-G-R--G-LE-WIGRTING-----------SGTANY--N--Q--KF--K---GRATLTV-D---K-S--ST----T-AYMQLSSVTS-EDSAIYYCARRGE---------------------------GWFAYWG-QGTTLTVSS</t>
  </si>
  <si>
    <t>DIV-LTQSPAILSVSPGERVSFSCRASQTIE----------TSLIH-WVQE-K-P-D-Q--L----LLICYD----------------STL--H--P--GI--P---ARFSGSG-------S--GR----D-YSFSISNLEP-EDIATYYCLQYD-----------------------------NLPWFG-GGTKLEIK-</t>
  </si>
  <si>
    <t>EVQ-LVESGG-GLVQPGGSLRLSCAASGFTF---------SNWMIH-WVRQ-T-P-G-K--G-LE-WVASISSS-----------SGSTSY--A--D--SV--K---GRFTISA-D---T-S--KN----T-AYLQMNSLRA-EDTAVYYCARSRGWY------------------------GDAFDIWG-QGTLVTVSS</t>
  </si>
  <si>
    <t>EIV-LTQSPATLSLSPGERATLSCRASQSVS----------SSYLA-WYQQ-K-P-G-Q--A-PR-LLIYGA----------------STR--A--T--GI--P---ARFSGSG-------S--GT----E-FTLTISSLQS-EDFAVYYCQQYNN----------------------------WPITFG-QGTKVEIK-</t>
  </si>
  <si>
    <t>EVQ-LVESGG-GLVQPGGSLRLSCAASGFNNY--------SIHWMQ-WVRR---P-G-K--G-LE-WVASISSG------------GSTYY--A--D--SV--K---GRFTISA-D---T-S--KN----T-AYLQMNSLRA-EDTAVYYCARGSS---------------------------NYYDYWG-QGTLVTVSS</t>
  </si>
  <si>
    <t>DIQ-MTQSPSSLSASVGDRVTITCRASQSV-----------SSAVA-WYQQ-K-P-G-K--A-PK-LLIYSA----------------SSL--Y--S--GV--P---SRFSGSR-------S--GT----D-FTLTISSLQP-EDFATYYCQQYSY----------------------------YPAVFG-QGTKVEIK-</t>
  </si>
  <si>
    <t>QVQ-LVQSGG-QMKKPGASVKISCKTSGYIF---------TDYFLH-WVKQ-R-P-G-Q--G-LE-WIGWISAY------------SGGNY--N--Q--KF--K---GKATLTA-D---K-S--SN----T-AYMQLSSLTS-EDSAVYFCARSW-----------------------------PFDYWG-QGTTLTVSS</t>
  </si>
  <si>
    <t>DIV-MTQSPSSLTVTAGEKVTMSCKSSQSVL----------SRNLA-WYQQ-K-P-G-Q--S-PK-LLIYWA----------------STR--E--S--GV--P---DRFTGSG-------S--GT----D-FTLTISSVQA-EDLADYFCQQYE------------------------------YRTFG-GGTKLEIK-</t>
  </si>
  <si>
    <t>EVQ-LVESGG-GLVQPGGSLRLSCAASGFTF---------SNFAMS-WVRQ-T-P-G-K--G-LE-WVSTISNG------------GGTYY--A--D--SV--K---GRFTISR-D---N-A--KN----S-LYLQM---RA-EDTAVYYCVKD--------------------------------DYWG-QGTLVTVSS</t>
  </si>
  <si>
    <t>DIQ-MTQSPSSLSASVGDRVTITCRASQSI-----------SNWLA-WYQQ-K-P-G-K--A-PK-LLIYAA----------------SSL--Q--S--GV--P---SRFSGSG-------S--GT----D-FTLTISSLQP-EDFATYYCQQHYT----------------------------TPPTFG-QGTKVEIK-</t>
  </si>
  <si>
    <t>DIV-MSQSPSSLAVSAGEKVTMSCKSSQSLLNS-----GNQKNYLA-WYQQ-K-P-G-Q--P-PK-LLIYWA----------------STR--E--S--GV--P---DRFTGSG-------S--GT----D-FTLTISSLQA-EDVAVYYCQQYYD---------------------------SAPRTFG-GGTKVEIK-</t>
  </si>
  <si>
    <t>DIQ-MTQSPSSLSASVGDRVTITCRASQSI-----------SSWLA-WYQQ-K-P-G-K--A-PK-LLIYSA----------------SFL--Y--S--GV--P---SRFSGSG-------S--GT----D-YTLTISSLQP-EDFATYYCQQYSS----------------------------FPWTFG-GGTKVEIK-</t>
  </si>
  <si>
    <t>EVQ-LVESGG-GLVQPGGSLRLSCAASGFTF---------SSYAMS-WVRQ-A-P-G-K--G-LE-WVSAISGS-----------GGSTYY--A--D--SV--K---GRFTISR-D---N-S--KN----T-LYLQMNSLRA-EDTAVYYCAKDR-----------------------------GVDYWG-QGTLVTVSS</t>
  </si>
  <si>
    <t>DIQ-MTQSPSSLSASVGDRVTITCRASQSV-----------SSAVA-WYQQ-K-P-G-K--A-PK-LLIYSA----------------SYR--Y--T--GV--P---SRFSGSG-------S--GT----D-FTLTISSLQP-EDFATYYCQQYK-----------------------------YPPTFG-QGTKVEIK-</t>
  </si>
  <si>
    <t>QVQ-LVQSGA-EVKKPGASVKVSCKASGYTF---------TSYYMY-WVRQ-A-P-G-Q--G-LE-WMGWISYN------------GNTYY--A--Q--KF--Q---GRVTMTT-D---T-S--TT----T-GYMELRRLRS-DDTAVYYCARQQV----------------------------NFDYWG-QGTLVTVSS</t>
  </si>
  <si>
    <t>DIQ-MTQSPSSLSASVGDRVTITCRASQSI-----------SSWLA-WYQQ-K-P-G-K--A-PK-LLIYAA----------------SSL--Q--S--GV--P---SRFSGSG-------S--GT----D-FTLTISSLQP-EDFATYYCQQYNS---------------------------YFPITFG-QGTKLEIK-</t>
  </si>
  <si>
    <t>EVQ-LVESGG-GLVQPGGSLRLSCAASGFTF---------SNYYMS-WVRQ-A-P-G-K--G-LE-WVANIKDG------------SEKYY--V--D--SV--K---GRFTISR-D---N-A--KN----S-LYLQMNSLRA-EDTAVYYCARKGQGVV---------------------GYYYGMDVWG-QGTTVTVSS</t>
  </si>
  <si>
    <t>DIQ-MTQSPSSLSASVGDRVTITCRASQSI-----------SSYLN-WFQH-K-P-G-K--A-PK-LLIYKA----------------SSL--Q--S--GV--P---SRFSGSG-------S--GT----D-FTLTISSLQP-EDFATYYCQQSY-----------------------------YPYTFG-QGTKLEIK-</t>
  </si>
  <si>
    <t>EVK-LQESGA-EVKKPGSSVKVSCKASGGTF---------TSYAMH-WVRQ-A-P-G-Q--R-LE-WMGLIYTGD----------DTTYPS--A--Q--KF--Q---GRITMTT-D---I-S--TS----T-AYMELSSLRS-EDTAVYYCARVSDG--------------------------AYFDYWG-QGTTLTVSS</t>
  </si>
  <si>
    <t>DIV-LTQSPASLAVSLGQRATISCRASESVDS-------YGNSFMN-WFQQ-K-P-G-Q--P-PK-LLIYAA----------------SNL--G--S--GV--P---ARFSGSG-------S--GT----D-FTLNIHPVEE-EDAATYYCQQSNE----------------------------DPWTFG-GGTKLEIK-</t>
  </si>
  <si>
    <t>-VQ-LVQSGA-EVKRPGSSVRVSCKASGGTF---------NNYFWS-WVRQ-A-P-G-R--G-LE-WMGGIFPI------------SGSTY--A--Q--QF--Q---GRVTMTR-D---T-S--IS----T-AYMEL---RS-DDTAVYYCARG-------------------------------QDYWG-RGTLVTVSS</t>
  </si>
  <si>
    <t>DIQ-MTQSPSTLSASVGDRVTITCRSSQSV-----------DNWLA-WYQQ-K-P-G-K--A-PK-LLIYKA----------------STL--E--S--GV--P---SRFSGSG-------S--GT----E-FTLTISSLQP-DDFATYYCQQYNN----------------------------YPYTFG-QGTKVEIK-</t>
  </si>
  <si>
    <t>QVQ-LQQSGP-ELVKPGASVKISCKASGYTF----------TDFMH-WVKQ-S-H-A-KE-S-LE-WIGFISYN------------GNTNY--N--Q--KF--K---GKATFTT-D-----S--SS----T-AYMELRSLTS-EDSAVYYCARD--------------------------------QIWG-QGTTVTVSS</t>
  </si>
  <si>
    <t>DIV-LTQSPDSLAVSLGERATINCKSSQNN-----------KNYLA-WYQQ-K-P-G-Q--P-PK-LLIYWA----------------STR--H--A--GV--P---DRFSGSG-------S--GT----D-FTLTISSLQA-EDVAVYYCQQYYS----------------------------YPFTFG-PGTKVDIK-</t>
  </si>
  <si>
    <t>EVQ-LVESGG-GLVQPGGSLRLSCAASGFTF---------SDYAMS-WVRQ-A-P-G-K--G-LE-WVSGISWN-----------SGYTEY--A--D--SV--K---GRFTISR-D---N-S--KN----T-LYLQMNSLRA-EDTAIYYCVKDYYDY------------------------RGWGDLWG-RGTLVTVSS</t>
  </si>
  <si>
    <t>DIV-MTQSPSSLAVSAGEKVTMSCKSSQSLSSR------NQKNYLA-WYQQ-K-P-G-Q--P-PK-LLIYWA----------------STR--E--S--GV--P---DRFTGSG-------S--GT----D-FTLTISSVQA-EDLAVYYCHQYL-----------------------------NPRTFG-PGTKVDIK-</t>
  </si>
  <si>
    <t>QVQ-LVQSGA-EVKKPGASVKVSCKASGYTF---------TSYAIS-WVRQ-A-P-G-Q--G-LE-WMGWINNS------------GGTNY--A--Q--KF--Q---GRVTMTT-D---T-S--TS----T-AYMEL---RS-EDTAVYYCARSDYSYG----------------------SYSGYDYWG-QGTLVTVSS</t>
  </si>
  <si>
    <t>DIQ-MTQSPSSLSASVGDRVTITCKASQNV-----------DTDLA-WYQQ-K-P-G-K--A-PK-LLIYAA----------------SNL--Q--S--GV--P---SRFSGSG-------S--GT----D-FTLTISSLQP-EDFATYYCQQYNN----------------------------YPLTFG-QGTKVEIK-</t>
  </si>
  <si>
    <t>EVQ-LVESGG-GLVQPGGSLRLSCAASGFTF---------SSYAMS-WVRQ-V-P-G-K--G-LE-WVSGIFDDS----------GDTIYY--A--D--SV--K---GRFTISR-D---N-A--KN----S-LYLQMNSLRA-EDTAVYYCARVVGV--------------------------GYFDYWG-QGTLVTVSS</t>
  </si>
  <si>
    <t>QAV-VTQESA-LTTSPGETVTLTCRSSTGAVT--------TSNYAN-WVQE-K-P-D-H--L-FT-GLIGGI----------------NNR--A--P--GV--P---ARFSGSL-------I--GD----K-AALTITGAQT-EDEADYYCATWDS----------------------------SLWVFG-GGTKLTVL-</t>
  </si>
  <si>
    <t>EVQ-LVESGG-GLVQPGGSLRLSCAASGFTF---------SNYAMT-WVRQ-A-P-G-E--G-LE-WVSYISSS-----------SGYTYY--A--D--SV--K---GRFTISR-D---N-S--KN----T-LYLQMNSLRA-EDTAVYYCARETYYD------------------------NGYFDYWG-QGTLVTVSS</t>
  </si>
  <si>
    <t>DIQ-MTQSPSSLSASVGDRVTITCRASQSI-----------SSYLN-WYQQ-K-P-G-K--A-PK-LLIYRA----------------SRL--Q--S--GV--P---SRFSGSG-------S--GT----D-FTLTISSLQP-EDFATYYCQQSYS----------------------------TPPTFG-QGTKVEIK-</t>
  </si>
  <si>
    <t>EVQ-LVESGG-GLVKAGGSLRLSCAASGFTF---------SDYYMS-WVRQ-A-P-G-K--G-LE-WVGRIKSKD---------DVSYTSY--A--D--SV--K---GRFTISR-D---N-A--KN----T-LYLQMNSLRA-EDTAVYYCARRAPYY------------------------GYLGAYWG-QGTLVTVSS</t>
  </si>
  <si>
    <t>DIQ-MTQSPSSLSASVGDRVTITCRASQSV-----------SSAVA-WYQQ-K-P-G-K--A-PK-LLIYSA----------------SSL--Y--S--GV--P---SRFSGSR-------S--GT----D-FTLTISSLQP-EDFATYYCQQSSS----------------------------YPVTFG-QGTKVEIK-</t>
  </si>
  <si>
    <t>QVQ-LVQSGP-GLVAPSQSLSITCTVSGFSL---------TGYYWS-WIRQ-P-P-G-K--G-LE-WLGVIWAG------------GSTDY--N--S--AL--K---SRLSISK-D---N-S--KS----Q-VFLKMNSLQT-DDTARYYCARDR-----------------------------YDDYWG-QGTSVTVSS</t>
  </si>
  <si>
    <t>DIQ-MTQSPSSLSASLGDRVTISCRASQDIS---------IGNLLH-WYQQ-K-P-G-K--A-PK-LLIYT-----------------STL--Q--S--GI--P---SRFSGSG-------S--GR----D-YSLTISNLEP-EDIATYYCLQYDN----------------------------LPLTFG-AGTKLELK-</t>
  </si>
  <si>
    <t>EVQ-LVESGG-GLVQPGGSLRLSCAASGFTF---------SSYAMH-WVRQ-A-P-G-K--G-LE-WVANIKDG------------SEKYY--V--D--SV--K---GRFTISR-D---N-A--KN----T-LYLQMSSLRA-EDTAVYYCARQQVY--------------------------GGGDYWG-QGTLVTVSS</t>
  </si>
  <si>
    <t>--V-MTQSPSSLSASVGDRVTITCRASQSI-----------SSYLN-WYQQ-K-P-G-K--A-PK-LLIYDA----------------SNL--E--T--GV--P---SRFSGSG-------S--GT----D-FTFTISSLQP-EDIATYYCQQYD-----------------------------YSATFG-QGTKVEIK-</t>
  </si>
  <si>
    <t>EVK-LQESGP-ELKKPGASVKVSCKASGYTF---------TDYWMH-WVKQ-A-P-G-Q--G-LE-WIGGIFPSD----------SYTNGY--T--Q--KF--K---GKATLTA-D---K-S--SS----T-AYMQLSSLTS-EDSAVYFCARRYG----------------------------YYDYWG-QGTTVTVSS</t>
  </si>
  <si>
    <t>DIE-LTQTPY--TVSLGQKVSLTCKASQSID----------YSALA-WYRQ-K-P-D-G--T-VK-LLIYYTT--------------QLPP--S--S--GV--P---DRFSGSG-------S--GT----D-YSLTISSLEP-EDFAIYYCQQTN-----------------------------WPLTFG-AGTKLELK-</t>
  </si>
  <si>
    <t>EVQ-LVESGG-GLVQPGGSLRLSCAASGFTF---------SNYWMN-WVRQ-A-P-G-K--G-LE-WVAYISSY-----------SGYTSY--A--D--SV--K---GRFTISA-D---T-S--KN----T-AYLQMNSLRA-EDTAVYYCARVSYY-------------------------DGVFDYWG-QGTLVTVSS</t>
  </si>
  <si>
    <t>DIQ-MTQSPSSLSASVGDRVTITCRASQDI-----------NEWLA-WYQQ-K-A-G-K--A-PK-LLIYTA----------------TNL--Q--S--GV--P---SRFSGSG-------S--GT----D-FTLTISSLQP-EDFATYYCQQYNY----------------------------SLITFG-GGTKVEIK-</t>
  </si>
  <si>
    <t>QLQ-LQESGP-GLVKPSETLSLTCTVSGFSL---------TNYGLH-WVRQ-P-P-G-K--G-LE-WIGYIYG-------------SGSTY--N--P--SL--K---SRVTVSV-D---M-S---S----T-KYIQMKSLQF-DV-----SAD---------------------------------EYWG-QGTMVTVSS</t>
  </si>
  <si>
    <t>DIE-LTQSPSSLSASVGDRVTITCRASQGV-----------STDLA-WYQQ-K-P-G-K--A-PK-LLIYAA----------------SNL--Q--S--GV--P---SRFSGSG-------S--GT----D-FTLTISSLQP-EDFATYYCQQGNT----------------------------FPLTFG-GGTKVEIK-</t>
  </si>
  <si>
    <t>QVQ-LQQSGA-ELVRPGTSVKLSCTVSGFYT----------TYHWL-WIRQ-P-G-P-G--G-FE-WIGYINQY------------GYTSY--N--Q--KF--Q---DKATLTA-D---K-S--SS----T-AYMQLTSLTS-EDSAVYYCARSVYS-------------------------DGSDFWNG-HGTAVTVSS</t>
  </si>
  <si>
    <t>DIQ-MTQSPSSLSASLGDRVTITCRASQDI-----------SNYLN-WYQQ-K-P-G-K--A-PR-LLIYGA----------------SSL--Q--S--GV--P---SRFSGSG-------S--GT----E-FTLTISSLQP-EDFATYYCQQSYT----------------------------TPYTFG-QGTKVEIK-</t>
  </si>
  <si>
    <t>DIQ-MTQSPSSLSASVGDRVTITCRASQSV-----------SSAVA-WYQQ-K-P-G-K--A-PK-LLIYSA----------------SSL--Y--S--GV--P---SRFSGSR-------S--GT----D-FTLTISSLQP-EDFATYYCQQIWS----------------------------TPITFG-QGTKVEIK-</t>
  </si>
  <si>
    <t>EVQ-LVESGG-GLVQPGGSLRLSCAASGFTF---------SNFGMH-WVRQ-T-P-E-K--R-LE-WVAYISSG------------GNTYY--A--D--SV--K---GRFTISA-D---T-S--KN----T-AYLQM---RA-EDTAVYYCARSY-----------------------------GSDYWG-QGTLVTVSS</t>
  </si>
  <si>
    <t>DIQ-MTQSPSSLSASVGDRVTITCRASQGI------------RDVA-WYQQ-K-P-G-K--A-PK-LLIYYA----------------STL--Q--S--GV--P---SRFSGSG-------S--GT----D-FTLTISSLQP-EDFATYYCQQYK-----------------------------TPPTFG-GGTKVEIK-</t>
  </si>
  <si>
    <t>QVQ-LQQSGP-ELVKPGASVKLSCQASGYTF---------TSYNIM-WVKQ-R-P-G-Q--G-LE-WIGRIYPGD----------SDTYHN--N--E--RF--K---DKATLTA-D---K-S--SS----T-VYMQLNSLTS-EDSAVYYCARSYAYG-----------------------YDSWFAYWG-QGTLVTVSA</t>
  </si>
  <si>
    <t>QVQ-LVESGG-GVVQPGRSLRLSCAASGFTF---------SNYGMH-WVRQ-A-P-G-K--G-LE-WVAIMNWG-----------DITKYY--A--D--SV--K---GRFTISR-D---N-S--KN----T-LYLQM---RA-EDTAVYYCAKVRT----------------------------WSDYWG-QGTLVTVSS</t>
  </si>
  <si>
    <t>DIV-LTQSPDSLAVSLGERATINCKSSQWYS----------NGWLA-WYQQ-K-P-G-Q--A-PR-LLIYGA----------------SNR--A--T--GI--P---DRFSGSG-------S--GT----D-FTLTISRLEP-EDFAVYYCQQYGS----------------------------SPWTFG-QGTKVEIK-</t>
  </si>
  <si>
    <t>EVQ-LLESGG-GLVQPGGSLRLSCAASGFTF---------STYAMS-WVRQ-A-P-G-K--G-LE-WVSHIGG-------------GGTYY--A--D--SV--K---GRFTISR-D---N-S--KN----T-LYLQM---RA-EDMA-YYCAKLGD---------------------------YWLDYWG-QGTLVTVSS</t>
  </si>
  <si>
    <t>DIQ-MTQSPSSLSASVGDRVTITCRASQTI-----------SNYLD-WYQQ-K-P-G-K--A-PK-LLIYAA----------------SSL--Q--S--GV--P---SRFSGSG-------S--GT----D-FTLTISSLQP-EDFATYYCLQHNS----------------------------YPYTFG-QGTKLEIK-</t>
  </si>
  <si>
    <t>EVQ-LVESGG-GLVQPGGSLRLSCAASGFNY---------SSTYIH-WVRQ-A-P-G-K--G-LE-WVASISSY-----------YGYTYY--A--D--SV--K---GRFTISA-D---T-S--KN----T-AYLQMNSLRA-EDTAVYYCARQAPSG------------------------YWYFDYWG-QGTLVTVSS</t>
  </si>
  <si>
    <t>DIQ-MTQSPSSLSASVGDRVTITCRASQSV-----------DSDVA-WYQQ-K-P-G-K--A-PK-LLIYSA----------------SSL--Y--S--GV--P---SRFSGSR-------S--GT----D-FTLTISSLQP-EDFATYYCQQSDS----------------------------SLITFG-QGTKVEIK-</t>
  </si>
  <si>
    <t>QVQ-LVQSGA-EVKKPGASVKVSCKASGYTF---------TSYGIS-WVRQ-A-P-G-Q--G-LE-WMGWISY-------------NGNKY--S--Q--KF--Q---GRVTMTR-D---T-S--IS----T-AYMELSRLRS-DDTAVYYCARAGG---------------------------FGSDVWG-QGTTVTVSS</t>
  </si>
  <si>
    <t>DIQ-LTQSPSFLSASVGDKVTITCRASQGV------------RNLA-WYQQ-K-P-G-K--A-PK-LLIYKA----------------SRL--E--T--GV--P---SRFSGSG-------S--GT----D-FTLTISSLQP-EDFATYYCQQYNS----------------------------FPWTFG-QGTKVEIK-</t>
  </si>
  <si>
    <t>EVQ-LVESGG-GLVQPGGSLRLSCAASGFNF---------SSSSIH-WVRQ-A-P-G-K--G-LE-WVASISSS-----------SGSTSY--A--D--SV--K---GRFTISA-D---T-S--KN----T-AYLQMNSLRA-EDTAVYYCARLGYGS-----------------------GSGYLDIWG-QGTLVTVSS</t>
  </si>
  <si>
    <t>--A-LTQPPS-VSVSPGQTASITCSGSRSN-----------IGSKS-WYRQ-R-P-G-Q--A-PR-TLIYRN----------------NKR--P--S--GI--P---ERFSGSS-------S--GT----T-VTLTISGVEA-GDEADYYCQTWDS---------------------------SNVTVFG-GGTKLTVL-</t>
  </si>
  <si>
    <t>EVQ-LQQSGP-ELVKPGASVKMSCKASGYTF---------TSYSMH-WVKQ-R-P-G-Q--G-LE-WIGYINPY------------NDGKY--N--E--KF--K---GKATLTV-D---K-S--SS----T-AYMQLSSLTS-EDSAVYFCARERGA--------------------------YWFAYWG-QGTSVTVSS</t>
  </si>
  <si>
    <t>DIV-LTQSPASLAVSLGQRATISCRASKSVD----------SNFLH-WYQQ-K-P-G-Q--P-PK-LLIFS-----------------N----A--S--GI--P---ARFSGSG-------S--GT----D-FTLNIHPVEE-EDAATYYCQQSNE----------------------------DPFTFG-SGTKLEIK-</t>
  </si>
  <si>
    <t>EVQ-LVESGG-GLVQPGGSLRLSCAASGFTF---------SSYSMN-WVRQ-A-P-G-K--G-LE-WVANIKDG------------RNTYY--A--D--SV--K---GRFTISR-D---N-S--KN----T-LYLQM---RA-EDTAVYYCARDLG---------------------------YGMDVWG-QGTTLTVSS</t>
  </si>
  <si>
    <t>DIQ-MTQSPSSLSASVGDRVTITCRASQSI-----------SNYLN-WYQQ-K-P-G-K--A-PK-LLIYDA----------------SNL--A--S--GV--P---SRFSGSG-------S--GT----D-FTLTISSLQP-EDFATYYCQQSYF----------------------------YLRTFG-QGTKVEIK-</t>
  </si>
  <si>
    <t>EVQ-LVESGG-GLVQPGGSLRLSCAASGFNF---------SSSSIH-WVRQ-A-P-G-K--G-LE-WVASISS-------------SYTSY--A--D--SV--K---GRFTISA-D---T-S--KN----T-AYLQM---RA-EDTAVYYCARWEYG--------------------------SSGDSWG-QGTLVTVSS</t>
  </si>
  <si>
    <t>DIQ-MTQSPSSLSASVGDRVTITCRASQSV-----------SSAVA-WYQQ-K-P-G-K--A-PK-LLIYSA----------------SSL--Y--S--GV--P---SRFSGSR-------S--GT----D-FTLTISSLQP-EDFATYYCQQGYS----------------------------GPITFG-QGTKVEIK-</t>
  </si>
  <si>
    <t>EVQ-LVQSGG-GLVQPGGSLRLSCAASGFTFT--------SDYYMS-WIRQ-A-P-G-K--G-LE-WVSAISSS------------GSTYY--A--D--SV--K---GRFTISR-D---N-S--KN----T-LYLQM---RA-EDTAVYYCAKV--------------------------------DYWG-QGTLVTVSS</t>
  </si>
  <si>
    <t>DIQ-MTQSPSSLSASVGDRVTITCRASQSI-----------SNWLA-WYQQ-K-P-G-K--A-PK-LLIYAA----------------SSL--Q--S--GV--P---SRFSGSG-------S--GT----D-FTLTISSLQP-EDFATYYCQQSYS----------------------------TVFTFG-QGTKVEIK-</t>
  </si>
  <si>
    <t>QVQ-LQQPGA-ELVKPGASVKLSCKASGYTF---------TSDWIH-WVKQ-R-P-G-H--G-LE-WIGEIIPS-----------YGRANY--N--E--KI--Q---KKATLTA-D---K-S--SS----T-AFMQLSSLTS-EDSAVYYCARKGLR-------------------------GYGMDVWG-AGTTVTVSS</t>
  </si>
  <si>
    <t>EVQ-LVESGG-GLVQPGGSLRLSCAASGFTF---------SSYAMH-WVRQ-A-P-G-K--G-LE-WVAYISPSS----------GSTIYY--A--D--SV--K---GRFTISR-D---N-A--KN----S-LYLQMNSLRA-EDTAVYYCARG--------------------------------GYWG-QGILVTVSS</t>
  </si>
  <si>
    <t>DIQ-MTQSPSSLSASVGDRVTITCRASQSI-----------SSYLN-WYQQ-K-P-G-K--A-PK-LLIYSA----------------SFL--Y--S--GV--P---SRFSGSG-------S--GT----E-FTLTISSLQP-EDFATYYCQQFGY---------------------------GYPFTFG-QGTKVEIK-</t>
  </si>
  <si>
    <t>EVQ-LVESGG-GLVQPGGSLRLSCAASGFNF----------SYYIS-WVRQ-A-P-G-K--G-LE-WVAGIYPG------------GSTFY--A--D--SV--K---GRFTISR-D---N-S--KN----T-LYLQMNSLRA-EDTAVYYCARLNWGYG---------------------AWRVYFDYWG-QGTLVTVSS</t>
  </si>
  <si>
    <t>QSV-LTQPPS-VSGAPGQRVTISCTGSSSNIG--------AGYDVH-WYQQ-L-P-G-T--A-PK-LLIYGN----------------SNR--P--S--GV--P---DRFSGSK-------S--GT----S-ASLAITGLQA-EDEADYYCQSYDS---------------------------SLSVVFG-GGTKLTVL-</t>
  </si>
  <si>
    <t>EVQ-LVESGG-GLVQPGGSLRLSCAASGFNF---------SDYYMS-WVRQ-A-P-G-K--G-LE-WVAYISSG------------GSTYY--A--D--SV--K---GRFTISR-D---N-S--KN----T-LYLQMNSLRA-EDTAVYYCARSRSSSS---------------------GSPSGYFYWG-QGTLVTVSS</t>
  </si>
  <si>
    <t>DIQ-MTQSPSSLSASVGDRVTITCRASQSV-----------SSAVA-WYQQ-K-P-G-K--A-PK-LLIYSA----------------SYR--Y--T--GV--P---SRFSGSG-------S--GT----D-FTLTISSLQP-EDFATYYCQQSYY----------------------------APRTFG-QGTKVEIK-</t>
  </si>
  <si>
    <t>QVQ-LQQSGP-EVVKPGASVKLSCTASGFNIK--------DDGTIY-WVKQ-R-P-E-Q--G-LE-WIGRIDPA-----------NGNTKY--D--P--KF--Q---GKATITT-D---T-F--SN----T-AYLQLSSLTS-EDTAVYYCARPWGG-------------------------FYAMDYWG-QGTSVTVSS</t>
  </si>
  <si>
    <t>DVV-MTQSPLSLPVTPGEPASISCRSSQSLLHS------NGYNYLD-WYLQ-K-P-G-Q--S-PQ-LLIYLG----------------SNR--A--S--GV--P---DRFSGSG-------S--GT----D-FTLKISRVEA-EDVGVYYCMQAL-----------------------------QTPTFG-QGTRLEI--</t>
  </si>
  <si>
    <t>EVQ-LQQSGA-ELVKPGASVKLSCTASGFNI---------KDTYMH-WVKQ-R-P-E-Q--G-LE-WIGRIDPA-----------NGDTKY--D--P--KF--Q---GKATITA-D---T-S--SN----T-AYLQLSSLTS-EDTAVYYCVRPLYD-------------------------YYAMDYWG-QGTSVTVSS</t>
  </si>
  <si>
    <t>QGQ-LVQSGP-ELKKPGTSVKISCKTSGYR-----------FISYE-WIRQ-H-P-G-K--G-LE-WMGYISYG-----------SGRTYY--N--E--KF--K---GKATFTE-D---T-S--AS----T-AYMELSSLTS-EDSAIYYCALGG------------------------------YDVWG-QGTTVTVSS</t>
  </si>
  <si>
    <t>DIQ-MTQSPSSLSASVGDRVTITCRASQNI-----------NNYLA-WYQQ-K-P-G-K--A-PK-LLIYAA----------------STL--Q--S--GV--P---SRFSGSG-------S--GT----D-FTLTISSLQP-EDIATYYCLQGNN----------------------------SPYTFG-QGTKLEIK-</t>
  </si>
  <si>
    <t>QVQ-LQESGP-GLVKPSETLSLTCTVSGASI---------SSYYWS-WIRQ-P-P-G-K--G-LE-WIGYIYYS------------GSTNY--N--P--SL--K---SRVTISV-D---T-S--KN----Q-FSLKLSSVTA-ADTAVYYCARDVS---------------------------SGRPLWG-QGTLVTVSS</t>
  </si>
  <si>
    <t>DIQ-LTQSPSSLSASVGDRVTITCRASQSI-----------STFLN-WYQQ-K-P-G-K--A-PK-LLIYAA----------------SSL--Q--S--GV--P---SRFSGSG-------S--GT----E-FTLTISSLQP-EDFATYYCQQLN-----------------------------SAWTFG-QGTKVEIK-</t>
  </si>
  <si>
    <t>-VQ-LQQSGA-ELVKPGASVKLSCKASGYTF---------TSDWIH-WVKQ-R-P-G-H--G-LE-WIGEIIPS-----------YGRANY--N--E--KI--Q---KKATLTA-D---K-S--SS----T-AFMQLSSLTS-EDSAVYYCARERGD--------------------------GYFAVWG-AGTTVTVSA</t>
  </si>
  <si>
    <t>DIV-LTQSPASLAVSLGQRATISCRASKSVSTD------YGISFMH-WYQQ-K-P-G-Q--P-PK-LLIYAA----------------SNQ--G--S--GV--P---ARFSGSG-------S--GT----D-FSLNIHPVEEDDDTAVYYCQQSNE----------------------------DPWTFG-GGTKLEIK-</t>
  </si>
  <si>
    <t>EVQ-LVESGG-GLVQPGGSLRLSCAASGFNF---------SSSSIH-WVRQ-A-P-G-K--G-LE-WVASISSS-----------SGSTSY--A--D--SV--K---GRFTISA-D---T-S--KN----T-AYLQMNSLRA-EDTAVYYCARSYGW--------------------------YYDSSWG-QGTLVTVSS</t>
  </si>
  <si>
    <t>DIQ-MTQSPSSLSASVGDRVTITCRASQSV-----------SSAVA-WYQQ-K-P-G-K--A-PK-LLIYSA----------------SSL--Y--S--GV--P---SRFSGSR-------S--GT----D-FTLTISSLQP-EDFATYYCQQYYS---------------------------SHPITFG-QGTKVEIK-</t>
  </si>
  <si>
    <t>EVQ-LQQSGP-ELVKPGASMKTSCKASGYSF----------TDYIN-WVKQ-S-H-G-K--S-LE-WIGNINPY-----------NGGTSY--N--Q--KK--K-----ATLTV-D---K-S--SS----T-AYMELRSLTS-EDSAVYYCARVRPY--------------------------YDYDYWG-QGTSVTVSS</t>
  </si>
  <si>
    <t>DIV-MTQSPASLSESVGETV--TCRASGTIR----------SNYLN-WYQQ-K-P-G-K--S-PQ-LLIYLA----------------SNL--E--P--GS--I---PRFNGSG-------S--GT----D-FTLTISSVQA-EDLAVYYCQNDYT----------------------------LPYTFG-GGTKLEIK-</t>
  </si>
  <si>
    <t>QVQ-LVQSGA-EVKKPGSSVKVSCKASGGPF---------RSNNIH-WVRQ-A-P-G-Q--G-LE-WMGGIIPG-----------LGPIAY--A--Q--RF--Q---GRVTITA-DR--Q-S--SN----T-AYMEL---TS-EDTAVYFCARQQGA--------------------------LRSDVWG-QGTTVTVSS</t>
  </si>
  <si>
    <t>EIV-LTQSPGTLSLSPGERATLSCRASQSV-----------SSTLA-WYQQ-K-P-G-Q--A-PR-LLIYGA----------------SSR--A--T--GI--P---DRFSGSG-------S--GT----D-FTLTISRLEP-EDFAVYYCQQYGS----------------------------SPWTFG-QGTKVEIK-</t>
  </si>
  <si>
    <t>QVT-LKESGP-GILQPSQTLSLTCSFSGSSS---------NNYYWG-WIRQ-P-P-G-K--G-LE-WIGEIVKS-----------SGSTNY--N--P--SL--K---SRVTISV-D---T-S--KN----Q-FSLKLSSVTA-ADTAVYYCARVRQVY-----------------------YVMSFDYWG-QGTLVTVSS</t>
  </si>
  <si>
    <t>DIQ-MTQSPSSLSASVGDRVTITCRASQGI-----------NNYLA-WYQQ-K-P-G-K--A-PK-VLIYAA----------------STL--Q--S--GV--P---SRFSGSG-------S--GT----E-FTLTISSLQP-EDFATYYCQQYNS----------------------------YPWTFG-QGTKVEIK-</t>
  </si>
  <si>
    <t>QVQ-LQQSGA-ELARPGASVKLSCKASGYTF---------TEYTIH-WVKQ-R-P-G-Q--G-LE-WIGDIYPG-----------DGDTNY--N--G--KF--K---GKATLTA-D---K-S--SS----T-AYMQLSSLTS-EDSAVYYCARERGY-------------------------GTYFDVWG-AGTTVTVSS</t>
  </si>
  <si>
    <t>DIV-VTQTPLSLPVSLGDQASISCRSSQSLVHS------NGNTYLH-WYLQ-K-P-G-Q--S-PK-LLIYKV----------------SNR--F--S--GV--P---DRFSGSG-------S--GT----D-FTLKISRVEA-EDLGVYYCFQGSH----------------------------VPLTFG-AGTKLELK-</t>
  </si>
  <si>
    <t>EVQ-LVESGG-GLVQPGGSLRLSCAASGFTF---------SNYGMN-WVRQ-A-P-G-K--G-LE-WVAGIYHS-----------GSTIYY--A--D--SV--K---GRFTISR-D---N-S--KN----T-LYLQMNSLRA-EDTAVYYCARGEGVGGYYY---------------DYYYYYYYMDVWG-KGTTVTVSS</t>
  </si>
  <si>
    <t>DIQ-MTQSPSSLSASVGDRVTITCRASQSI-----------SSYLN-WYQQ-K-P-G-K--A-PK-LLIYAT----------------SSL--Q--S--GV--P---SRFSGSG-------S--GT----D-FTLTISSLQP-EDFATYYCQQSY------------------------------STLFG-QGTKVEIK-</t>
  </si>
  <si>
    <t>QVQ-LVQSGA-EVKKPGASVKVSCRAFGYTF---------TGYYMH-WVRQ-A-P-G-Q--G-LE-WMGWINPN-----------SGDTNY--A--Q--KF--Q---GRVTMTR-D---T-S--IS----T-AYMELSRLRS-DDTAVYYCARER------------------------------GDYWG-QGTLVTV--</t>
  </si>
  <si>
    <t>DIQ-MTQSPSSLSASVGDRVTITCRASQSI-----------SSYLN-WYQQ-K-P-G-K--A-PK-LLIYAA----------------SYL--E--S--GV--P---SRFSGSG-------S--GT----D-FTLTISSLQP-EDFATYYCQQYEG----------------------------APPTFG-QGTKVEIK-</t>
  </si>
  <si>
    <t>QVQ-LVQSGA-EVKKPGSSVKVSCRASGYLF---------TSYAIS-WVRQ-A-P-G-Q--G-LE-WMGRIIPI-----------FGTANY--A--Q--KF--Q---GRVTITA-D---E-S--TS----T-AYMEL---RS-EDTAVYYCARESYYGSS--------------------GYHFAFDIWG-QGTMVTVSS</t>
  </si>
  <si>
    <t>DIV-MTQSPSSLSASVGDRVTITCQASQDI-----------SNYLN-WYQQ-K-P-G-K--A-PK-LLIYVA----------------SSL--Q--S--GV--P---SRFSGSG-------S--GT----D-FTLTISSLQP-EDFATYYCQQSYS----------------------------TPWTFG-QGTKVEIK-</t>
  </si>
  <si>
    <t>EVQ-LVESGG-GLVQPGGSLRLSCAASGFTF---------SHYGMS-WVRQ-A-P-G-K--G-LE-WVAYISSG------------GSTYY--A--D--SV--K---GRFTISR-D---N-S--KN----T-LYLQMNSLRA-EDTAVYYCARTGSP-------------------------YGYFDYWG-QGTLVTVSS</t>
  </si>
  <si>
    <t>DIQ-MTQSPSSLSASVGDRVTITCRASQSI-----------GSYLN-WYQQ-K-P-G-K--A-PK-LLIYAA----------------SSL--Q--S--GV--P---SRFSGSG-------S--GT----D-FTLTISSLQP-EDFATYYCQQS-------------------------------YSTFG-GGTKVEIK-</t>
  </si>
  <si>
    <t>EVQ-LVESGG-GLVQPGGSLRLSCAASGFTF---------SNYAMS-WVRQ-A-P-G-K--G-LE-WVSGISWS-----------GGSTYY--A--D--SV--K---GRFTISR-D---N-S--KN----T-LYLQMNSLRA-EDTAVYYCARHDRAD-----------------------GGNYFDYWG-QGTLVTVSS</t>
  </si>
  <si>
    <t>DIQ-MTQSPSSLSASVGDRVTITCRASQGI-----------SNYLA-WYQQ-K-P-G-K--A-PK-LLIYAA----------------SSL--Q--S--GV--P---SRFSGSG-------S--GT----D-FTLTISSLQP-EDFATYYCQQYN-----------------------------SYLHFG-QGTKVEIK-</t>
  </si>
  <si>
    <t>QVQ-LVQSGA-EVKKPGSSVKVSCKASGGTF----------ISAIS-WVRQ-A-P-G-Q--G-LE-WMGGIIIF-----------GTANNS--A--Q--KF--Q---GRVTITA-D---K-S--TS----T-AYMELSSLRS-EDTAMYYCARAAVDD-----------------------LLGGFDYWG-QGTLVTVS-</t>
  </si>
  <si>
    <t>DIV-LTQSPGTLSLSPGERATLSCRASQSVR----------SSYLA-WYQQ-K-P-G-Q--A-PR-LLIYGA----------------SSR--A--T--GI--P---DRFSGSG-------S--GT----D-FTLTISRLEP-EDFAVYYCQQYGS----------------------------SPWTFG-QGTKVEIK-</t>
  </si>
  <si>
    <t>-SV-LTQPPS-VSAAPGQKVTISCSGSSSNI---------GNDYVS-WYQQ-L-P-G-T--A-PK-LLIYDN----------------NKR--P--S--GI--P---DRFSGSK-------S--GT----S-ATLGITGLQT-GDEADYYCGTWDS----------------------------SLWVFG-GGTKLTVL-</t>
  </si>
  <si>
    <t>EVQ-LVESGG-GLVQPGGSLRLSCAASGFTF---------SNYGMN-WVRQ-A-P-G-K--G-LE-WVAGIIWSD----------GNNTYY--A--D--SV--K---GRFTISA-D---T-S--KN----T-AYLQMNSLRA-EDTAVYYCARHGNS--------------------------VYWDVWG-QGTTVTVSS</t>
  </si>
  <si>
    <t>DIQ-MTQSPSSLSASVGDRVTITCRASQSI-----------SNYVA-WYQQ-K-P-G-K--A-PK-LLIYSA----------------SNL--E--S--GV--P---SRFSGSR-------S--GT----D-FTLTISSLQP-EDFATYYCQQS--------------------------------FFPG-TGTRLEIK-</t>
  </si>
  <si>
    <t>QVQ-LQQPGT-ELVKPGASVKLSCKASGYTF---------TSDWIH-WMKQ-S-H-G-K--S-LE-WIGDINPY-----------NGGTSY--N--Q--NF--K---GKATLTV-D---K-S--SS----T-AFMH---LTS-EDSAVYYCARDYDD--------------------------AWFAYWG-QGTLVTVSA</t>
  </si>
  <si>
    <t>DIV-MTQSPSSLAVSAGEKVTMSCKSSQSLLNS-----RTRKNYLA-WYQQ-K-P-G-Q--S-PK-LLIYWA----------------STR--E--S--GV--P---DRFTGSG-------S--GT----D-FTLTISSVQA-EDLAVYYCQQYYS----------------------------YPYTFG-GGTKLEIK-</t>
  </si>
  <si>
    <t>QVQ-LQQPGA-ELVKPGASVKMSCKASGYTF---------TSDWIH-WVKQ-R-P-G-Q--G-LE-WIGEIIPS-----------YGRANY--N--E--KI--Q---KKATLTA-D---K-S--SS----T-AFMQLSSLTS-EDSAVYYCARERGD--------------------------GYFAVWG-AGTTVTVSS</t>
  </si>
  <si>
    <t>QVQ-LVQSGA-EVKKPGASVKVSCKASGYTF---------TSYGIS-WVRQ-A-P-G-Q--G-LE-WMGWINPN-----------SGGTNY--A--Q--KF--Q---GRVTMTR-D---T-S--TS----T-VYMELSSLRS-EDTAVYYCARFQP---------------------------VYFDYWG-QGTLVTVSS</t>
  </si>
  <si>
    <t>DIQ-MTQSPSSLSASVGDRVTITCQASQDI-----------SNYLN-WYQQ-K-P-G-K--A-PK-LLIYDA----------------SNL--E--T--GV--P---SRFSGSG-------S--GT----D-FSLTISSLQP-EDVATYYCQQYDN----------------------------LPFTFG-PGTKVEIK-</t>
  </si>
  <si>
    <t>QIQ-LVQSGP-ELKKPGETVKISCKASGYTF---------TDYSMH-WVKQ-A-P-G-K--G-LK-WMGWINTT-----------DGSEDF--A--R--DF--K---GRFAFSL-E---T-S--AS----T-AYLQINNLKN-EDTATYFCARLGD---------------------------YRDYVWG-QGTTVTVSS</t>
  </si>
  <si>
    <t>DVV-MTQSPLSLPVTLGQPASISCKSSQSLLY--------SNDYLH-WYLQ-K-P-G-Q--S-PK-LMIYKV----------------SNR--F--S--GV--P---DRFSGSG-------S--GT----D-FTLKISRVEA-EDLGVYFCSQSTH----------------------------VPWVFG-GGTKLTVL-</t>
  </si>
  <si>
    <t>QVQ-LVQSGG-GLVRPGTSVKVSCKASGFTFS--------DAYWMN-WVRQ-A-P-G-K--G-LE-WIGVINPK-----------GGTTEY--N--E--KF--K---GKATLTA-D---T-S--SN----T-AYMQLSSLTS-EDSAVYYCARRFPY--------------------------GYFDYWG-QGTLVTVSS</t>
  </si>
  <si>
    <t>DIQ-MTQSPSSLSASVGDRVTITCRASQSI-----------SSYLN-WYQQ-K-P-G-K--A-PK-LLIYAA----------------SSL--Q--S--GV--P---SRFSGSG-------S--GT----D-FTLTISSLQP-EDFATYYCQQSYS----------------------------TLFTFG-PGTKVDIK-</t>
  </si>
  <si>
    <t>EVQ-LVESGG-GLVQPGGSLRLSCAASGFIF---------STYWMH-WVRQ-A-P-G-K--G-LE-WVASISSS-----------SGSTSY--A--D--SV--K---GRFTISA-D---T-S--KN----T-AYLQMNSLRA-EDTAVYYCARQGYVYQGG------------------YSYYYGMDVWG-QGTLVTVSS</t>
  </si>
  <si>
    <t>DIV-MTQSPDSLAVSLGERATINCKSSQSVLYS-----SNNKNYLA-WYQQ-K-P-G-Q--P-PK-LLIYWA----------------STR--E--S--GV--P---DRFSGSG-------S--GT----D-FTLTISSLQA-EDVAVYYCQQYYK----------------------------TPYTFG-QGTKVEIK-</t>
  </si>
  <si>
    <t>EVQ-LVESGG-GLVQPGGSLRLSCAASGFNV---------SYSSIH-WVRQ-A-P-G-K--G-LE-WVASIYSY-----------SGSTYY--A--D--SV--K---GRFTISA-D---T-S--KN----T-AYLQMNSLRA-EDTAVYYCARAAYYG-----------------------YGSSFDYWG-QGTLVTVSS</t>
  </si>
  <si>
    <t>-IQ-LTQSPSFLSASVGDRVTITCRASQGI-----------SSWLA-WYQQ-K-P-G-K--A-PK-LLIYAA----------------STL--Q--S--GV--P---SRFSGSG-------S--GT----D-FTLTISSLQP-EDFATYYCQQSYS---------------------------TPPYTFG-QGTKLEIK-</t>
  </si>
  <si>
    <t>EVQ-LVESGG-GLVQPGGSLRLSCAASGFNF---------SSSSIH-WVRQ-A-P-G-K--G-LE-WVASISSS-----------YYSTYY--A--D--SV--K---GRFTISA-D---T-S--KN----T-AYLQMNSLRA-EDTAVYYCARSYAG-------------------------YWYFDYWG-QGTLVTVSS</t>
  </si>
  <si>
    <t>----LTQPAS-VSGSPGQSITISCTGTSSDVG--------GYNYVS-WYQQ-H-P-G-K--A-PK-LMIYDV----------------SKR--P--S--GV--S---NRFSGSK-------S--GN----T-ASLTISGLQA-EDEADYYCSSYAG----------------------------SSTVFG-GGTKLTVL-</t>
  </si>
  <si>
    <t>EVQ-LVESGG-GLVQPGGSLRLSCAASGFNF---------SYYSIH-WVRQ-A-P-G-K--G-LE-WVASIYSY-----------SGYTYY--A--D--SV--K---GRFTISA-D---T-S--KN----T-AYLQMNSLRA-EDTAVYYCARVLY---------------------------SYFDYWG-QGTLVTVSS</t>
  </si>
  <si>
    <t>DIQ-MTQSPSSLSASVGDRVTITCRASQSV-----------SSAVA-WYQQ-K-P-G-K--A-PK-LLIYSA----------------SSL--Y--S--GV--P---SRFSGSR-------S--GT----D-FTLTISSLQP-EDFATYYCQQSSN----------------------------WPLTFG-GGTKVEIK-</t>
  </si>
  <si>
    <t>EVQ-LVESGG-GLVQPGGSLRLSCAASGFNV---------SYSSIH-WVRQ-A-P-G-K--G-LE-WVASIYSG------------GSTYY--A--D--SV--K---GRFTISA-D---T-S--KN----T-AYLQMNSLRA-EDTAVYYCARPYGWG------------------------YSGLDYWG-QGTLVTVSS</t>
  </si>
  <si>
    <t>-SV-LTQPPS-ASGTPGQRVTISCSGSSSNI---------GSNYVY-WYQQ-L-P-G-T--A-PK-LLIYSN----------------NQR--P--S--GV--P---DRFSGSK-------S--GT----S-ASLAISGLRS-EDEADYYCAAWDD---------------------------SLHWVFG-GGTKLTVL-</t>
  </si>
  <si>
    <t>QLQ-LQESGP-GLVKPSETLSLTCTVSGFSL---------TSYG-N-WLKQ-W-I-G-K--S-LE-WIGTIYYT------------GNPTY---------V--K---GRFTISR-L---K-S--IT----V-VPRSMNSLAS-ADTATYFCARDPY---------------------------GVNNGHF-QGDLVTVSS</t>
  </si>
  <si>
    <t>DIV-MTQTPSLSLAVDGQPASISCRSSQSLVY-------SSNQK------N-G-C-G-Q--S-PR-LLIKYASQ------------SSGFQ--G--S--GI--P---DRFSGSG-----------T----D-FTLTISSLQS-EDIATYFCLGGNY----------------------------YYFTFG-GGTKLEIK-</t>
  </si>
  <si>
    <t>QVQ-LVQSGA-EVKKPGSSVKVSCKASGGTF---------SSYAIS-WVRQ-A-P-G-Q--G-LE-WMGGIIIF------------GTANY--A--Q--KF--Q---GRVTITA-D---E-S--TS----T-AYMEL---RS-EDTAVYYCARGGV----------------------------GVDVWG-QGTTVTVSS</t>
  </si>
  <si>
    <t>QGQ-LVQSGP-ELKKPGETVKISCKASGYTF---------TDYSIH-WVKQ-A-P-G-K--G-LK-WMGWINTE-----------TGEPTY--A--D--DF--K---GRFAFSL-E---T-S--AS----T-AYLQINNLKN-EDTATYFCARGDY---------------------------DYFDYWG-QGTLVTVSS</t>
  </si>
  <si>
    <t>DIV-LTQSPASLAVSLGQRATISCKASQSVS----------TSYMH-WYQQ-K-P-G-Q--P-PK-LLIYDA----------------SSL--D--S--GV--P---ARFSGSG-------S--GT----D-FTLNIHPVEE-EDAATYYCQHHR-----------------------------SQPTFG-AGTKLEIK-</t>
  </si>
  <si>
    <t>QVQ-LQESGP-GLVKPSQTLSLTCTVSGGSIS-------SGSYYWS-WIRQ-P-P-G-K--G-LE-WIGEINH-------------GSTNY--N--P--SL--K---SRVTISV-D---T-S--KN----Q-FSLKLSSVTA-ADTAVYYCARTGGD--------------------------YYYDYWG-QGTLVTVSS</t>
  </si>
  <si>
    <t>DIV-MTQSPSSLSASVGDRVTITCRASQSI-----------SSYLN-WYQQ-K-P-G-K--A-PK-LLIYDA----------------SSL--Q--S--GV--P---SRFSGSG-------S--GT----D-FTLTISSLQP-EDFATYYCQQSYS----------------------------SPPTFG-QGTKVEIK-</t>
  </si>
  <si>
    <t>QIQ-LVQSGR-EVKNPGETVKISCKASGYTF---------TEYPML-WVKQ-A-P-G-K--G-FR-WMGLIYTN-----------TGEPTY--A--E--EF--K---GRFVFSL-E---I-S--AS----T-AYLQI---KN-EDTATYFCVRDYF---------------------------ISLDYWG-QGTSVTVSS</t>
  </si>
  <si>
    <t>DIV-MTQSHKFMSTSVGDRVSITCKASQDVS---------TAVAVY-RYQQ-K-P-G-Q--S-PK-LLIYWA----------------STR--H--I--GV--P---DRFTGSG-------S--GT----D-FTLTISNVQS-EDLADYFCLQYS-----------------------------SYPTFG-GGTKLEIK-</t>
  </si>
  <si>
    <t>EVQ-LVESGG-GLVQPGGSLRLSCAASGFTFS-------FDMHWMS-WVRQ-A-P-G-K--G-LE-WVSGINRKY---------YSTDSDS--I--SRFTF--K---DRFTVY------M-T--RR----I-AYMDLSSLT--DDTATYFCAFD-------------------------------DSSWG-QGTMVTVSS</t>
  </si>
  <si>
    <t>DIQ-MTQSPSSLSASVGDRVTITCRASQSI-----------SNYLA-WYQQ-K-P-G-K--A-PK-LLIYVA----------------SDL--A--S--GV--P---SRFSGSG-------S--GT----D-FTLTISSLQP-EDFATYYCQQYEG---------------------------TPPFTFG-PGTKVEIK-</t>
  </si>
  <si>
    <t>EIV-MTQSPSSLSASVGDRVTITCRASQGI-----------SSDLA-WYQQ-K-P-G-K--A-PK-LLIYAA----------------SNL--Q--S--GV--P---SRFSGSG-------S--GT----D-FTLTISSLQP-EDFATYYCQQLNS----------------------------YPFTFG-PGTKVDIK-</t>
  </si>
  <si>
    <t>seq_id</t>
  </si>
  <si>
    <t>peleke-phi-4_BHRF1_01</t>
  </si>
  <si>
    <t>peleke-phi-4_BHRF1_02</t>
  </si>
  <si>
    <t>peleke-phi-4_BHRF1_03</t>
  </si>
  <si>
    <t>peleke-phi-4_BHRF1_04</t>
  </si>
  <si>
    <t>peleke-phi-4_BHRF1_05</t>
  </si>
  <si>
    <t>peleke-phi-4_BHRF1_06</t>
  </si>
  <si>
    <t>peleke-phi-4_BHRF1_07</t>
  </si>
  <si>
    <t>peleke-phi-4_BHRF1_08</t>
  </si>
  <si>
    <t>peleke-phi-4_BHRF1_09</t>
  </si>
  <si>
    <t>peleke-phi-4_BHRF1_10</t>
  </si>
  <si>
    <t>peleke-phi-4_BHRF1_11</t>
  </si>
  <si>
    <t>peleke-phi-4_BHRF1_12</t>
  </si>
  <si>
    <t>peleke-phi-4_BHRF1_13</t>
  </si>
  <si>
    <t>peleke-phi-4_BHRF1_14</t>
  </si>
  <si>
    <t>peleke-phi-4_BHRF1_15</t>
  </si>
  <si>
    <t>peleke-phi-4_BHRF1_16</t>
  </si>
  <si>
    <t>peleke-phi-4_BHRF1_17</t>
  </si>
  <si>
    <t>peleke-phi-4_BHRF1_18</t>
  </si>
  <si>
    <t>peleke-phi-4_BHRF1_19</t>
  </si>
  <si>
    <t>peleke-phi-4_BHRF1_20</t>
  </si>
  <si>
    <t>peleke-phi-4_BHRF1_21</t>
  </si>
  <si>
    <t>peleke-phi-4_BHRF1_22</t>
  </si>
  <si>
    <t>peleke-phi-4_BHRF1_23</t>
  </si>
  <si>
    <t>peleke-phi-4_BHRF1_24</t>
  </si>
  <si>
    <t>peleke-phi-4_BHRF1_25</t>
  </si>
  <si>
    <t>peleke-phi-4_BHRF1_26</t>
  </si>
  <si>
    <t>peleke-phi-4_BHRF1_27</t>
  </si>
  <si>
    <t>peleke-phi-4_BHRF1_28</t>
  </si>
  <si>
    <t>peleke-phi-4_BHRF1_29</t>
  </si>
  <si>
    <t>peleke-phi-4_BHRF1_30</t>
  </si>
  <si>
    <t>peleke-phi-4_BHRF1_31</t>
  </si>
  <si>
    <t>peleke-phi-4_BHRF1_32</t>
  </si>
  <si>
    <t>peleke-phi-4_BHRF1_33</t>
  </si>
  <si>
    <t>peleke-phi-4_BHRF1_34</t>
  </si>
  <si>
    <t>peleke-phi-4_BHRF1_35</t>
  </si>
  <si>
    <t>peleke-phi-4_BHRF1_36</t>
  </si>
  <si>
    <t>peleke-phi-4_BHRF1_37</t>
  </si>
  <si>
    <t>peleke-phi-4_BHRF1_38</t>
  </si>
  <si>
    <t>peleke-phi-4_BHRF1_39</t>
  </si>
  <si>
    <t>peleke-phi-4_BHRF1_40</t>
  </si>
  <si>
    <t>peleke-phi-4_BHRF1_41</t>
  </si>
  <si>
    <t>peleke-phi-4_BHRF1_42</t>
  </si>
  <si>
    <t>peleke-phi-4_BHRF1_43</t>
  </si>
  <si>
    <t>peleke-phi-4_BHRF1_44</t>
  </si>
  <si>
    <t>peleke-phi-4_BHRF1_45</t>
  </si>
  <si>
    <t>peleke-phi-4_BHRF1_46</t>
  </si>
  <si>
    <t>peleke-phi-4_BHRF1_47</t>
  </si>
  <si>
    <t>peleke-phi-4_BHRF1_48</t>
  </si>
  <si>
    <t>peleke-phi-4_BHRF1_49</t>
  </si>
  <si>
    <t>peleke-phi-4_BHRF1_50</t>
  </si>
  <si>
    <t>peleke-phi-4_EGFR_01</t>
  </si>
  <si>
    <t>peleke-phi-4_EGFR_02</t>
  </si>
  <si>
    <t>peleke-phi-4_EGFR_03</t>
  </si>
  <si>
    <t>peleke-phi-4_EGFR_04</t>
  </si>
  <si>
    <t>peleke-phi-4_EGFR_05</t>
  </si>
  <si>
    <t>peleke-phi-4_EGFR_06</t>
  </si>
  <si>
    <t>peleke-phi-4_EGFR_07</t>
  </si>
  <si>
    <t>peleke-phi-4_EGFR_08</t>
  </si>
  <si>
    <t>peleke-phi-4_EGFR_09</t>
  </si>
  <si>
    <t>peleke-phi-4_EGFR_10</t>
  </si>
  <si>
    <t>peleke-phi-4_EGFR_11</t>
  </si>
  <si>
    <t>peleke-phi-4_EGFR_12</t>
  </si>
  <si>
    <t>peleke-phi-4_EGFR_13</t>
  </si>
  <si>
    <t>peleke-phi-4_EGFR_14</t>
  </si>
  <si>
    <t>peleke-phi-4_EGFR_15</t>
  </si>
  <si>
    <t>peleke-phi-4_EGFR_16</t>
  </si>
  <si>
    <t>peleke-phi-4_EGFR_17</t>
  </si>
  <si>
    <t>peleke-phi-4_EGFR_18</t>
  </si>
  <si>
    <t>peleke-phi-4_EGFR_19</t>
  </si>
  <si>
    <t>peleke-phi-4_EGFR_20</t>
  </si>
  <si>
    <t>peleke-phi-4_EGFR_21</t>
  </si>
  <si>
    <t>peleke-phi-4_EGFR_22</t>
  </si>
  <si>
    <t>peleke-phi-4_EGFR_23</t>
  </si>
  <si>
    <t>peleke-phi-4_EGFR_24</t>
  </si>
  <si>
    <t>peleke-phi-4_EGFR_25</t>
  </si>
  <si>
    <t>peleke-phi-4_EGFR_26</t>
  </si>
  <si>
    <t>peleke-phi-4_EGFR_27</t>
  </si>
  <si>
    <t>peleke-phi-4_EGFR_28</t>
  </si>
  <si>
    <t>peleke-phi-4_EGFR_29</t>
  </si>
  <si>
    <t>peleke-phi-4_EGFR_30</t>
  </si>
  <si>
    <t>peleke-phi-4_EGFR_31</t>
  </si>
  <si>
    <t>peleke-phi-4_EGFR_32</t>
  </si>
  <si>
    <t>peleke-phi-4_EGFR_33</t>
  </si>
  <si>
    <t>peleke-phi-4_EGFR_34</t>
  </si>
  <si>
    <t>peleke-phi-4_EGFR_35</t>
  </si>
  <si>
    <t>peleke-phi-4_EGFR_36</t>
  </si>
  <si>
    <t>peleke-phi-4_EGFR_37</t>
  </si>
  <si>
    <t>peleke-phi-4_EGFR_38</t>
  </si>
  <si>
    <t>peleke-phi-4_EGFR_39</t>
  </si>
  <si>
    <t>peleke-phi-4_EGFR_40</t>
  </si>
  <si>
    <t>peleke-phi-4_EGFR_41</t>
  </si>
  <si>
    <t>peleke-phi-4_EGFR_42</t>
  </si>
  <si>
    <t>peleke-phi-4_EGFR_43</t>
  </si>
  <si>
    <t>peleke-phi-4_EGFR_44</t>
  </si>
  <si>
    <t>peleke-phi-4_EGFR_45</t>
  </si>
  <si>
    <t>peleke-phi-4_EGFR_46</t>
  </si>
  <si>
    <t>peleke-phi-4_EGFR_47</t>
  </si>
  <si>
    <t>peleke-phi-4_EGFR_48</t>
  </si>
  <si>
    <t>peleke-phi-4_EGFR_49</t>
  </si>
  <si>
    <t>peleke-phi-4_EGFR_50</t>
  </si>
  <si>
    <t>peleke-phi-4_IL-7Ra_01</t>
  </si>
  <si>
    <t>peleke-phi-4_IL-7Ra_02</t>
  </si>
  <si>
    <t>peleke-phi-4_IL-7Ra_03</t>
  </si>
  <si>
    <t>peleke-phi-4_IL-7Ra_04</t>
  </si>
  <si>
    <t>peleke-phi-4_IL-7Ra_05</t>
  </si>
  <si>
    <t>peleke-phi-4_IL-7Ra_06</t>
  </si>
  <si>
    <t>peleke-phi-4_IL-7Ra_07</t>
  </si>
  <si>
    <t>peleke-phi-4_IL-7Ra_08</t>
  </si>
  <si>
    <t>peleke-phi-4_IL-7Ra_09</t>
  </si>
  <si>
    <t>peleke-phi-4_IL-7Ra_10</t>
  </si>
  <si>
    <t>peleke-phi-4_IL-7Ra_11</t>
  </si>
  <si>
    <t>peleke-phi-4_IL-7Ra_12</t>
  </si>
  <si>
    <t>peleke-phi-4_IL-7Ra_13</t>
  </si>
  <si>
    <t>peleke-phi-4_IL-7Ra_14</t>
  </si>
  <si>
    <t>peleke-phi-4_IL-7Ra_15</t>
  </si>
  <si>
    <t>peleke-phi-4_IL-7Ra_16</t>
  </si>
  <si>
    <t>peleke-phi-4_IL-7Ra_17</t>
  </si>
  <si>
    <t>peleke-phi-4_IL-7Ra_18</t>
  </si>
  <si>
    <t>peleke-phi-4_IL-7Ra_19</t>
  </si>
  <si>
    <t>peleke-phi-4_IL-7Ra_20</t>
  </si>
  <si>
    <t>peleke-phi-4_IL-7Ra_21</t>
  </si>
  <si>
    <t>peleke-phi-4_IL-7Ra_22</t>
  </si>
  <si>
    <t>peleke-phi-4_IL-7Ra_23</t>
  </si>
  <si>
    <t>peleke-phi-4_IL-7Ra_24</t>
  </si>
  <si>
    <t>peleke-phi-4_IL-7Ra_25</t>
  </si>
  <si>
    <t>peleke-phi-4_IL-7Ra_26</t>
  </si>
  <si>
    <t>peleke-phi-4_IL-7Ra_27</t>
  </si>
  <si>
    <t>peleke-phi-4_IL-7Ra_28</t>
  </si>
  <si>
    <t>peleke-phi-4_IL-7Ra_29</t>
  </si>
  <si>
    <t>peleke-phi-4_IL-7Ra_30</t>
  </si>
  <si>
    <t>peleke-phi-4_IL-7Ra_31</t>
  </si>
  <si>
    <t>peleke-phi-4_IL-7Ra_32</t>
  </si>
  <si>
    <t>peleke-phi-4_IL-7Ra_33</t>
  </si>
  <si>
    <t>peleke-phi-4_IL-7Ra_34</t>
  </si>
  <si>
    <t>peleke-phi-4_IL-7Ra_35</t>
  </si>
  <si>
    <t>peleke-phi-4_IL-7Ra_36</t>
  </si>
  <si>
    <t>peleke-phi-4_IL-7Ra_37</t>
  </si>
  <si>
    <t>peleke-phi-4_IL-7Ra_38</t>
  </si>
  <si>
    <t>peleke-phi-4_IL-7Ra_39</t>
  </si>
  <si>
    <t>peleke-phi-4_IL-7Ra_40</t>
  </si>
  <si>
    <t>peleke-phi-4_IL-7Ra_41</t>
  </si>
  <si>
    <t>peleke-phi-4_IL-7Ra_42</t>
  </si>
  <si>
    <t>peleke-phi-4_IL-7Ra_43</t>
  </si>
  <si>
    <t>peleke-phi-4_IL-7Ra_44</t>
  </si>
  <si>
    <t>peleke-phi-4_IL-7Ra_45</t>
  </si>
  <si>
    <t>peleke-phi-4_IL-7Ra_46</t>
  </si>
  <si>
    <t>peleke-phi-4_IL-7Ra_47</t>
  </si>
  <si>
    <t>peleke-phi-4_IL-7Ra_48</t>
  </si>
  <si>
    <t>peleke-phi-4_IL-7Ra_49</t>
  </si>
  <si>
    <t>peleke-phi-4_IL-7Ra_50</t>
  </si>
  <si>
    <t>peleke-phi-4_MBP_01</t>
  </si>
  <si>
    <t>peleke-phi-4_MBP_02</t>
  </si>
  <si>
    <t>peleke-phi-4_MBP_03</t>
  </si>
  <si>
    <t>peleke-phi-4_MBP_04</t>
  </si>
  <si>
    <t>peleke-phi-4_MBP_05</t>
  </si>
  <si>
    <t>peleke-phi-4_MBP_06</t>
  </si>
  <si>
    <t>peleke-phi-4_MBP_07</t>
  </si>
  <si>
    <t>peleke-phi-4_MBP_08</t>
  </si>
  <si>
    <t>peleke-phi-4_MBP_09</t>
  </si>
  <si>
    <t>peleke-phi-4_MBP_10</t>
  </si>
  <si>
    <t>peleke-phi-4_MBP_11</t>
  </si>
  <si>
    <t>peleke-phi-4_MBP_12</t>
  </si>
  <si>
    <t>peleke-phi-4_MBP_13</t>
  </si>
  <si>
    <t>peleke-phi-4_MBP_14</t>
  </si>
  <si>
    <t>peleke-phi-4_MBP_15</t>
  </si>
  <si>
    <t>peleke-phi-4_MBP_16</t>
  </si>
  <si>
    <t>peleke-phi-4_MBP_17</t>
  </si>
  <si>
    <t>peleke-phi-4_MBP_18</t>
  </si>
  <si>
    <t>peleke-phi-4_MBP_19</t>
  </si>
  <si>
    <t>peleke-phi-4_MBP_20</t>
  </si>
  <si>
    <t>peleke-phi-4_MBP_21</t>
  </si>
  <si>
    <t>peleke-phi-4_MBP_22</t>
  </si>
  <si>
    <t>peleke-phi-4_MBP_23</t>
  </si>
  <si>
    <t>peleke-phi-4_MBP_24</t>
  </si>
  <si>
    <t>peleke-phi-4_MBP_25</t>
  </si>
  <si>
    <t>peleke-phi-4_MBP_26</t>
  </si>
  <si>
    <t>peleke-phi-4_MBP_27</t>
  </si>
  <si>
    <t>peleke-phi-4_MBP_28</t>
  </si>
  <si>
    <t>peleke-phi-4_MBP_29</t>
  </si>
  <si>
    <t>peleke-phi-4_MBP_30</t>
  </si>
  <si>
    <t>peleke-phi-4_MBP_31</t>
  </si>
  <si>
    <t>peleke-phi-4_MBP_32</t>
  </si>
  <si>
    <t>peleke-phi-4_MBP_33</t>
  </si>
  <si>
    <t>peleke-phi-4_MBP_34</t>
  </si>
  <si>
    <t>peleke-phi-4_MBP_35</t>
  </si>
  <si>
    <t>peleke-phi-4_MBP_36</t>
  </si>
  <si>
    <t>peleke-phi-4_MBP_37</t>
  </si>
  <si>
    <t>peleke-phi-4_MBP_38</t>
  </si>
  <si>
    <t>peleke-phi-4_MBP_39</t>
  </si>
  <si>
    <t>peleke-phi-4_MBP_40</t>
  </si>
  <si>
    <t>peleke-phi-4_MBP_41</t>
  </si>
  <si>
    <t>peleke-phi-4_MBP_42</t>
  </si>
  <si>
    <t>peleke-phi-4_MBP_43</t>
  </si>
  <si>
    <t>peleke-phi-4_MBP_44</t>
  </si>
  <si>
    <t>peleke-phi-4_MBP_45</t>
  </si>
  <si>
    <t>peleke-phi-4_MBP_46</t>
  </si>
  <si>
    <t>peleke-phi-4_MBP_47</t>
  </si>
  <si>
    <t>peleke-phi-4_MBP_48</t>
  </si>
  <si>
    <t>peleke-phi-4_MBP_49</t>
  </si>
  <si>
    <t>peleke-phi-4_MBP_50</t>
  </si>
  <si>
    <t>peleke-phi-4_PD-L1_01</t>
  </si>
  <si>
    <t>peleke-phi-4_PD-L1_02</t>
  </si>
  <si>
    <t>peleke-phi-4_PD-L1_03</t>
  </si>
  <si>
    <t>peleke-phi-4_PD-L1_04</t>
  </si>
  <si>
    <t>peleke-phi-4_PD-L1_05</t>
  </si>
  <si>
    <t>peleke-phi-4_PD-L1_06</t>
  </si>
  <si>
    <t>peleke-phi-4_PD-L1_07</t>
  </si>
  <si>
    <t>peleke-phi-4_PD-L1_08</t>
  </si>
  <si>
    <t>peleke-phi-4_PD-L1_09</t>
  </si>
  <si>
    <t>peleke-phi-4_PD-L1_10</t>
  </si>
  <si>
    <t>peleke-phi-4_PD-L1_11</t>
  </si>
  <si>
    <t>peleke-phi-4_PD-L1_12</t>
  </si>
  <si>
    <t>peleke-phi-4_PD-L1_13</t>
  </si>
  <si>
    <t>peleke-phi-4_PD-L1_14</t>
  </si>
  <si>
    <t>peleke-phi-4_PD-L1_15</t>
  </si>
  <si>
    <t>peleke-phi-4_PD-L1_16</t>
  </si>
  <si>
    <t>peleke-phi-4_PD-L1_17</t>
  </si>
  <si>
    <t>peleke-phi-4_PD-L1_18</t>
  </si>
  <si>
    <t>peleke-phi-4_PD-L1_19</t>
  </si>
  <si>
    <t>peleke-phi-4_PD-L1_20</t>
  </si>
  <si>
    <t>peleke-phi-4_PD-L1_21</t>
  </si>
  <si>
    <t>peleke-phi-4_PD-L1_22</t>
  </si>
  <si>
    <t>peleke-phi-4_PD-L1_23</t>
  </si>
  <si>
    <t>peleke-phi-4_PD-L1_24</t>
  </si>
  <si>
    <t>peleke-phi-4_PD-L1_25</t>
  </si>
  <si>
    <t>peleke-phi-4_PD-L1_26</t>
  </si>
  <si>
    <t>peleke-phi-4_PD-L1_27</t>
  </si>
  <si>
    <t>peleke-phi-4_PD-L1_28</t>
  </si>
  <si>
    <t>peleke-phi-4_PD-L1_29</t>
  </si>
  <si>
    <t>peleke-phi-4_PD-L1_30</t>
  </si>
  <si>
    <t>peleke-phi-4_PD-L1_31</t>
  </si>
  <si>
    <t>peleke-phi-4_PD-L1_32</t>
  </si>
  <si>
    <t>peleke-phi-4_PD-L1_33</t>
  </si>
  <si>
    <t>peleke-phi-4_PD-L1_34</t>
  </si>
  <si>
    <t>peleke-phi-4_PD-L1_35</t>
  </si>
  <si>
    <t>peleke-phi-4_PD-L1_36</t>
  </si>
  <si>
    <t>peleke-phi-4_PD-L1_37</t>
  </si>
  <si>
    <t>peleke-phi-4_PD-L1_38</t>
  </si>
  <si>
    <t>peleke-phi-4_PD-L1_39</t>
  </si>
  <si>
    <t>peleke-phi-4_PD-L1_40</t>
  </si>
  <si>
    <t>peleke-phi-4_PD-L1_41</t>
  </si>
  <si>
    <t>peleke-phi-4_PD-L1_42</t>
  </si>
  <si>
    <t>peleke-phi-4_PD-L1_43</t>
  </si>
  <si>
    <t>peleke-phi-4_PD-L1_44</t>
  </si>
  <si>
    <t>peleke-phi-4_PD-L1_45</t>
  </si>
  <si>
    <t>peleke-phi-4_PD-L1_46</t>
  </si>
  <si>
    <t>peleke-phi-4_PD-L1_47</t>
  </si>
  <si>
    <t>peleke-phi-4_PD-L1_48</t>
  </si>
  <si>
    <t>peleke-phi-4_PD-L1_49</t>
  </si>
  <si>
    <t>peleke-phi-4_PD-L1_50</t>
  </si>
  <si>
    <t>peleke-phi-4_BBF-14_01</t>
  </si>
  <si>
    <t>peleke-phi-4_BBF-14_02</t>
  </si>
  <si>
    <t>peleke-phi-4_BBF-14_03</t>
  </si>
  <si>
    <t>peleke-phi-4_BBF-14_04</t>
  </si>
  <si>
    <t>peleke-phi-4_BBF-14_05</t>
  </si>
  <si>
    <t>peleke-phi-4_BBF-14_06</t>
  </si>
  <si>
    <t>peleke-phi-4_BBF-14_07</t>
  </si>
  <si>
    <t>peleke-phi-4_BBF-14_08</t>
  </si>
  <si>
    <t>peleke-phi-4_BBF-14_09</t>
  </si>
  <si>
    <t>peleke-phi-4_BBF-14_10</t>
  </si>
  <si>
    <t>peleke-phi-4_BBF-14_11</t>
  </si>
  <si>
    <t>peleke-phi-4_BBF-14_12</t>
  </si>
  <si>
    <t>peleke-phi-4_BBF-14_13</t>
  </si>
  <si>
    <t>peleke-phi-4_BBF-14_14</t>
  </si>
  <si>
    <t>peleke-phi-4_BBF-14_15</t>
  </si>
  <si>
    <t>peleke-phi-4_BBF-14_16</t>
  </si>
  <si>
    <t>peleke-phi-4_BBF-14_17</t>
  </si>
  <si>
    <t>peleke-phi-4_BBF-14_18</t>
  </si>
  <si>
    <t>peleke-phi-4_BBF-14_19</t>
  </si>
  <si>
    <t>peleke-phi-4_BBF-14_20</t>
  </si>
  <si>
    <t>peleke-phi-4_BBF-14_21</t>
  </si>
  <si>
    <t>peleke-phi-4_BBF-14_22</t>
  </si>
  <si>
    <t>peleke-phi-4_BBF-14_23</t>
  </si>
  <si>
    <t>peleke-phi-4_BBF-14_24</t>
  </si>
  <si>
    <t>peleke-phi-4_BBF-14_25</t>
  </si>
  <si>
    <t>peleke-phi-4_BBF-14_26</t>
  </si>
  <si>
    <t>peleke-phi-4_BBF-14_27</t>
  </si>
  <si>
    <t>peleke-phi-4_BBF-14_28</t>
  </si>
  <si>
    <t>peleke-phi-4_BBF-14_29</t>
  </si>
  <si>
    <t>peleke-phi-4_BBF-14_30</t>
  </si>
  <si>
    <t>peleke-phi-4_BBF-14_31</t>
  </si>
  <si>
    <t>peleke-phi-4_BBF-14_32</t>
  </si>
  <si>
    <t>peleke-phi-4_BBF-14_33</t>
  </si>
  <si>
    <t>peleke-phi-4_BBF-14_34</t>
  </si>
  <si>
    <t>peleke-phi-4_BBF-14_35</t>
  </si>
  <si>
    <t>peleke-phi-4_BBF-14_36</t>
  </si>
  <si>
    <t>peleke-phi-4_BBF-14_37</t>
  </si>
  <si>
    <t>peleke-phi-4_BBF-14_38</t>
  </si>
  <si>
    <t>peleke-phi-4_BBF-14_39</t>
  </si>
  <si>
    <t>peleke-phi-4_BBF-14_40</t>
  </si>
  <si>
    <t>peleke-phi-4_BBF-14_41</t>
  </si>
  <si>
    <t>peleke-phi-4_BBF-14_42</t>
  </si>
  <si>
    <t>peleke-phi-4_BBF-14_43</t>
  </si>
  <si>
    <t>peleke-phi-4_BBF-14_44</t>
  </si>
  <si>
    <t>peleke-phi-4_BBF-14_45</t>
  </si>
  <si>
    <t>peleke-phi-4_BBF-14_46</t>
  </si>
  <si>
    <t>peleke-phi-4_BBF-14_47</t>
  </si>
  <si>
    <t>peleke-phi-4_BBF-14_48</t>
  </si>
  <si>
    <t>peleke-phi-4_BBF-14_49</t>
  </si>
  <si>
    <t>peleke-phi-4_BBF-14_50</t>
  </si>
  <si>
    <t>peleke-phi-4_PD-1_01</t>
  </si>
  <si>
    <t>peleke-phi-4_PD-1_02</t>
  </si>
  <si>
    <t>peleke-phi-4_PD-1_03</t>
  </si>
  <si>
    <t>peleke-phi-4_PD-1_04</t>
  </si>
  <si>
    <t>peleke-phi-4_PD-1_05</t>
  </si>
  <si>
    <t>peleke-phi-4_PD-1_06</t>
  </si>
  <si>
    <t>peleke-phi-4_PD-1_07</t>
  </si>
  <si>
    <t>peleke-phi-4_PD-1_08</t>
  </si>
  <si>
    <t>peleke-phi-4_PD-1_09</t>
  </si>
  <si>
    <t>peleke-phi-4_PD-1_10</t>
  </si>
  <si>
    <t>peleke-phi-4_PD-1_11</t>
  </si>
  <si>
    <t>peleke-phi-4_PD-1_12</t>
  </si>
  <si>
    <t>peleke-phi-4_PD-1_13</t>
  </si>
  <si>
    <t>peleke-phi-4_PD-1_14</t>
  </si>
  <si>
    <t>peleke-phi-4_PD-1_15</t>
  </si>
  <si>
    <t>peleke-phi-4_PD-1_16</t>
  </si>
  <si>
    <t>peleke-phi-4_PD-1_17</t>
  </si>
  <si>
    <t>peleke-phi-4_PD-1_18</t>
  </si>
  <si>
    <t>peleke-phi-4_PD-1_19</t>
  </si>
  <si>
    <t>peleke-phi-4_PD-1_20</t>
  </si>
  <si>
    <t>peleke-phi-4_PD-1_21</t>
  </si>
  <si>
    <t>peleke-phi-4_PD-1_22</t>
  </si>
  <si>
    <t>peleke-phi-4_PD-1_23</t>
  </si>
  <si>
    <t>peleke-phi-4_PD-1_24</t>
  </si>
  <si>
    <t>peleke-phi-4_PD-1_25</t>
  </si>
  <si>
    <t>peleke-phi-4_PD-1_26</t>
  </si>
  <si>
    <t>peleke-phi-4_PD-1_27</t>
  </si>
  <si>
    <t>peleke-phi-4_PD-1_28</t>
  </si>
  <si>
    <t>peleke-phi-4_PD-1_29</t>
  </si>
  <si>
    <t>peleke-phi-4_PD-1_30</t>
  </si>
  <si>
    <t>peleke-phi-4_PD-1_31</t>
  </si>
  <si>
    <t>peleke-phi-4_PD-1_32</t>
  </si>
  <si>
    <t>peleke-phi-4_PD-1_33</t>
  </si>
  <si>
    <t>peleke-phi-4_PD-1_34</t>
  </si>
  <si>
    <t>peleke-phi-4_PD-1_35</t>
  </si>
  <si>
    <t>peleke-phi-4_PD-1_36</t>
  </si>
  <si>
    <t>peleke-phi-4_PD-1_37</t>
  </si>
  <si>
    <t>peleke-phi-4_PD-1_38</t>
  </si>
  <si>
    <t>peleke-phi-4_PD-1_39</t>
  </si>
  <si>
    <t>peleke-phi-4_PD-1_40</t>
  </si>
  <si>
    <t>peleke-phi-4_PD-1_41</t>
  </si>
  <si>
    <t>peleke-phi-4_PD-1_42</t>
  </si>
  <si>
    <t>peleke-phi-4_PD-1_43</t>
  </si>
  <si>
    <t>peleke-phi-4_PD-1_44</t>
  </si>
  <si>
    <t>peleke-phi-4_PD-1_45</t>
  </si>
  <si>
    <t>peleke-phi-4_PD-1_46</t>
  </si>
  <si>
    <t>peleke-phi-4_PD-1_47</t>
  </si>
  <si>
    <t>peleke-phi-4_PD-1_48</t>
  </si>
  <si>
    <t>peleke-phi-4_PD-1_49</t>
  </si>
  <si>
    <t>peleke-phi-4_PD-1_50</t>
  </si>
  <si>
    <t>peleke-llama-3.1-8b-instruct_BHRF1_01</t>
  </si>
  <si>
    <t>peleke-llama-3.1-8b-instruct_BHRF1_02</t>
  </si>
  <si>
    <t>peleke-llama-3.1-8b-instruct_BHRF1_03</t>
  </si>
  <si>
    <t>peleke-llama-3.1-8b-instruct_BHRF1_04</t>
  </si>
  <si>
    <t>peleke-llama-3.1-8b-instruct_BHRF1_05</t>
  </si>
  <si>
    <t>peleke-llama-3.1-8b-instruct_BHRF1_06</t>
  </si>
  <si>
    <t>peleke-llama-3.1-8b-instruct_BHRF1_07</t>
  </si>
  <si>
    <t>peleke-llama-3.1-8b-instruct_BHRF1_08</t>
  </si>
  <si>
    <t>peleke-llama-3.1-8b-instruct_BHRF1_09</t>
  </si>
  <si>
    <t>peleke-llama-3.1-8b-instruct_BHRF1_10</t>
  </si>
  <si>
    <t>peleke-llama-3.1-8b-instruct_BHRF1_11</t>
  </si>
  <si>
    <t>peleke-llama-3.1-8b-instruct_BHRF1_12</t>
  </si>
  <si>
    <t>peleke-llama-3.1-8b-instruct_BHRF1_13</t>
  </si>
  <si>
    <t>peleke-llama-3.1-8b-instruct_BHRF1_14</t>
  </si>
  <si>
    <t>peleke-llama-3.1-8b-instruct_BHRF1_15</t>
  </si>
  <si>
    <t>peleke-llama-3.1-8b-instruct_BHRF1_16</t>
  </si>
  <si>
    <t>peleke-llama-3.1-8b-instruct_BHRF1_17</t>
  </si>
  <si>
    <t>peleke-llama-3.1-8b-instruct_BHRF1_18</t>
  </si>
  <si>
    <t>peleke-llama-3.1-8b-instruct_BHRF1_19</t>
  </si>
  <si>
    <t>peleke-llama-3.1-8b-instruct_BHRF1_20</t>
  </si>
  <si>
    <t>peleke-llama-3.1-8b-instruct_BHRF1_21</t>
  </si>
  <si>
    <t>peleke-llama-3.1-8b-instruct_BHRF1_22</t>
  </si>
  <si>
    <t>peleke-llama-3.1-8b-instruct_BHRF1_23</t>
  </si>
  <si>
    <t>peleke-llama-3.1-8b-instruct_BHRF1_24</t>
  </si>
  <si>
    <t>peleke-llama-3.1-8b-instruct_BHRF1_25</t>
  </si>
  <si>
    <t>peleke-llama-3.1-8b-instruct_BHRF1_26</t>
  </si>
  <si>
    <t>peleke-llama-3.1-8b-instruct_BHRF1_27</t>
  </si>
  <si>
    <t>peleke-llama-3.1-8b-instruct_BHRF1_28</t>
  </si>
  <si>
    <t>peleke-llama-3.1-8b-instruct_BHRF1_29</t>
  </si>
  <si>
    <t>peleke-llama-3.1-8b-instruct_BHRF1_30</t>
  </si>
  <si>
    <t>peleke-llama-3.1-8b-instruct_BHRF1_31</t>
  </si>
  <si>
    <t>peleke-llama-3.1-8b-instruct_BHRF1_32</t>
  </si>
  <si>
    <t>peleke-llama-3.1-8b-instruct_BHRF1_33</t>
  </si>
  <si>
    <t>peleke-llama-3.1-8b-instruct_BHRF1_34</t>
  </si>
  <si>
    <t>peleke-llama-3.1-8b-instruct_BHRF1_35</t>
  </si>
  <si>
    <t>peleke-llama-3.1-8b-instruct_BHRF1_36</t>
  </si>
  <si>
    <t>peleke-llama-3.1-8b-instruct_BHRF1_37</t>
  </si>
  <si>
    <t>peleke-llama-3.1-8b-instruct_BHRF1_38</t>
  </si>
  <si>
    <t>peleke-llama-3.1-8b-instruct_BHRF1_39</t>
  </si>
  <si>
    <t>peleke-llama-3.1-8b-instruct_BHRF1_40</t>
  </si>
  <si>
    <t>peleke-llama-3.1-8b-instruct_BHRF1_41</t>
  </si>
  <si>
    <t>peleke-llama-3.1-8b-instruct_BHRF1_42</t>
  </si>
  <si>
    <t>peleke-llama-3.1-8b-instruct_BHRF1_43</t>
  </si>
  <si>
    <t>peleke-llama-3.1-8b-instruct_BHRF1_44</t>
  </si>
  <si>
    <t>peleke-llama-3.1-8b-instruct_BHRF1_45</t>
  </si>
  <si>
    <t>peleke-llama-3.1-8b-instruct_BHRF1_46</t>
  </si>
  <si>
    <t>peleke-llama-3.1-8b-instruct_BHRF1_47</t>
  </si>
  <si>
    <t>peleke-llama-3.1-8b-instruct_BHRF1_48</t>
  </si>
  <si>
    <t>peleke-llama-3.1-8b-instruct_BHRF1_49</t>
  </si>
  <si>
    <t>peleke-llama-3.1-8b-instruct_BHRF1_50</t>
  </si>
  <si>
    <t>peleke-llama-3.1-8b-instruct_EGFR_01</t>
  </si>
  <si>
    <t>peleke-llama-3.1-8b-instruct_EGFR_02</t>
  </si>
  <si>
    <t>peleke-llama-3.1-8b-instruct_EGFR_03</t>
  </si>
  <si>
    <t>peleke-llama-3.1-8b-instruct_EGFR_04</t>
  </si>
  <si>
    <t>peleke-llama-3.1-8b-instruct_EGFR_05</t>
  </si>
  <si>
    <t>peleke-llama-3.1-8b-instruct_EGFR_06</t>
  </si>
  <si>
    <t>peleke-llama-3.1-8b-instruct_EGFR_07</t>
  </si>
  <si>
    <t>peleke-llama-3.1-8b-instruct_EGFR_08</t>
  </si>
  <si>
    <t>peleke-llama-3.1-8b-instruct_EGFR_09</t>
  </si>
  <si>
    <t>peleke-llama-3.1-8b-instruct_EGFR_10</t>
  </si>
  <si>
    <t>peleke-llama-3.1-8b-instruct_EGFR_11</t>
  </si>
  <si>
    <t>peleke-llama-3.1-8b-instruct_EGFR_12</t>
  </si>
  <si>
    <t>peleke-llama-3.1-8b-instruct_EGFR_13</t>
  </si>
  <si>
    <t>peleke-llama-3.1-8b-instruct_EGFR_14</t>
  </si>
  <si>
    <t>peleke-llama-3.1-8b-instruct_EGFR_15</t>
  </si>
  <si>
    <t>peleke-llama-3.1-8b-instruct_EGFR_16</t>
  </si>
  <si>
    <t>peleke-llama-3.1-8b-instruct_EGFR_17</t>
  </si>
  <si>
    <t>peleke-llama-3.1-8b-instruct_EGFR_18</t>
  </si>
  <si>
    <t>peleke-llama-3.1-8b-instruct_EGFR_19</t>
  </si>
  <si>
    <t>peleke-llama-3.1-8b-instruct_EGFR_20</t>
  </si>
  <si>
    <t>peleke-llama-3.1-8b-instruct_EGFR_21</t>
  </si>
  <si>
    <t>peleke-llama-3.1-8b-instruct_EGFR_22</t>
  </si>
  <si>
    <t>peleke-llama-3.1-8b-instruct_EGFR_23</t>
  </si>
  <si>
    <t>peleke-llama-3.1-8b-instruct_EGFR_24</t>
  </si>
  <si>
    <t>peleke-llama-3.1-8b-instruct_EGFR_25</t>
  </si>
  <si>
    <t>peleke-llama-3.1-8b-instruct_EGFR_26</t>
  </si>
  <si>
    <t>peleke-llama-3.1-8b-instruct_EGFR_27</t>
  </si>
  <si>
    <t>peleke-llama-3.1-8b-instruct_EGFR_28</t>
  </si>
  <si>
    <t>peleke-llama-3.1-8b-instruct_EGFR_29</t>
  </si>
  <si>
    <t>peleke-llama-3.1-8b-instruct_EGFR_30</t>
  </si>
  <si>
    <t>peleke-llama-3.1-8b-instruct_EGFR_31</t>
  </si>
  <si>
    <t>peleke-llama-3.1-8b-instruct_EGFR_32</t>
  </si>
  <si>
    <t>peleke-llama-3.1-8b-instruct_EGFR_33</t>
  </si>
  <si>
    <t>peleke-llama-3.1-8b-instruct_EGFR_34</t>
  </si>
  <si>
    <t>peleke-llama-3.1-8b-instruct_EGFR_35</t>
  </si>
  <si>
    <t>peleke-llama-3.1-8b-instruct_EGFR_36</t>
  </si>
  <si>
    <t>peleke-llama-3.1-8b-instruct_EGFR_37</t>
  </si>
  <si>
    <t>peleke-llama-3.1-8b-instruct_EGFR_38</t>
  </si>
  <si>
    <t>peleke-llama-3.1-8b-instruct_EGFR_39</t>
  </si>
  <si>
    <t>peleke-llama-3.1-8b-instruct_EGFR_40</t>
  </si>
  <si>
    <t>peleke-llama-3.1-8b-instruct_EGFR_41</t>
  </si>
  <si>
    <t>peleke-llama-3.1-8b-instruct_EGFR_42</t>
  </si>
  <si>
    <t>peleke-llama-3.1-8b-instruct_EGFR_43</t>
  </si>
  <si>
    <t>peleke-llama-3.1-8b-instruct_EGFR_44</t>
  </si>
  <si>
    <t>peleke-llama-3.1-8b-instruct_EGFR_45</t>
  </si>
  <si>
    <t>peleke-llama-3.1-8b-instruct_EGFR_46</t>
  </si>
  <si>
    <t>peleke-llama-3.1-8b-instruct_EGFR_47</t>
  </si>
  <si>
    <t>peleke-llama-3.1-8b-instruct_EGFR_48</t>
  </si>
  <si>
    <t>peleke-llama-3.1-8b-instruct_EGFR_49</t>
  </si>
  <si>
    <t>peleke-llama-3.1-8b-instruct_EGFR_50</t>
  </si>
  <si>
    <t>peleke-llama-3.1-8b-instruct_IL-7Ra_01</t>
  </si>
  <si>
    <t>peleke-llama-3.1-8b-instruct_IL-7Ra_02</t>
  </si>
  <si>
    <t>peleke-llama-3.1-8b-instruct_IL-7Ra_03</t>
  </si>
  <si>
    <t>peleke-llama-3.1-8b-instruct_IL-7Ra_04</t>
  </si>
  <si>
    <t>peleke-llama-3.1-8b-instruct_IL-7Ra_05</t>
  </si>
  <si>
    <t>peleke-llama-3.1-8b-instruct_IL-7Ra_06</t>
  </si>
  <si>
    <t>peleke-llama-3.1-8b-instruct_IL-7Ra_07</t>
  </si>
  <si>
    <t>peleke-llama-3.1-8b-instruct_IL-7Ra_08</t>
  </si>
  <si>
    <t>peleke-llama-3.1-8b-instruct_IL-7Ra_09</t>
  </si>
  <si>
    <t>peleke-llama-3.1-8b-instruct_IL-7Ra_10</t>
  </si>
  <si>
    <t>peleke-llama-3.1-8b-instruct_IL-7Ra_11</t>
  </si>
  <si>
    <t>peleke-llama-3.1-8b-instruct_IL-7Ra_12</t>
  </si>
  <si>
    <t>peleke-llama-3.1-8b-instruct_IL-7Ra_13</t>
  </si>
  <si>
    <t>peleke-llama-3.1-8b-instruct_IL-7Ra_14</t>
  </si>
  <si>
    <t>peleke-llama-3.1-8b-instruct_IL-7Ra_15</t>
  </si>
  <si>
    <t>peleke-llama-3.1-8b-instruct_IL-7Ra_16</t>
  </si>
  <si>
    <t>peleke-llama-3.1-8b-instruct_IL-7Ra_17</t>
  </si>
  <si>
    <t>peleke-llama-3.1-8b-instruct_IL-7Ra_18</t>
  </si>
  <si>
    <t>peleke-llama-3.1-8b-instruct_IL-7Ra_19</t>
  </si>
  <si>
    <t>peleke-llama-3.1-8b-instruct_IL-7Ra_20</t>
  </si>
  <si>
    <t>peleke-llama-3.1-8b-instruct_IL-7Ra_21</t>
  </si>
  <si>
    <t>peleke-llama-3.1-8b-instruct_IL-7Ra_22</t>
  </si>
  <si>
    <t>peleke-llama-3.1-8b-instruct_IL-7Ra_23</t>
  </si>
  <si>
    <t>peleke-llama-3.1-8b-instruct_IL-7Ra_24</t>
  </si>
  <si>
    <t>peleke-llama-3.1-8b-instruct_IL-7Ra_25</t>
  </si>
  <si>
    <t>peleke-llama-3.1-8b-instruct_IL-7Ra_26</t>
  </si>
  <si>
    <t>peleke-llama-3.1-8b-instruct_IL-7Ra_27</t>
  </si>
  <si>
    <t>peleke-llama-3.1-8b-instruct_IL-7Ra_28</t>
  </si>
  <si>
    <t>peleke-llama-3.1-8b-instruct_IL-7Ra_29</t>
  </si>
  <si>
    <t>peleke-llama-3.1-8b-instruct_IL-7Ra_30</t>
  </si>
  <si>
    <t>peleke-llama-3.1-8b-instruct_IL-7Ra_31</t>
  </si>
  <si>
    <t>peleke-llama-3.1-8b-instruct_IL-7Ra_32</t>
  </si>
  <si>
    <t>peleke-llama-3.1-8b-instruct_IL-7Ra_33</t>
  </si>
  <si>
    <t>peleke-llama-3.1-8b-instruct_IL-7Ra_34</t>
  </si>
  <si>
    <t>peleke-llama-3.1-8b-instruct_IL-7Ra_35</t>
  </si>
  <si>
    <t>peleke-llama-3.1-8b-instruct_IL-7Ra_36</t>
  </si>
  <si>
    <t>peleke-llama-3.1-8b-instruct_IL-7Ra_37</t>
  </si>
  <si>
    <t>peleke-llama-3.1-8b-instruct_IL-7Ra_38</t>
  </si>
  <si>
    <t>peleke-llama-3.1-8b-instruct_IL-7Ra_39</t>
  </si>
  <si>
    <t>peleke-llama-3.1-8b-instruct_IL-7Ra_40</t>
  </si>
  <si>
    <t>peleke-llama-3.1-8b-instruct_IL-7Ra_41</t>
  </si>
  <si>
    <t>peleke-llama-3.1-8b-instruct_IL-7Ra_42</t>
  </si>
  <si>
    <t>peleke-llama-3.1-8b-instruct_IL-7Ra_43</t>
  </si>
  <si>
    <t>peleke-llama-3.1-8b-instruct_IL-7Ra_44</t>
  </si>
  <si>
    <t>peleke-llama-3.1-8b-instruct_IL-7Ra_45</t>
  </si>
  <si>
    <t>peleke-llama-3.1-8b-instruct_IL-7Ra_46</t>
  </si>
  <si>
    <t>peleke-llama-3.1-8b-instruct_IL-7Ra_47</t>
  </si>
  <si>
    <t>peleke-llama-3.1-8b-instruct_IL-7Ra_48</t>
  </si>
  <si>
    <t>peleke-llama-3.1-8b-instruct_IL-7Ra_49</t>
  </si>
  <si>
    <t>peleke-llama-3.1-8b-instruct_IL-7Ra_50</t>
  </si>
  <si>
    <t>peleke-llama-3.1-8b-instruct_MBP_01</t>
  </si>
  <si>
    <t>peleke-llama-3.1-8b-instruct_MBP_02</t>
  </si>
  <si>
    <t>peleke-llama-3.1-8b-instruct_MBP_03</t>
  </si>
  <si>
    <t>peleke-llama-3.1-8b-instruct_MBP_04</t>
  </si>
  <si>
    <t>peleke-llama-3.1-8b-instruct_MBP_05</t>
  </si>
  <si>
    <t>peleke-llama-3.1-8b-instruct_MBP_06</t>
  </si>
  <si>
    <t>peleke-llama-3.1-8b-instruct_MBP_07</t>
  </si>
  <si>
    <t>peleke-llama-3.1-8b-instruct_MBP_08</t>
  </si>
  <si>
    <t>peleke-llama-3.1-8b-instruct_MBP_09</t>
  </si>
  <si>
    <t>peleke-llama-3.1-8b-instruct_MBP_10</t>
  </si>
  <si>
    <t>peleke-llama-3.1-8b-instruct_MBP_11</t>
  </si>
  <si>
    <t>peleke-llama-3.1-8b-instruct_MBP_12</t>
  </si>
  <si>
    <t>peleke-llama-3.1-8b-instruct_MBP_13</t>
  </si>
  <si>
    <t>peleke-llama-3.1-8b-instruct_MBP_14</t>
  </si>
  <si>
    <t>peleke-llama-3.1-8b-instruct_MBP_15</t>
  </si>
  <si>
    <t>peleke-llama-3.1-8b-instruct_MBP_16</t>
  </si>
  <si>
    <t>peleke-llama-3.1-8b-instruct_MBP_17</t>
  </si>
  <si>
    <t>peleke-llama-3.1-8b-instruct_MBP_18</t>
  </si>
  <si>
    <t>peleke-llama-3.1-8b-instruct_MBP_19</t>
  </si>
  <si>
    <t>peleke-llama-3.1-8b-instruct_MBP_20</t>
  </si>
  <si>
    <t>peleke-llama-3.1-8b-instruct_MBP_21</t>
  </si>
  <si>
    <t>peleke-llama-3.1-8b-instruct_MBP_22</t>
  </si>
  <si>
    <t>peleke-llama-3.1-8b-instruct_MBP_23</t>
  </si>
  <si>
    <t>peleke-llama-3.1-8b-instruct_MBP_24</t>
  </si>
  <si>
    <t>peleke-llama-3.1-8b-instruct_MBP_25</t>
  </si>
  <si>
    <t>peleke-llama-3.1-8b-instruct_MBP_26</t>
  </si>
  <si>
    <t>peleke-llama-3.1-8b-instruct_MBP_27</t>
  </si>
  <si>
    <t>peleke-llama-3.1-8b-instruct_MBP_28</t>
  </si>
  <si>
    <t>peleke-llama-3.1-8b-instruct_MBP_29</t>
  </si>
  <si>
    <t>peleke-llama-3.1-8b-instruct_MBP_30</t>
  </si>
  <si>
    <t>peleke-llama-3.1-8b-instruct_MBP_31</t>
  </si>
  <si>
    <t>peleke-llama-3.1-8b-instruct_MBP_32</t>
  </si>
  <si>
    <t>peleke-llama-3.1-8b-instruct_MBP_33</t>
  </si>
  <si>
    <t>peleke-llama-3.1-8b-instruct_MBP_34</t>
  </si>
  <si>
    <t>peleke-llama-3.1-8b-instruct_MBP_35</t>
  </si>
  <si>
    <t>peleke-llama-3.1-8b-instruct_MBP_36</t>
  </si>
  <si>
    <t>peleke-llama-3.1-8b-instruct_MBP_37</t>
  </si>
  <si>
    <t>peleke-llama-3.1-8b-instruct_MBP_38</t>
  </si>
  <si>
    <t>peleke-llama-3.1-8b-instruct_MBP_39</t>
  </si>
  <si>
    <t>peleke-llama-3.1-8b-instruct_MBP_40</t>
  </si>
  <si>
    <t>peleke-llama-3.1-8b-instruct_MBP_41</t>
  </si>
  <si>
    <t>peleke-llama-3.1-8b-instruct_MBP_42</t>
  </si>
  <si>
    <t>peleke-llama-3.1-8b-instruct_MBP_43</t>
  </si>
  <si>
    <t>peleke-llama-3.1-8b-instruct_MBP_44</t>
  </si>
  <si>
    <t>peleke-llama-3.1-8b-instruct_MBP_45</t>
  </si>
  <si>
    <t>peleke-llama-3.1-8b-instruct_MBP_46</t>
  </si>
  <si>
    <t>peleke-llama-3.1-8b-instruct_MBP_47</t>
  </si>
  <si>
    <t>peleke-llama-3.1-8b-instruct_MBP_48</t>
  </si>
  <si>
    <t>peleke-llama-3.1-8b-instruct_MBP_49</t>
  </si>
  <si>
    <t>peleke-llama-3.1-8b-instruct_MBP_50</t>
  </si>
  <si>
    <t>peleke-llama-3.1-8b-instruct_PD-L1_01</t>
  </si>
  <si>
    <t>peleke-llama-3.1-8b-instruct_PD-L1_02</t>
  </si>
  <si>
    <t>peleke-llama-3.1-8b-instruct_PD-L1_03</t>
  </si>
  <si>
    <t>peleke-llama-3.1-8b-instruct_PD-L1_04</t>
  </si>
  <si>
    <t>peleke-llama-3.1-8b-instruct_PD-L1_05</t>
  </si>
  <si>
    <t>peleke-llama-3.1-8b-instruct_PD-L1_06</t>
  </si>
  <si>
    <t>peleke-llama-3.1-8b-instruct_PD-L1_07</t>
  </si>
  <si>
    <t>peleke-llama-3.1-8b-instruct_PD-L1_08</t>
  </si>
  <si>
    <t>peleke-llama-3.1-8b-instruct_PD-L1_09</t>
  </si>
  <si>
    <t>peleke-llama-3.1-8b-instruct_PD-L1_10</t>
  </si>
  <si>
    <t>peleke-llama-3.1-8b-instruct_PD-L1_11</t>
  </si>
  <si>
    <t>peleke-llama-3.1-8b-instruct_PD-L1_12</t>
  </si>
  <si>
    <t>peleke-llama-3.1-8b-instruct_PD-L1_13</t>
  </si>
  <si>
    <t>peleke-llama-3.1-8b-instruct_PD-L1_14</t>
  </si>
  <si>
    <t>peleke-llama-3.1-8b-instruct_PD-L1_15</t>
  </si>
  <si>
    <t>peleke-llama-3.1-8b-instruct_PD-L1_16</t>
  </si>
  <si>
    <t>peleke-llama-3.1-8b-instruct_PD-L1_17</t>
  </si>
  <si>
    <t>peleke-llama-3.1-8b-instruct_PD-L1_18</t>
  </si>
  <si>
    <t>peleke-llama-3.1-8b-instruct_PD-L1_19</t>
  </si>
  <si>
    <t>peleke-llama-3.1-8b-instruct_PD-L1_20</t>
  </si>
  <si>
    <t>peleke-llama-3.1-8b-instruct_PD-L1_21</t>
  </si>
  <si>
    <t>peleke-llama-3.1-8b-instruct_PD-L1_22</t>
  </si>
  <si>
    <t>peleke-llama-3.1-8b-instruct_PD-L1_23</t>
  </si>
  <si>
    <t>peleke-llama-3.1-8b-instruct_PD-L1_24</t>
  </si>
  <si>
    <t>peleke-llama-3.1-8b-instruct_PD-L1_25</t>
  </si>
  <si>
    <t>peleke-llama-3.1-8b-instruct_PD-L1_26</t>
  </si>
  <si>
    <t>peleke-llama-3.1-8b-instruct_PD-L1_27</t>
  </si>
  <si>
    <t>peleke-llama-3.1-8b-instruct_PD-L1_28</t>
  </si>
  <si>
    <t>peleke-llama-3.1-8b-instruct_PD-L1_29</t>
  </si>
  <si>
    <t>peleke-llama-3.1-8b-instruct_PD-L1_30</t>
  </si>
  <si>
    <t>peleke-llama-3.1-8b-instruct_PD-L1_31</t>
  </si>
  <si>
    <t>peleke-llama-3.1-8b-instruct_PD-L1_32</t>
  </si>
  <si>
    <t>peleke-llama-3.1-8b-instruct_PD-L1_33</t>
  </si>
  <si>
    <t>peleke-llama-3.1-8b-instruct_PD-L1_34</t>
  </si>
  <si>
    <t>peleke-llama-3.1-8b-instruct_PD-L1_35</t>
  </si>
  <si>
    <t>peleke-llama-3.1-8b-instruct_PD-L1_36</t>
  </si>
  <si>
    <t>peleke-llama-3.1-8b-instruct_PD-L1_37</t>
  </si>
  <si>
    <t>peleke-llama-3.1-8b-instruct_PD-L1_38</t>
  </si>
  <si>
    <t>peleke-llama-3.1-8b-instruct_PD-L1_39</t>
  </si>
  <si>
    <t>peleke-llama-3.1-8b-instruct_PD-L1_40</t>
  </si>
  <si>
    <t>peleke-llama-3.1-8b-instruct_PD-L1_41</t>
  </si>
  <si>
    <t>peleke-llama-3.1-8b-instruct_PD-L1_42</t>
  </si>
  <si>
    <t>peleke-llama-3.1-8b-instruct_PD-L1_43</t>
  </si>
  <si>
    <t>peleke-llama-3.1-8b-instruct_PD-L1_44</t>
  </si>
  <si>
    <t>peleke-llama-3.1-8b-instruct_PD-L1_45</t>
  </si>
  <si>
    <t>peleke-llama-3.1-8b-instruct_PD-L1_46</t>
  </si>
  <si>
    <t>peleke-llama-3.1-8b-instruct_PD-L1_47</t>
  </si>
  <si>
    <t>peleke-llama-3.1-8b-instruct_PD-L1_48</t>
  </si>
  <si>
    <t>peleke-llama-3.1-8b-instruct_PD-L1_49</t>
  </si>
  <si>
    <t>peleke-llama-3.1-8b-instruct_PD-L1_50</t>
  </si>
  <si>
    <t>peleke-llama-3.1-8b-instruct_BBF-14_01</t>
  </si>
  <si>
    <t>peleke-llama-3.1-8b-instruct_BBF-14_02</t>
  </si>
  <si>
    <t>peleke-llama-3.1-8b-instruct_BBF-14_03</t>
  </si>
  <si>
    <t>peleke-llama-3.1-8b-instruct_BBF-14_04</t>
  </si>
  <si>
    <t>peleke-llama-3.1-8b-instruct_BBF-14_05</t>
  </si>
  <si>
    <t>peleke-llama-3.1-8b-instruct_BBF-14_06</t>
  </si>
  <si>
    <t>peleke-llama-3.1-8b-instruct_BBF-14_07</t>
  </si>
  <si>
    <t>peleke-llama-3.1-8b-instruct_BBF-14_08</t>
  </si>
  <si>
    <t>peleke-llama-3.1-8b-instruct_BBF-14_09</t>
  </si>
  <si>
    <t>peleke-llama-3.1-8b-instruct_BBF-14_10</t>
  </si>
  <si>
    <t>peleke-llama-3.1-8b-instruct_BBF-14_11</t>
  </si>
  <si>
    <t>peleke-llama-3.1-8b-instruct_BBF-14_12</t>
  </si>
  <si>
    <t>peleke-llama-3.1-8b-instruct_BBF-14_13</t>
  </si>
  <si>
    <t>peleke-llama-3.1-8b-instruct_BBF-14_14</t>
  </si>
  <si>
    <t>peleke-llama-3.1-8b-instruct_BBF-14_15</t>
  </si>
  <si>
    <t>peleke-llama-3.1-8b-instruct_BBF-14_16</t>
  </si>
  <si>
    <t>peleke-llama-3.1-8b-instruct_BBF-14_17</t>
  </si>
  <si>
    <t>peleke-llama-3.1-8b-instruct_BBF-14_18</t>
  </si>
  <si>
    <t>peleke-llama-3.1-8b-instruct_BBF-14_19</t>
  </si>
  <si>
    <t>peleke-llama-3.1-8b-instruct_BBF-14_20</t>
  </si>
  <si>
    <t>peleke-llama-3.1-8b-instruct_BBF-14_21</t>
  </si>
  <si>
    <t>peleke-llama-3.1-8b-instruct_BBF-14_22</t>
  </si>
  <si>
    <t>peleke-llama-3.1-8b-instruct_BBF-14_23</t>
  </si>
  <si>
    <t>peleke-llama-3.1-8b-instruct_BBF-14_24</t>
  </si>
  <si>
    <t>peleke-llama-3.1-8b-instruct_BBF-14_25</t>
  </si>
  <si>
    <t>peleke-llama-3.1-8b-instruct_BBF-14_26</t>
  </si>
  <si>
    <t>peleke-llama-3.1-8b-instruct_BBF-14_27</t>
  </si>
  <si>
    <t>peleke-llama-3.1-8b-instruct_BBF-14_28</t>
  </si>
  <si>
    <t>peleke-llama-3.1-8b-instruct_BBF-14_29</t>
  </si>
  <si>
    <t>peleke-llama-3.1-8b-instruct_BBF-14_30</t>
  </si>
  <si>
    <t>peleke-llama-3.1-8b-instruct_BBF-14_31</t>
  </si>
  <si>
    <t>peleke-llama-3.1-8b-instruct_BBF-14_32</t>
  </si>
  <si>
    <t>peleke-llama-3.1-8b-instruct_BBF-14_33</t>
  </si>
  <si>
    <t>peleke-llama-3.1-8b-instruct_BBF-14_34</t>
  </si>
  <si>
    <t>peleke-llama-3.1-8b-instruct_BBF-14_35</t>
  </si>
  <si>
    <t>peleke-llama-3.1-8b-instruct_BBF-14_36</t>
  </si>
  <si>
    <t>peleke-llama-3.1-8b-instruct_BBF-14_37</t>
  </si>
  <si>
    <t>peleke-llama-3.1-8b-instruct_BBF-14_38</t>
  </si>
  <si>
    <t>peleke-llama-3.1-8b-instruct_BBF-14_39</t>
  </si>
  <si>
    <t>peleke-llama-3.1-8b-instruct_BBF-14_40</t>
  </si>
  <si>
    <t>peleke-llama-3.1-8b-instruct_BBF-14_41</t>
  </si>
  <si>
    <t>peleke-llama-3.1-8b-instruct_BBF-14_42</t>
  </si>
  <si>
    <t>peleke-llama-3.1-8b-instruct_BBF-14_43</t>
  </si>
  <si>
    <t>peleke-llama-3.1-8b-instruct_BBF-14_44</t>
  </si>
  <si>
    <t>peleke-llama-3.1-8b-instruct_BBF-14_45</t>
  </si>
  <si>
    <t>peleke-llama-3.1-8b-instruct_BBF-14_46</t>
  </si>
  <si>
    <t>peleke-llama-3.1-8b-instruct_BBF-14_47</t>
  </si>
  <si>
    <t>peleke-llama-3.1-8b-instruct_BBF-14_48</t>
  </si>
  <si>
    <t>peleke-llama-3.1-8b-instruct_BBF-14_49</t>
  </si>
  <si>
    <t>peleke-llama-3.1-8b-instruct_BBF-14_50</t>
  </si>
  <si>
    <t>peleke-llama-3.1-8b-instruct_PD-1_01</t>
  </si>
  <si>
    <t>peleke-llama-3.1-8b-instruct_PD-1_02</t>
  </si>
  <si>
    <t>peleke-llama-3.1-8b-instruct_PD-1_03</t>
  </si>
  <si>
    <t>peleke-llama-3.1-8b-instruct_PD-1_04</t>
  </si>
  <si>
    <t>peleke-llama-3.1-8b-instruct_PD-1_05</t>
  </si>
  <si>
    <t>peleke-llama-3.1-8b-instruct_PD-1_06</t>
  </si>
  <si>
    <t>peleke-llama-3.1-8b-instruct_PD-1_07</t>
  </si>
  <si>
    <t>peleke-llama-3.1-8b-instruct_PD-1_08</t>
  </si>
  <si>
    <t>peleke-llama-3.1-8b-instruct_PD-1_09</t>
  </si>
  <si>
    <t>peleke-llama-3.1-8b-instruct_PD-1_10</t>
  </si>
  <si>
    <t>peleke-llama-3.1-8b-instruct_PD-1_11</t>
  </si>
  <si>
    <t>peleke-llama-3.1-8b-instruct_PD-1_12</t>
  </si>
  <si>
    <t>peleke-llama-3.1-8b-instruct_PD-1_13</t>
  </si>
  <si>
    <t>peleke-llama-3.1-8b-instruct_PD-1_14</t>
  </si>
  <si>
    <t>peleke-llama-3.1-8b-instruct_PD-1_15</t>
  </si>
  <si>
    <t>peleke-llama-3.1-8b-instruct_PD-1_16</t>
  </si>
  <si>
    <t>peleke-llama-3.1-8b-instruct_PD-1_17</t>
  </si>
  <si>
    <t>peleke-llama-3.1-8b-instruct_PD-1_18</t>
  </si>
  <si>
    <t>peleke-llama-3.1-8b-instruct_PD-1_19</t>
  </si>
  <si>
    <t>peleke-llama-3.1-8b-instruct_PD-1_20</t>
  </si>
  <si>
    <t>peleke-llama-3.1-8b-instruct_PD-1_21</t>
  </si>
  <si>
    <t>peleke-llama-3.1-8b-instruct_PD-1_22</t>
  </si>
  <si>
    <t>peleke-llama-3.1-8b-instruct_PD-1_23</t>
  </si>
  <si>
    <t>peleke-llama-3.1-8b-instruct_PD-1_24</t>
  </si>
  <si>
    <t>peleke-llama-3.1-8b-instruct_PD-1_25</t>
  </si>
  <si>
    <t>peleke-llama-3.1-8b-instruct_PD-1_26</t>
  </si>
  <si>
    <t>peleke-llama-3.1-8b-instruct_PD-1_27</t>
  </si>
  <si>
    <t>peleke-llama-3.1-8b-instruct_PD-1_28</t>
  </si>
  <si>
    <t>peleke-llama-3.1-8b-instruct_PD-1_29</t>
  </si>
  <si>
    <t>peleke-llama-3.1-8b-instruct_PD-1_30</t>
  </si>
  <si>
    <t>peleke-llama-3.1-8b-instruct_PD-1_31</t>
  </si>
  <si>
    <t>peleke-llama-3.1-8b-instruct_PD-1_32</t>
  </si>
  <si>
    <t>peleke-llama-3.1-8b-instruct_PD-1_33</t>
  </si>
  <si>
    <t>peleke-llama-3.1-8b-instruct_PD-1_34</t>
  </si>
  <si>
    <t>peleke-llama-3.1-8b-instruct_PD-1_35</t>
  </si>
  <si>
    <t>peleke-llama-3.1-8b-instruct_PD-1_36</t>
  </si>
  <si>
    <t>peleke-llama-3.1-8b-instruct_PD-1_37</t>
  </si>
  <si>
    <t>peleke-llama-3.1-8b-instruct_PD-1_38</t>
  </si>
  <si>
    <t>peleke-llama-3.1-8b-instruct_PD-1_39</t>
  </si>
  <si>
    <t>peleke-llama-3.1-8b-instruct_PD-1_40</t>
  </si>
  <si>
    <t>peleke-llama-3.1-8b-instruct_PD-1_41</t>
  </si>
  <si>
    <t>peleke-llama-3.1-8b-instruct_PD-1_42</t>
  </si>
  <si>
    <t>peleke-llama-3.1-8b-instruct_PD-1_43</t>
  </si>
  <si>
    <t>peleke-llama-3.1-8b-instruct_PD-1_44</t>
  </si>
  <si>
    <t>peleke-llama-3.1-8b-instruct_PD-1_45</t>
  </si>
  <si>
    <t>peleke-llama-3.1-8b-instruct_PD-1_46</t>
  </si>
  <si>
    <t>peleke-llama-3.1-8b-instruct_PD-1_47</t>
  </si>
  <si>
    <t>peleke-llama-3.1-8b-instruct_PD-1_48</t>
  </si>
  <si>
    <t>peleke-llama-3.1-8b-instruct_PD-1_49</t>
  </si>
  <si>
    <t>peleke-llama-3.1-8b-instruct_PD-1_50</t>
  </si>
  <si>
    <t>peleke-mistral-7b-instruct-v0.2_BHRF1_01</t>
  </si>
  <si>
    <t>peleke-mistral-7b-instruct-v0.2_BHRF1_02</t>
  </si>
  <si>
    <t>peleke-mistral-7b-instruct-v0.2_BHRF1_03</t>
  </si>
  <si>
    <t>peleke-mistral-7b-instruct-v0.2_BHRF1_04</t>
  </si>
  <si>
    <t>peleke-mistral-7b-instruct-v0.2_BHRF1_05</t>
  </si>
  <si>
    <t>peleke-mistral-7b-instruct-v0.2_BHRF1_06</t>
  </si>
  <si>
    <t>peleke-mistral-7b-instruct-v0.2_BHRF1_07</t>
  </si>
  <si>
    <t>peleke-mistral-7b-instruct-v0.2_BHRF1_08</t>
  </si>
  <si>
    <t>peleke-mistral-7b-instruct-v0.2_BHRF1_09</t>
  </si>
  <si>
    <t>peleke-mistral-7b-instruct-v0.2_BHRF1_10</t>
  </si>
  <si>
    <t>peleke-mistral-7b-instruct-v0.2_BHRF1_11</t>
  </si>
  <si>
    <t>peleke-mistral-7b-instruct-v0.2_BHRF1_12</t>
  </si>
  <si>
    <t>peleke-mistral-7b-instruct-v0.2_BHRF1_13</t>
  </si>
  <si>
    <t>peleke-mistral-7b-instruct-v0.2_BHRF1_14</t>
  </si>
  <si>
    <t>peleke-mistral-7b-instruct-v0.2_BHRF1_15</t>
  </si>
  <si>
    <t>peleke-mistral-7b-instruct-v0.2_BHRF1_16</t>
  </si>
  <si>
    <t>peleke-mistral-7b-instruct-v0.2_BHRF1_17</t>
  </si>
  <si>
    <t>peleke-mistral-7b-instruct-v0.2_BHRF1_18</t>
  </si>
  <si>
    <t>peleke-mistral-7b-instruct-v0.2_BHRF1_19</t>
  </si>
  <si>
    <t>peleke-mistral-7b-instruct-v0.2_BHRF1_20</t>
  </si>
  <si>
    <t>peleke-mistral-7b-instruct-v0.2_BHRF1_21</t>
  </si>
  <si>
    <t>peleke-mistral-7b-instruct-v0.2_BHRF1_22</t>
  </si>
  <si>
    <t>peleke-mistral-7b-instruct-v0.2_BHRF1_23</t>
  </si>
  <si>
    <t>peleke-mistral-7b-instruct-v0.2_BHRF1_24</t>
  </si>
  <si>
    <t>peleke-mistral-7b-instruct-v0.2_BHRF1_25</t>
  </si>
  <si>
    <t>peleke-mistral-7b-instruct-v0.2_BHRF1_26</t>
  </si>
  <si>
    <t>peleke-mistral-7b-instruct-v0.2_BHRF1_27</t>
  </si>
  <si>
    <t>peleke-mistral-7b-instruct-v0.2_BHRF1_28</t>
  </si>
  <si>
    <t>peleke-mistral-7b-instruct-v0.2_BHRF1_29</t>
  </si>
  <si>
    <t>peleke-mistral-7b-instruct-v0.2_BHRF1_30</t>
  </si>
  <si>
    <t>peleke-mistral-7b-instruct-v0.2_BHRF1_31</t>
  </si>
  <si>
    <t>peleke-mistral-7b-instruct-v0.2_BHRF1_32</t>
  </si>
  <si>
    <t>peleke-mistral-7b-instruct-v0.2_BHRF1_33</t>
  </si>
  <si>
    <t>peleke-mistral-7b-instruct-v0.2_BHRF1_34</t>
  </si>
  <si>
    <t>peleke-mistral-7b-instruct-v0.2_BHRF1_35</t>
  </si>
  <si>
    <t>peleke-mistral-7b-instruct-v0.2_BHRF1_36</t>
  </si>
  <si>
    <t>peleke-mistral-7b-instruct-v0.2_BHRF1_37</t>
  </si>
  <si>
    <t>peleke-mistral-7b-instruct-v0.2_BHRF1_38</t>
  </si>
  <si>
    <t>peleke-mistral-7b-instruct-v0.2_BHRF1_39</t>
  </si>
  <si>
    <t>peleke-mistral-7b-instruct-v0.2_BHRF1_40</t>
  </si>
  <si>
    <t>peleke-mistral-7b-instruct-v0.2_BHRF1_41</t>
  </si>
  <si>
    <t>peleke-mistral-7b-instruct-v0.2_BHRF1_42</t>
  </si>
  <si>
    <t>peleke-mistral-7b-instruct-v0.2_BHRF1_43</t>
  </si>
  <si>
    <t>peleke-mistral-7b-instruct-v0.2_BHRF1_44</t>
  </si>
  <si>
    <t>peleke-mistral-7b-instruct-v0.2_BHRF1_45</t>
  </si>
  <si>
    <t>peleke-mistral-7b-instruct-v0.2_BHRF1_46</t>
  </si>
  <si>
    <t>peleke-mistral-7b-instruct-v0.2_BHRF1_47</t>
  </si>
  <si>
    <t>peleke-mistral-7b-instruct-v0.2_BHRF1_48</t>
  </si>
  <si>
    <t>peleke-mistral-7b-instruct-v0.2_BHRF1_49</t>
  </si>
  <si>
    <t>peleke-mistral-7b-instruct-v0.2_BHRF1_50</t>
  </si>
  <si>
    <t>peleke-mistral-7b-instruct-v0.2_EGFR_01</t>
  </si>
  <si>
    <t>peleke-mistral-7b-instruct-v0.2_EGFR_02</t>
  </si>
  <si>
    <t>peleke-mistral-7b-instruct-v0.2_EGFR_03</t>
  </si>
  <si>
    <t>peleke-mistral-7b-instruct-v0.2_EGFR_04</t>
  </si>
  <si>
    <t>peleke-mistral-7b-instruct-v0.2_EGFR_05</t>
  </si>
  <si>
    <t>peleke-mistral-7b-instruct-v0.2_EGFR_06</t>
  </si>
  <si>
    <t>peleke-mistral-7b-instruct-v0.2_EGFR_07</t>
  </si>
  <si>
    <t>peleke-mistral-7b-instruct-v0.2_EGFR_08</t>
  </si>
  <si>
    <t>peleke-mistral-7b-instruct-v0.2_EGFR_09</t>
  </si>
  <si>
    <t>peleke-mistral-7b-instruct-v0.2_EGFR_10</t>
  </si>
  <si>
    <t>peleke-mistral-7b-instruct-v0.2_EGFR_11</t>
  </si>
  <si>
    <t>peleke-mistral-7b-instruct-v0.2_EGFR_12</t>
  </si>
  <si>
    <t>peleke-mistral-7b-instruct-v0.2_EGFR_13</t>
  </si>
  <si>
    <t>peleke-mistral-7b-instruct-v0.2_EGFR_14</t>
  </si>
  <si>
    <t>peleke-mistral-7b-instruct-v0.2_EGFR_15</t>
  </si>
  <si>
    <t>peleke-mistral-7b-instruct-v0.2_EGFR_16</t>
  </si>
  <si>
    <t>peleke-mistral-7b-instruct-v0.2_EGFR_17</t>
  </si>
  <si>
    <t>peleke-mistral-7b-instruct-v0.2_EGFR_18</t>
  </si>
  <si>
    <t>peleke-mistral-7b-instruct-v0.2_EGFR_19</t>
  </si>
  <si>
    <t>peleke-mistral-7b-instruct-v0.2_EGFR_20</t>
  </si>
  <si>
    <t>peleke-mistral-7b-instruct-v0.2_EGFR_21</t>
  </si>
  <si>
    <t>peleke-mistral-7b-instruct-v0.2_EGFR_22</t>
  </si>
  <si>
    <t>peleke-mistral-7b-instruct-v0.2_EGFR_23</t>
  </si>
  <si>
    <t>peleke-mistral-7b-instruct-v0.2_EGFR_24</t>
  </si>
  <si>
    <t>peleke-mistral-7b-instruct-v0.2_EGFR_25</t>
  </si>
  <si>
    <t>peleke-mistral-7b-instruct-v0.2_EGFR_26</t>
  </si>
  <si>
    <t>peleke-mistral-7b-instruct-v0.2_EGFR_27</t>
  </si>
  <si>
    <t>peleke-mistral-7b-instruct-v0.2_EGFR_28</t>
  </si>
  <si>
    <t>peleke-mistral-7b-instruct-v0.2_EGFR_29</t>
  </si>
  <si>
    <t>peleke-mistral-7b-instruct-v0.2_EGFR_30</t>
  </si>
  <si>
    <t>peleke-mistral-7b-instruct-v0.2_EGFR_31</t>
  </si>
  <si>
    <t>peleke-mistral-7b-instruct-v0.2_EGFR_32</t>
  </si>
  <si>
    <t>peleke-mistral-7b-instruct-v0.2_EGFR_33</t>
  </si>
  <si>
    <t>peleke-mistral-7b-instruct-v0.2_EGFR_34</t>
  </si>
  <si>
    <t>peleke-mistral-7b-instruct-v0.2_EGFR_35</t>
  </si>
  <si>
    <t>peleke-mistral-7b-instruct-v0.2_EGFR_36</t>
  </si>
  <si>
    <t>peleke-mistral-7b-instruct-v0.2_EGFR_37</t>
  </si>
  <si>
    <t>peleke-mistral-7b-instruct-v0.2_EGFR_38</t>
  </si>
  <si>
    <t>peleke-mistral-7b-instruct-v0.2_EGFR_39</t>
  </si>
  <si>
    <t>peleke-mistral-7b-instruct-v0.2_EGFR_40</t>
  </si>
  <si>
    <t>peleke-mistral-7b-instruct-v0.2_EGFR_41</t>
  </si>
  <si>
    <t>peleke-mistral-7b-instruct-v0.2_EGFR_42</t>
  </si>
  <si>
    <t>peleke-mistral-7b-instruct-v0.2_EGFR_43</t>
  </si>
  <si>
    <t>peleke-mistral-7b-instruct-v0.2_EGFR_44</t>
  </si>
  <si>
    <t>peleke-mistral-7b-instruct-v0.2_EGFR_45</t>
  </si>
  <si>
    <t>peleke-mistral-7b-instruct-v0.2_EGFR_46</t>
  </si>
  <si>
    <t>peleke-mistral-7b-instruct-v0.2_EGFR_47</t>
  </si>
  <si>
    <t>peleke-mistral-7b-instruct-v0.2_EGFR_48</t>
  </si>
  <si>
    <t>peleke-mistral-7b-instruct-v0.2_EGFR_49</t>
  </si>
  <si>
    <t>peleke-mistral-7b-instruct-v0.2_EGFR_50</t>
  </si>
  <si>
    <t>peleke-mistral-7b-instruct-v0.2_IL-7Ra_01</t>
  </si>
  <si>
    <t>peleke-mistral-7b-instruct-v0.2_IL-7Ra_02</t>
  </si>
  <si>
    <t>peleke-mistral-7b-instruct-v0.2_IL-7Ra_03</t>
  </si>
  <si>
    <t>peleke-mistral-7b-instruct-v0.2_IL-7Ra_04</t>
  </si>
  <si>
    <t>peleke-mistral-7b-instruct-v0.2_IL-7Ra_05</t>
  </si>
  <si>
    <t>peleke-mistral-7b-instruct-v0.2_IL-7Ra_06</t>
  </si>
  <si>
    <t>peleke-mistral-7b-instruct-v0.2_IL-7Ra_07</t>
  </si>
  <si>
    <t>peleke-mistral-7b-instruct-v0.2_IL-7Ra_08</t>
  </si>
  <si>
    <t>peleke-mistral-7b-instruct-v0.2_IL-7Ra_09</t>
  </si>
  <si>
    <t>peleke-mistral-7b-instruct-v0.2_IL-7Ra_10</t>
  </si>
  <si>
    <t>peleke-mistral-7b-instruct-v0.2_IL-7Ra_11</t>
  </si>
  <si>
    <t>peleke-mistral-7b-instruct-v0.2_IL-7Ra_12</t>
  </si>
  <si>
    <t>peleke-mistral-7b-instruct-v0.2_IL-7Ra_13</t>
  </si>
  <si>
    <t>peleke-mistral-7b-instruct-v0.2_IL-7Ra_14</t>
  </si>
  <si>
    <t>peleke-mistral-7b-instruct-v0.2_IL-7Ra_15</t>
  </si>
  <si>
    <t>peleke-mistral-7b-instruct-v0.2_IL-7Ra_16</t>
  </si>
  <si>
    <t>peleke-mistral-7b-instruct-v0.2_IL-7Ra_17</t>
  </si>
  <si>
    <t>peleke-mistral-7b-instruct-v0.2_IL-7Ra_18</t>
  </si>
  <si>
    <t>peleke-mistral-7b-instruct-v0.2_IL-7Ra_19</t>
  </si>
  <si>
    <t>peleke-mistral-7b-instruct-v0.2_IL-7Ra_20</t>
  </si>
  <si>
    <t>peleke-mistral-7b-instruct-v0.2_IL-7Ra_21</t>
  </si>
  <si>
    <t>peleke-mistral-7b-instruct-v0.2_IL-7Ra_22</t>
  </si>
  <si>
    <t>peleke-mistral-7b-instruct-v0.2_IL-7Ra_23</t>
  </si>
  <si>
    <t>peleke-mistral-7b-instruct-v0.2_IL-7Ra_24</t>
  </si>
  <si>
    <t>peleke-mistral-7b-instruct-v0.2_IL-7Ra_25</t>
  </si>
  <si>
    <t>peleke-mistral-7b-instruct-v0.2_IL-7Ra_26</t>
  </si>
  <si>
    <t>peleke-mistral-7b-instruct-v0.2_IL-7Ra_27</t>
  </si>
  <si>
    <t>peleke-mistral-7b-instruct-v0.2_IL-7Ra_28</t>
  </si>
  <si>
    <t>peleke-mistral-7b-instruct-v0.2_IL-7Ra_29</t>
  </si>
  <si>
    <t>peleke-mistral-7b-instruct-v0.2_IL-7Ra_30</t>
  </si>
  <si>
    <t>peleke-mistral-7b-instruct-v0.2_IL-7Ra_31</t>
  </si>
  <si>
    <t>peleke-mistral-7b-instruct-v0.2_IL-7Ra_32</t>
  </si>
  <si>
    <t>peleke-mistral-7b-instruct-v0.2_IL-7Ra_33</t>
  </si>
  <si>
    <t>peleke-mistral-7b-instruct-v0.2_IL-7Ra_34</t>
  </si>
  <si>
    <t>peleke-mistral-7b-instruct-v0.2_IL-7Ra_35</t>
  </si>
  <si>
    <t>peleke-mistral-7b-instruct-v0.2_IL-7Ra_36</t>
  </si>
  <si>
    <t>peleke-mistral-7b-instruct-v0.2_IL-7Ra_37</t>
  </si>
  <si>
    <t>peleke-mistral-7b-instruct-v0.2_IL-7Ra_38</t>
  </si>
  <si>
    <t>peleke-mistral-7b-instruct-v0.2_IL-7Ra_39</t>
  </si>
  <si>
    <t>peleke-mistral-7b-instruct-v0.2_IL-7Ra_40</t>
  </si>
  <si>
    <t>peleke-mistral-7b-instruct-v0.2_IL-7Ra_41</t>
  </si>
  <si>
    <t>peleke-mistral-7b-instruct-v0.2_IL-7Ra_42</t>
  </si>
  <si>
    <t>peleke-mistral-7b-instruct-v0.2_IL-7Ra_43</t>
  </si>
  <si>
    <t>peleke-mistral-7b-instruct-v0.2_IL-7Ra_44</t>
  </si>
  <si>
    <t>peleke-mistral-7b-instruct-v0.2_IL-7Ra_45</t>
  </si>
  <si>
    <t>peleke-mistral-7b-instruct-v0.2_IL-7Ra_46</t>
  </si>
  <si>
    <t>peleke-mistral-7b-instruct-v0.2_IL-7Ra_47</t>
  </si>
  <si>
    <t>peleke-mistral-7b-instruct-v0.2_IL-7Ra_48</t>
  </si>
  <si>
    <t>peleke-mistral-7b-instruct-v0.2_IL-7Ra_49</t>
  </si>
  <si>
    <t>peleke-mistral-7b-instruct-v0.2_IL-7Ra_50</t>
  </si>
  <si>
    <t>peleke-mistral-7b-instruct-v0.2_MBP_01</t>
  </si>
  <si>
    <t>peleke-mistral-7b-instruct-v0.2_MBP_02</t>
  </si>
  <si>
    <t>peleke-mistral-7b-instruct-v0.2_MBP_03</t>
  </si>
  <si>
    <t>peleke-mistral-7b-instruct-v0.2_MBP_04</t>
  </si>
  <si>
    <t>peleke-mistral-7b-instruct-v0.2_MBP_05</t>
  </si>
  <si>
    <t>peleke-mistral-7b-instruct-v0.2_MBP_06</t>
  </si>
  <si>
    <t>peleke-mistral-7b-instruct-v0.2_MBP_07</t>
  </si>
  <si>
    <t>peleke-mistral-7b-instruct-v0.2_MBP_08</t>
  </si>
  <si>
    <t>peleke-mistral-7b-instruct-v0.2_MBP_09</t>
  </si>
  <si>
    <t>peleke-mistral-7b-instruct-v0.2_MBP_10</t>
  </si>
  <si>
    <t>peleke-mistral-7b-instruct-v0.2_MBP_11</t>
  </si>
  <si>
    <t>peleke-mistral-7b-instruct-v0.2_MBP_12</t>
  </si>
  <si>
    <t>peleke-mistral-7b-instruct-v0.2_MBP_13</t>
  </si>
  <si>
    <t>peleke-mistral-7b-instruct-v0.2_MBP_14</t>
  </si>
  <si>
    <t>peleke-mistral-7b-instruct-v0.2_MBP_15</t>
  </si>
  <si>
    <t>peleke-mistral-7b-instruct-v0.2_MBP_16</t>
  </si>
  <si>
    <t>peleke-mistral-7b-instruct-v0.2_MBP_17</t>
  </si>
  <si>
    <t>peleke-mistral-7b-instruct-v0.2_MBP_18</t>
  </si>
  <si>
    <t>peleke-mistral-7b-instruct-v0.2_MBP_19</t>
  </si>
  <si>
    <t>peleke-mistral-7b-instruct-v0.2_MBP_20</t>
  </si>
  <si>
    <t>peleke-mistral-7b-instruct-v0.2_MBP_21</t>
  </si>
  <si>
    <t>peleke-mistral-7b-instruct-v0.2_MBP_22</t>
  </si>
  <si>
    <t>peleke-mistral-7b-instruct-v0.2_MBP_23</t>
  </si>
  <si>
    <t>peleke-mistral-7b-instruct-v0.2_MBP_24</t>
  </si>
  <si>
    <t>peleke-mistral-7b-instruct-v0.2_MBP_25</t>
  </si>
  <si>
    <t>peleke-mistral-7b-instruct-v0.2_MBP_26</t>
  </si>
  <si>
    <t>peleke-mistral-7b-instruct-v0.2_MBP_27</t>
  </si>
  <si>
    <t>peleke-mistral-7b-instruct-v0.2_MBP_28</t>
  </si>
  <si>
    <t>peleke-mistral-7b-instruct-v0.2_MBP_29</t>
  </si>
  <si>
    <t>peleke-mistral-7b-instruct-v0.2_MBP_30</t>
  </si>
  <si>
    <t>peleke-mistral-7b-instruct-v0.2_MBP_31</t>
  </si>
  <si>
    <t>peleke-mistral-7b-instruct-v0.2_MBP_32</t>
  </si>
  <si>
    <t>peleke-mistral-7b-instruct-v0.2_MBP_33</t>
  </si>
  <si>
    <t>peleke-mistral-7b-instruct-v0.2_MBP_34</t>
  </si>
  <si>
    <t>peleke-mistral-7b-instruct-v0.2_MBP_35</t>
  </si>
  <si>
    <t>peleke-mistral-7b-instruct-v0.2_MBP_36</t>
  </si>
  <si>
    <t>peleke-mistral-7b-instruct-v0.2_MBP_37</t>
  </si>
  <si>
    <t>peleke-mistral-7b-instruct-v0.2_MBP_38</t>
  </si>
  <si>
    <t>peleke-mistral-7b-instruct-v0.2_MBP_39</t>
  </si>
  <si>
    <t>peleke-mistral-7b-instruct-v0.2_MBP_40</t>
  </si>
  <si>
    <t>peleke-mistral-7b-instruct-v0.2_MBP_41</t>
  </si>
  <si>
    <t>peleke-mistral-7b-instruct-v0.2_MBP_42</t>
  </si>
  <si>
    <t>peleke-mistral-7b-instruct-v0.2_MBP_43</t>
  </si>
  <si>
    <t>peleke-mistral-7b-instruct-v0.2_MBP_44</t>
  </si>
  <si>
    <t>peleke-mistral-7b-instruct-v0.2_MBP_45</t>
  </si>
  <si>
    <t>peleke-mistral-7b-instruct-v0.2_MBP_46</t>
  </si>
  <si>
    <t>peleke-mistral-7b-instruct-v0.2_MBP_47</t>
  </si>
  <si>
    <t>peleke-mistral-7b-instruct-v0.2_MBP_48</t>
  </si>
  <si>
    <t>peleke-mistral-7b-instruct-v0.2_MBP_49</t>
  </si>
  <si>
    <t>peleke-mistral-7b-instruct-v0.2_MBP_50</t>
  </si>
  <si>
    <t>peleke-mistral-7b-instruct-v0.2_PD-L1_01</t>
  </si>
  <si>
    <t>peleke-mistral-7b-instruct-v0.2_PD-L1_02</t>
  </si>
  <si>
    <t>peleke-mistral-7b-instruct-v0.2_PD-L1_03</t>
  </si>
  <si>
    <t>peleke-mistral-7b-instruct-v0.2_PD-L1_04</t>
  </si>
  <si>
    <t>peleke-mistral-7b-instruct-v0.2_PD-L1_05</t>
  </si>
  <si>
    <t>peleke-mistral-7b-instruct-v0.2_PD-L1_06</t>
  </si>
  <si>
    <t>peleke-mistral-7b-instruct-v0.2_PD-L1_07</t>
  </si>
  <si>
    <t>peleke-mistral-7b-instruct-v0.2_PD-L1_08</t>
  </si>
  <si>
    <t>peleke-mistral-7b-instruct-v0.2_PD-L1_09</t>
  </si>
  <si>
    <t>peleke-mistral-7b-instruct-v0.2_PD-L1_10</t>
  </si>
  <si>
    <t>peleke-mistral-7b-instruct-v0.2_PD-L1_11</t>
  </si>
  <si>
    <t>peleke-mistral-7b-instruct-v0.2_PD-L1_12</t>
  </si>
  <si>
    <t>peleke-mistral-7b-instruct-v0.2_PD-L1_13</t>
  </si>
  <si>
    <t>peleke-mistral-7b-instruct-v0.2_PD-L1_14</t>
  </si>
  <si>
    <t>peleke-mistral-7b-instruct-v0.2_PD-L1_15</t>
  </si>
  <si>
    <t>peleke-mistral-7b-instruct-v0.2_PD-L1_16</t>
  </si>
  <si>
    <t>peleke-mistral-7b-instruct-v0.2_PD-L1_17</t>
  </si>
  <si>
    <t>peleke-mistral-7b-instruct-v0.2_PD-L1_18</t>
  </si>
  <si>
    <t>peleke-mistral-7b-instruct-v0.2_PD-L1_19</t>
  </si>
  <si>
    <t>peleke-mistral-7b-instruct-v0.2_PD-L1_20</t>
  </si>
  <si>
    <t>peleke-mistral-7b-instruct-v0.2_PD-L1_21</t>
  </si>
  <si>
    <t>peleke-mistral-7b-instruct-v0.2_PD-L1_22</t>
  </si>
  <si>
    <t>peleke-mistral-7b-instruct-v0.2_PD-L1_23</t>
  </si>
  <si>
    <t>peleke-mistral-7b-instruct-v0.2_PD-L1_24</t>
  </si>
  <si>
    <t>peleke-mistral-7b-instruct-v0.2_PD-L1_25</t>
  </si>
  <si>
    <t>peleke-mistral-7b-instruct-v0.2_PD-L1_26</t>
  </si>
  <si>
    <t>peleke-mistral-7b-instruct-v0.2_PD-L1_27</t>
  </si>
  <si>
    <t>peleke-mistral-7b-instruct-v0.2_PD-L1_28</t>
  </si>
  <si>
    <t>peleke-mistral-7b-instruct-v0.2_PD-L1_29</t>
  </si>
  <si>
    <t>peleke-mistral-7b-instruct-v0.2_PD-L1_30</t>
  </si>
  <si>
    <t>peleke-mistral-7b-instruct-v0.2_PD-L1_31</t>
  </si>
  <si>
    <t>peleke-mistral-7b-instruct-v0.2_PD-L1_32</t>
  </si>
  <si>
    <t>peleke-mistral-7b-instruct-v0.2_PD-L1_33</t>
  </si>
  <si>
    <t>peleke-mistral-7b-instruct-v0.2_PD-L1_34</t>
  </si>
  <si>
    <t>peleke-mistral-7b-instruct-v0.2_PD-L1_35</t>
  </si>
  <si>
    <t>peleke-mistral-7b-instruct-v0.2_PD-L1_36</t>
  </si>
  <si>
    <t>peleke-mistral-7b-instruct-v0.2_PD-L1_37</t>
  </si>
  <si>
    <t>peleke-mistral-7b-instruct-v0.2_PD-L1_38</t>
  </si>
  <si>
    <t>peleke-mistral-7b-instruct-v0.2_PD-L1_39</t>
  </si>
  <si>
    <t>peleke-mistral-7b-instruct-v0.2_PD-L1_40</t>
  </si>
  <si>
    <t>peleke-mistral-7b-instruct-v0.2_PD-L1_41</t>
  </si>
  <si>
    <t>peleke-mistral-7b-instruct-v0.2_PD-L1_42</t>
  </si>
  <si>
    <t>peleke-mistral-7b-instruct-v0.2_PD-L1_43</t>
  </si>
  <si>
    <t>peleke-mistral-7b-instruct-v0.2_PD-L1_44</t>
  </si>
  <si>
    <t>peleke-mistral-7b-instruct-v0.2_PD-L1_45</t>
  </si>
  <si>
    <t>peleke-mistral-7b-instruct-v0.2_PD-L1_46</t>
  </si>
  <si>
    <t>peleke-mistral-7b-instruct-v0.2_PD-L1_47</t>
  </si>
  <si>
    <t>peleke-mistral-7b-instruct-v0.2_PD-L1_48</t>
  </si>
  <si>
    <t>peleke-mistral-7b-instruct-v0.2_PD-L1_49</t>
  </si>
  <si>
    <t>peleke-mistral-7b-instruct-v0.2_PD-L1_50</t>
  </si>
  <si>
    <t>peleke-mistral-7b-instruct-v0.2_BBF-14_01</t>
  </si>
  <si>
    <t>peleke-mistral-7b-instruct-v0.2_BBF-14_02</t>
  </si>
  <si>
    <t>peleke-mistral-7b-instruct-v0.2_BBF-14_03</t>
  </si>
  <si>
    <t>peleke-mistral-7b-instruct-v0.2_BBF-14_04</t>
  </si>
  <si>
    <t>peleke-mistral-7b-instruct-v0.2_BBF-14_05</t>
  </si>
  <si>
    <t>peleke-mistral-7b-instruct-v0.2_BBF-14_06</t>
  </si>
  <si>
    <t>peleke-mistral-7b-instruct-v0.2_BBF-14_07</t>
  </si>
  <si>
    <t>peleke-mistral-7b-instruct-v0.2_BBF-14_08</t>
  </si>
  <si>
    <t>peleke-mistral-7b-instruct-v0.2_BBF-14_09</t>
  </si>
  <si>
    <t>peleke-mistral-7b-instruct-v0.2_BBF-14_10</t>
  </si>
  <si>
    <t>peleke-mistral-7b-instruct-v0.2_BBF-14_11</t>
  </si>
  <si>
    <t>peleke-mistral-7b-instruct-v0.2_BBF-14_12</t>
  </si>
  <si>
    <t>peleke-mistral-7b-instruct-v0.2_BBF-14_13</t>
  </si>
  <si>
    <t>peleke-mistral-7b-instruct-v0.2_BBF-14_14</t>
  </si>
  <si>
    <t>peleke-mistral-7b-instruct-v0.2_BBF-14_15</t>
  </si>
  <si>
    <t>peleke-mistral-7b-instruct-v0.2_BBF-14_16</t>
  </si>
  <si>
    <t>peleke-mistral-7b-instruct-v0.2_BBF-14_17</t>
  </si>
  <si>
    <t>peleke-mistral-7b-instruct-v0.2_BBF-14_18</t>
  </si>
  <si>
    <t>peleke-mistral-7b-instruct-v0.2_BBF-14_19</t>
  </si>
  <si>
    <t>peleke-mistral-7b-instruct-v0.2_BBF-14_20</t>
  </si>
  <si>
    <t>peleke-mistral-7b-instruct-v0.2_BBF-14_21</t>
  </si>
  <si>
    <t>peleke-mistral-7b-instruct-v0.2_BBF-14_22</t>
  </si>
  <si>
    <t>peleke-mistral-7b-instruct-v0.2_BBF-14_23</t>
  </si>
  <si>
    <t>peleke-mistral-7b-instruct-v0.2_BBF-14_24</t>
  </si>
  <si>
    <t>peleke-mistral-7b-instruct-v0.2_BBF-14_25</t>
  </si>
  <si>
    <t>peleke-mistral-7b-instruct-v0.2_BBF-14_26</t>
  </si>
  <si>
    <t>peleke-mistral-7b-instruct-v0.2_BBF-14_27</t>
  </si>
  <si>
    <t>peleke-mistral-7b-instruct-v0.2_BBF-14_28</t>
  </si>
  <si>
    <t>peleke-mistral-7b-instruct-v0.2_BBF-14_29</t>
  </si>
  <si>
    <t>peleke-mistral-7b-instruct-v0.2_BBF-14_30</t>
  </si>
  <si>
    <t>peleke-mistral-7b-instruct-v0.2_BBF-14_31</t>
  </si>
  <si>
    <t>peleke-mistral-7b-instruct-v0.2_BBF-14_32</t>
  </si>
  <si>
    <t>peleke-mistral-7b-instruct-v0.2_BBF-14_33</t>
  </si>
  <si>
    <t>peleke-mistral-7b-instruct-v0.2_BBF-14_34</t>
  </si>
  <si>
    <t>peleke-mistral-7b-instruct-v0.2_BBF-14_35</t>
  </si>
  <si>
    <t>peleke-mistral-7b-instruct-v0.2_BBF-14_36</t>
  </si>
  <si>
    <t>peleke-mistral-7b-instruct-v0.2_BBF-14_37</t>
  </si>
  <si>
    <t>peleke-mistral-7b-instruct-v0.2_BBF-14_38</t>
  </si>
  <si>
    <t>peleke-mistral-7b-instruct-v0.2_BBF-14_39</t>
  </si>
  <si>
    <t>peleke-mistral-7b-instruct-v0.2_BBF-14_40</t>
  </si>
  <si>
    <t>peleke-mistral-7b-instruct-v0.2_BBF-14_41</t>
  </si>
  <si>
    <t>peleke-mistral-7b-instruct-v0.2_BBF-14_42</t>
  </si>
  <si>
    <t>peleke-mistral-7b-instruct-v0.2_BBF-14_43</t>
  </si>
  <si>
    <t>peleke-mistral-7b-instruct-v0.2_BBF-14_44</t>
  </si>
  <si>
    <t>peleke-mistral-7b-instruct-v0.2_BBF-14_45</t>
  </si>
  <si>
    <t>peleke-mistral-7b-instruct-v0.2_BBF-14_46</t>
  </si>
  <si>
    <t>peleke-mistral-7b-instruct-v0.2_BBF-14_47</t>
  </si>
  <si>
    <t>peleke-mistral-7b-instruct-v0.2_BBF-14_48</t>
  </si>
  <si>
    <t>peleke-mistral-7b-instruct-v0.2_BBF-14_49</t>
  </si>
  <si>
    <t>peleke-mistral-7b-instruct-v0.2_BBF-14_50</t>
  </si>
  <si>
    <t>peleke-mistral-7b-instruct-v0.2_PD-1_01</t>
  </si>
  <si>
    <t>peleke-mistral-7b-instruct-v0.2_PD-1_02</t>
  </si>
  <si>
    <t>peleke-mistral-7b-instruct-v0.2_PD-1_03</t>
  </si>
  <si>
    <t>peleke-mistral-7b-instruct-v0.2_PD-1_04</t>
  </si>
  <si>
    <t>peleke-mistral-7b-instruct-v0.2_PD-1_05</t>
  </si>
  <si>
    <t>peleke-mistral-7b-instruct-v0.2_PD-1_06</t>
  </si>
  <si>
    <t>peleke-mistral-7b-instruct-v0.2_PD-1_07</t>
  </si>
  <si>
    <t>peleke-mistral-7b-instruct-v0.2_PD-1_08</t>
  </si>
  <si>
    <t>peleke-mistral-7b-instruct-v0.2_PD-1_09</t>
  </si>
  <si>
    <t>peleke-mistral-7b-instruct-v0.2_PD-1_10</t>
  </si>
  <si>
    <t>peleke-mistral-7b-instruct-v0.2_PD-1_11</t>
  </si>
  <si>
    <t>peleke-mistral-7b-instruct-v0.2_PD-1_12</t>
  </si>
  <si>
    <t>peleke-mistral-7b-instruct-v0.2_PD-1_13</t>
  </si>
  <si>
    <t>peleke-mistral-7b-instruct-v0.2_PD-1_14</t>
  </si>
  <si>
    <t>peleke-mistral-7b-instruct-v0.2_PD-1_15</t>
  </si>
  <si>
    <t>peleke-mistral-7b-instruct-v0.2_PD-1_16</t>
  </si>
  <si>
    <t>peleke-mistral-7b-instruct-v0.2_PD-1_17</t>
  </si>
  <si>
    <t>peleke-mistral-7b-instruct-v0.2_PD-1_18</t>
  </si>
  <si>
    <t>peleke-mistral-7b-instruct-v0.2_PD-1_19</t>
  </si>
  <si>
    <t>peleke-mistral-7b-instruct-v0.2_PD-1_20</t>
  </si>
  <si>
    <t>peleke-mistral-7b-instruct-v0.2_PD-1_21</t>
  </si>
  <si>
    <t>peleke-mistral-7b-instruct-v0.2_PD-1_22</t>
  </si>
  <si>
    <t>peleke-mistral-7b-instruct-v0.2_PD-1_23</t>
  </si>
  <si>
    <t>peleke-mistral-7b-instruct-v0.2_PD-1_24</t>
  </si>
  <si>
    <t>peleke-mistral-7b-instruct-v0.2_PD-1_25</t>
  </si>
  <si>
    <t>peleke-mistral-7b-instruct-v0.2_PD-1_26</t>
  </si>
  <si>
    <t>peleke-mistral-7b-instruct-v0.2_PD-1_27</t>
  </si>
  <si>
    <t>peleke-mistral-7b-instruct-v0.2_PD-1_28</t>
  </si>
  <si>
    <t>peleke-mistral-7b-instruct-v0.2_PD-1_29</t>
  </si>
  <si>
    <t>peleke-mistral-7b-instruct-v0.2_PD-1_30</t>
  </si>
  <si>
    <t>peleke-mistral-7b-instruct-v0.2_PD-1_31</t>
  </si>
  <si>
    <t>peleke-mistral-7b-instruct-v0.2_PD-1_32</t>
  </si>
  <si>
    <t>peleke-mistral-7b-instruct-v0.2_PD-1_33</t>
  </si>
  <si>
    <t>peleke-mistral-7b-instruct-v0.2_PD-1_34</t>
  </si>
  <si>
    <t>peleke-mistral-7b-instruct-v0.2_PD-1_35</t>
  </si>
  <si>
    <t>peleke-mistral-7b-instruct-v0.2_PD-1_36</t>
  </si>
  <si>
    <t>peleke-mistral-7b-instruct-v0.2_PD-1_37</t>
  </si>
  <si>
    <t>peleke-mistral-7b-instruct-v0.2_PD-1_38</t>
  </si>
  <si>
    <t>peleke-mistral-7b-instruct-v0.2_PD-1_39</t>
  </si>
  <si>
    <t>peleke-mistral-7b-instruct-v0.2_PD-1_40</t>
  </si>
  <si>
    <t>peleke-mistral-7b-instruct-v0.2_PD-1_41</t>
  </si>
  <si>
    <t>peleke-mistral-7b-instruct-v0.2_PD-1_42</t>
  </si>
  <si>
    <t>peleke-mistral-7b-instruct-v0.2_PD-1_43</t>
  </si>
  <si>
    <t>peleke-mistral-7b-instruct-v0.2_PD-1_44</t>
  </si>
  <si>
    <t>peleke-mistral-7b-instruct-v0.2_PD-1_45</t>
  </si>
  <si>
    <t>peleke-mistral-7b-instruct-v0.2_PD-1_46</t>
  </si>
  <si>
    <t>peleke-mistral-7b-instruct-v0.2_PD-1_47</t>
  </si>
  <si>
    <t>peleke-mistral-7b-instruct-v0.2_PD-1_48</t>
  </si>
  <si>
    <t>peleke-mistral-7b-instruct-v0.2_PD-1_49</t>
  </si>
  <si>
    <t>peleke-mistral-7b-instruct-v0.2_PD-1_50</t>
  </si>
  <si>
    <t>CNN_H_ge50pct</t>
  </si>
  <si>
    <t>CNN_P_ge50pct</t>
  </si>
  <si>
    <t>antigen_id</t>
  </si>
  <si>
    <t>model</t>
  </si>
  <si>
    <t>BHRF1</t>
  </si>
  <si>
    <t>peleke-phi-4</t>
  </si>
  <si>
    <t>EGFR</t>
  </si>
  <si>
    <t>IL-7Ra</t>
  </si>
  <si>
    <t>MBP</t>
  </si>
  <si>
    <t>PD-L1</t>
  </si>
  <si>
    <t>BBF-14</t>
  </si>
  <si>
    <t>PD-1</t>
  </si>
  <si>
    <t>peleke-llama-3.1-8b-instruct</t>
  </si>
  <si>
    <t>peleke-mistral-7b-instruct-v0.2</t>
  </si>
  <si>
    <t>Row Labels</t>
  </si>
  <si>
    <t>Grand Total</t>
  </si>
  <si>
    <t>Column Labels</t>
  </si>
  <si>
    <t>Sum of CNN_P_ge50pct</t>
  </si>
  <si>
    <t>Total Sum of CNN_H_ge50pct</t>
  </si>
  <si>
    <t>Total Sum of CNN_P_ge50pct</t>
  </si>
  <si>
    <t>Sum of CNN_H_ge50pct</t>
  </si>
  <si>
    <t>CNN_L_ge50pct</t>
  </si>
  <si>
    <t>Total Sum of CNN_L_ge50pct</t>
  </si>
  <si>
    <t>Sum of CNN_L_ge50pct</t>
  </si>
  <si>
    <t>Total Count of seq_id</t>
  </si>
  <si>
    <t>Count of seq_id</t>
  </si>
  <si>
    <t>Antigen</t>
  </si>
  <si>
    <t>Overall</t>
  </si>
  <si>
    <t>Paired</t>
  </si>
  <si>
    <t>H Chain</t>
  </si>
  <si>
    <t>L Chain</t>
  </si>
  <si>
    <t>L chain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</si>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</sst>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by Ford" refreshedDate="45924.663995370371" createdVersion="8" refreshedVersion="8" minRefreshableVersion="3" recordCount="1050" xr:uid="{B0E1FA80-D7A7-1043-987D-871783DEEAD8}">
  <cacheSource type="worksheet">
    <worksheetSource ref="A1:M1051" sheet="generated_antigen_seqs_Humatch_"/>
  </cacheSource>
  <cacheFields count="13">
    <cacheField name="seq_id" numFmtId="0">
      <sharedItems count="1050">
        <s v="peleke-phi-4_BHRF1_01"/>
        <s v="peleke-phi-4_BHRF1_02"/>
        <s v="peleke-phi-4_BHRF1_03"/>
        <s v="peleke-phi-4_BHRF1_04"/>
        <s v="peleke-phi-4_BHRF1_05"/>
        <s v="peleke-phi-4_BHRF1_06"/>
        <s v="peleke-phi-4_BHRF1_07"/>
        <s v="peleke-phi-4_BHRF1_08"/>
        <s v="peleke-phi-4_BHRF1_09"/>
        <s v="peleke-phi-4_BHRF1_10"/>
        <s v="peleke-phi-4_BHRF1_11"/>
        <s v="peleke-phi-4_BHRF1_12"/>
        <s v="peleke-phi-4_BHRF1_13"/>
        <s v="peleke-phi-4_BHRF1_14"/>
        <s v="peleke-phi-4_BHRF1_15"/>
        <s v="peleke-phi-4_BHRF1_16"/>
        <s v="peleke-phi-4_BHRF1_17"/>
        <s v="peleke-phi-4_BHRF1_18"/>
        <s v="peleke-phi-4_BHRF1_19"/>
        <s v="peleke-phi-4_BHRF1_20"/>
        <s v="peleke-phi-4_BHRF1_21"/>
        <s v="peleke-phi-4_BHRF1_22"/>
        <s v="peleke-phi-4_BHRF1_23"/>
        <s v="peleke-phi-4_BHRF1_24"/>
        <s v="peleke-phi-4_BHRF1_25"/>
        <s v="peleke-phi-4_BHRF1_26"/>
        <s v="peleke-phi-4_BHRF1_27"/>
        <s v="peleke-phi-4_BHRF1_28"/>
        <s v="peleke-phi-4_BHRF1_29"/>
        <s v="peleke-phi-4_BHRF1_30"/>
        <s v="peleke-phi-4_BHRF1_31"/>
        <s v="peleke-phi-4_BHRF1_32"/>
        <s v="peleke-phi-4_BHRF1_33"/>
        <s v="peleke-phi-4_BHRF1_34"/>
        <s v="peleke-phi-4_BHRF1_35"/>
        <s v="peleke-phi-4_BHRF1_36"/>
        <s v="peleke-phi-4_BHRF1_37"/>
        <s v="peleke-phi-4_BHRF1_38"/>
        <s v="peleke-phi-4_BHRF1_39"/>
        <s v="peleke-phi-4_BHRF1_40"/>
        <s v="peleke-phi-4_BHRF1_41"/>
        <s v="peleke-phi-4_BHRF1_42"/>
        <s v="peleke-phi-4_BHRF1_43"/>
        <s v="peleke-phi-4_BHRF1_44"/>
        <s v="peleke-phi-4_BHRF1_45"/>
        <s v="peleke-phi-4_BHRF1_46"/>
        <s v="peleke-phi-4_BHRF1_47"/>
        <s v="peleke-phi-4_BHRF1_48"/>
        <s v="peleke-phi-4_BHRF1_49"/>
        <s v="peleke-phi-4_BHRF1_50"/>
        <s v="peleke-phi-4_EGFR_01"/>
        <s v="peleke-phi-4_EGFR_02"/>
        <s v="peleke-phi-4_EGFR_03"/>
        <s v="peleke-phi-4_EGFR_04"/>
        <s v="peleke-phi-4_EGFR_05"/>
        <s v="peleke-phi-4_EGFR_06"/>
        <s v="peleke-phi-4_EGFR_07"/>
        <s v="peleke-phi-4_EGFR_08"/>
        <s v="peleke-phi-4_EGFR_09"/>
        <s v="peleke-phi-4_EGFR_10"/>
        <s v="peleke-phi-4_EGFR_11"/>
        <s v="peleke-phi-4_EGFR_12"/>
        <s v="peleke-phi-4_EGFR_13"/>
        <s v="peleke-phi-4_EGFR_14"/>
        <s v="peleke-phi-4_EGFR_15"/>
        <s v="peleke-phi-4_EGFR_16"/>
        <s v="peleke-phi-4_EGFR_17"/>
        <s v="peleke-phi-4_EGFR_18"/>
        <s v="peleke-phi-4_EGFR_19"/>
        <s v="peleke-phi-4_EGFR_20"/>
        <s v="peleke-phi-4_EGFR_21"/>
        <s v="peleke-phi-4_EGFR_22"/>
        <s v="peleke-phi-4_EGFR_23"/>
        <s v="peleke-phi-4_EGFR_24"/>
        <s v="peleke-phi-4_EGFR_25"/>
        <s v="peleke-phi-4_EGFR_26"/>
        <s v="peleke-phi-4_EGFR_27"/>
        <s v="peleke-phi-4_EGFR_28"/>
        <s v="peleke-phi-4_EGFR_29"/>
        <s v="peleke-phi-4_EGFR_30"/>
        <s v="peleke-phi-4_EGFR_31"/>
        <s v="peleke-phi-4_EGFR_32"/>
        <s v="peleke-phi-4_EGFR_33"/>
        <s v="peleke-phi-4_EGFR_34"/>
        <s v="peleke-phi-4_EGFR_35"/>
        <s v="peleke-phi-4_EGFR_36"/>
        <s v="peleke-phi-4_EGFR_37"/>
        <s v="peleke-phi-4_EGFR_38"/>
        <s v="peleke-phi-4_EGFR_39"/>
        <s v="peleke-phi-4_EGFR_40"/>
        <s v="peleke-phi-4_EGFR_41"/>
        <s v="peleke-phi-4_EGFR_42"/>
        <s v="peleke-phi-4_EGFR_43"/>
        <s v="peleke-phi-4_EGFR_44"/>
        <s v="peleke-phi-4_EGFR_45"/>
        <s v="peleke-phi-4_EGFR_46"/>
        <s v="peleke-phi-4_EGFR_47"/>
        <s v="peleke-phi-4_EGFR_48"/>
        <s v="peleke-phi-4_EGFR_49"/>
        <s v="peleke-phi-4_EGFR_50"/>
        <s v="peleke-phi-4_IL-7Ra_01"/>
        <s v="peleke-phi-4_IL-7Ra_02"/>
        <s v="peleke-phi-4_IL-7Ra_03"/>
        <s v="peleke-phi-4_IL-7Ra_04"/>
        <s v="peleke-phi-4_IL-7Ra_05"/>
        <s v="peleke-phi-4_IL-7Ra_06"/>
        <s v="peleke-phi-4_IL-7Ra_07"/>
        <s v="peleke-phi-4_IL-7Ra_08"/>
        <s v="peleke-phi-4_IL-7Ra_09"/>
        <s v="peleke-phi-4_IL-7Ra_10"/>
        <s v="peleke-phi-4_IL-7Ra_11"/>
        <s v="peleke-phi-4_IL-7Ra_12"/>
        <s v="peleke-phi-4_IL-7Ra_13"/>
        <s v="peleke-phi-4_IL-7Ra_14"/>
        <s v="peleke-phi-4_IL-7Ra_15"/>
        <s v="peleke-phi-4_IL-7Ra_16"/>
        <s v="peleke-phi-4_IL-7Ra_17"/>
        <s v="peleke-phi-4_IL-7Ra_18"/>
        <s v="peleke-phi-4_IL-7Ra_19"/>
        <s v="peleke-phi-4_IL-7Ra_20"/>
        <s v="peleke-phi-4_IL-7Ra_21"/>
        <s v="peleke-phi-4_IL-7Ra_22"/>
        <s v="peleke-phi-4_IL-7Ra_23"/>
        <s v="peleke-phi-4_IL-7Ra_24"/>
        <s v="peleke-phi-4_IL-7Ra_25"/>
        <s v="peleke-phi-4_IL-7Ra_26"/>
        <s v="peleke-phi-4_IL-7Ra_27"/>
        <s v="peleke-phi-4_IL-7Ra_28"/>
        <s v="peleke-phi-4_IL-7Ra_29"/>
        <s v="peleke-phi-4_IL-7Ra_30"/>
        <s v="peleke-phi-4_IL-7Ra_31"/>
        <s v="peleke-phi-4_IL-7Ra_32"/>
        <s v="peleke-phi-4_IL-7Ra_33"/>
        <s v="peleke-phi-4_IL-7Ra_34"/>
        <s v="peleke-phi-4_IL-7Ra_35"/>
        <s v="peleke-phi-4_IL-7Ra_36"/>
        <s v="peleke-phi-4_IL-7Ra_37"/>
        <s v="peleke-phi-4_IL-7Ra_38"/>
        <s v="peleke-phi-4_IL-7Ra_39"/>
        <s v="peleke-phi-4_IL-7Ra_40"/>
        <s v="peleke-phi-4_IL-7Ra_41"/>
        <s v="peleke-phi-4_IL-7Ra_42"/>
        <s v="peleke-phi-4_IL-7Ra_43"/>
        <s v="peleke-phi-4_IL-7Ra_44"/>
        <s v="peleke-phi-4_IL-7Ra_45"/>
        <s v="peleke-phi-4_IL-7Ra_46"/>
        <s v="peleke-phi-4_IL-7Ra_47"/>
        <s v="peleke-phi-4_IL-7Ra_48"/>
        <s v="peleke-phi-4_IL-7Ra_49"/>
        <s v="peleke-phi-4_IL-7Ra_50"/>
        <s v="peleke-phi-4_MBP_01"/>
        <s v="peleke-phi-4_MBP_02"/>
        <s v="peleke-phi-4_MBP_03"/>
        <s v="peleke-phi-4_MBP_04"/>
        <s v="peleke-phi-4_MBP_05"/>
        <s v="peleke-phi-4_MBP_06"/>
        <s v="peleke-phi-4_MBP_07"/>
        <s v="peleke-phi-4_MBP_08"/>
        <s v="peleke-phi-4_MBP_09"/>
        <s v="peleke-phi-4_MBP_10"/>
        <s v="peleke-phi-4_MBP_11"/>
        <s v="peleke-phi-4_MBP_12"/>
        <s v="peleke-phi-4_MBP_13"/>
        <s v="peleke-phi-4_MBP_14"/>
        <s v="peleke-phi-4_MBP_15"/>
        <s v="peleke-phi-4_MBP_16"/>
        <s v="peleke-phi-4_MBP_17"/>
        <s v="peleke-phi-4_MBP_18"/>
        <s v="peleke-phi-4_MBP_19"/>
        <s v="peleke-phi-4_MBP_20"/>
        <s v="peleke-phi-4_MBP_21"/>
        <s v="peleke-phi-4_MBP_22"/>
        <s v="peleke-phi-4_MBP_23"/>
        <s v="peleke-phi-4_MBP_24"/>
        <s v="peleke-phi-4_MBP_25"/>
        <s v="peleke-phi-4_MBP_26"/>
        <s v="peleke-phi-4_MBP_27"/>
        <s v="peleke-phi-4_MBP_28"/>
        <s v="peleke-phi-4_MBP_29"/>
        <s v="peleke-phi-4_MBP_30"/>
        <s v="peleke-phi-4_MBP_31"/>
        <s v="peleke-phi-4_MBP_32"/>
        <s v="peleke-phi-4_MBP_33"/>
        <s v="peleke-phi-4_MBP_34"/>
        <s v="peleke-phi-4_MBP_35"/>
        <s v="peleke-phi-4_MBP_36"/>
        <s v="peleke-phi-4_MBP_37"/>
        <s v="peleke-phi-4_MBP_38"/>
        <s v="peleke-phi-4_MBP_39"/>
        <s v="peleke-phi-4_MBP_40"/>
        <s v="peleke-phi-4_MBP_41"/>
        <s v="peleke-phi-4_MBP_42"/>
        <s v="peleke-phi-4_MBP_43"/>
        <s v="peleke-phi-4_MBP_44"/>
        <s v="peleke-phi-4_MBP_45"/>
        <s v="peleke-phi-4_MBP_46"/>
        <s v="peleke-phi-4_MBP_47"/>
        <s v="peleke-phi-4_MBP_48"/>
        <s v="peleke-phi-4_MBP_49"/>
        <s v="peleke-phi-4_MBP_50"/>
        <s v="peleke-phi-4_PD-L1_01"/>
        <s v="peleke-phi-4_PD-L1_02"/>
        <s v="peleke-phi-4_PD-L1_03"/>
        <s v="peleke-phi-4_PD-L1_04"/>
        <s v="peleke-phi-4_PD-L1_05"/>
        <s v="peleke-phi-4_PD-L1_06"/>
        <s v="peleke-phi-4_PD-L1_07"/>
        <s v="peleke-phi-4_PD-L1_08"/>
        <s v="peleke-phi-4_PD-L1_09"/>
        <s v="peleke-phi-4_PD-L1_10"/>
        <s v="peleke-phi-4_PD-L1_11"/>
        <s v="peleke-phi-4_PD-L1_12"/>
        <s v="peleke-phi-4_PD-L1_13"/>
        <s v="peleke-phi-4_PD-L1_14"/>
        <s v="peleke-phi-4_PD-L1_15"/>
        <s v="peleke-phi-4_PD-L1_16"/>
        <s v="peleke-phi-4_PD-L1_17"/>
        <s v="peleke-phi-4_PD-L1_18"/>
        <s v="peleke-phi-4_PD-L1_19"/>
        <s v="peleke-phi-4_PD-L1_20"/>
        <s v="peleke-phi-4_PD-L1_21"/>
        <s v="peleke-phi-4_PD-L1_22"/>
        <s v="peleke-phi-4_PD-L1_23"/>
        <s v="peleke-phi-4_PD-L1_24"/>
        <s v="peleke-phi-4_PD-L1_25"/>
        <s v="peleke-phi-4_PD-L1_26"/>
        <s v="peleke-phi-4_PD-L1_27"/>
        <s v="peleke-phi-4_PD-L1_28"/>
        <s v="peleke-phi-4_PD-L1_29"/>
        <s v="peleke-phi-4_PD-L1_30"/>
        <s v="peleke-phi-4_PD-L1_31"/>
        <s v="peleke-phi-4_PD-L1_32"/>
        <s v="peleke-phi-4_PD-L1_33"/>
        <s v="peleke-phi-4_PD-L1_34"/>
        <s v="peleke-phi-4_PD-L1_35"/>
        <s v="peleke-phi-4_PD-L1_36"/>
        <s v="peleke-phi-4_PD-L1_37"/>
        <s v="peleke-phi-4_PD-L1_38"/>
        <s v="peleke-phi-4_PD-L1_39"/>
        <s v="peleke-phi-4_PD-L1_40"/>
        <s v="peleke-phi-4_PD-L1_41"/>
        <s v="peleke-phi-4_PD-L1_42"/>
        <s v="peleke-phi-4_PD-L1_43"/>
        <s v="peleke-phi-4_PD-L1_44"/>
        <s v="peleke-phi-4_PD-L1_45"/>
        <s v="peleke-phi-4_PD-L1_46"/>
        <s v="peleke-phi-4_PD-L1_47"/>
        <s v="peleke-phi-4_PD-L1_48"/>
        <s v="peleke-phi-4_PD-L1_49"/>
        <s v="peleke-phi-4_PD-L1_50"/>
        <s v="peleke-phi-4_BBF-14_01"/>
        <s v="peleke-phi-4_BBF-14_02"/>
        <s v="peleke-phi-4_BBF-14_03"/>
        <s v="peleke-phi-4_BBF-14_04"/>
        <s v="peleke-phi-4_BBF-14_05"/>
        <s v="peleke-phi-4_BBF-14_06"/>
        <s v="peleke-phi-4_BBF-14_07"/>
        <s v="peleke-phi-4_BBF-14_08"/>
        <s v="peleke-phi-4_BBF-14_09"/>
        <s v="peleke-phi-4_BBF-14_10"/>
        <s v="peleke-phi-4_BBF-14_11"/>
        <s v="peleke-phi-4_BBF-14_12"/>
        <s v="peleke-phi-4_BBF-14_13"/>
        <s v="peleke-phi-4_BBF-14_14"/>
        <s v="peleke-phi-4_BBF-14_15"/>
        <s v="peleke-phi-4_BBF-14_16"/>
        <s v="peleke-phi-4_BBF-14_17"/>
        <s v="peleke-phi-4_BBF-14_18"/>
        <s v="peleke-phi-4_BBF-14_19"/>
        <s v="peleke-phi-4_BBF-14_20"/>
        <s v="peleke-phi-4_BBF-14_21"/>
        <s v="peleke-phi-4_BBF-14_22"/>
        <s v="peleke-phi-4_BBF-14_23"/>
        <s v="peleke-phi-4_BBF-14_24"/>
        <s v="peleke-phi-4_BBF-14_25"/>
        <s v="peleke-phi-4_BBF-14_26"/>
        <s v="peleke-phi-4_BBF-14_27"/>
        <s v="peleke-phi-4_BBF-14_28"/>
        <s v="peleke-phi-4_BBF-14_29"/>
        <s v="peleke-phi-4_BBF-14_30"/>
        <s v="peleke-phi-4_BBF-14_31"/>
        <s v="peleke-phi-4_BBF-14_32"/>
        <s v="peleke-phi-4_BBF-14_33"/>
        <s v="peleke-phi-4_BBF-14_34"/>
        <s v="peleke-phi-4_BBF-14_35"/>
        <s v="peleke-phi-4_BBF-14_36"/>
        <s v="peleke-phi-4_BBF-14_37"/>
        <s v="peleke-phi-4_BBF-14_38"/>
        <s v="peleke-phi-4_BBF-14_39"/>
        <s v="peleke-phi-4_BBF-14_40"/>
        <s v="peleke-phi-4_BBF-14_41"/>
        <s v="peleke-phi-4_BBF-14_42"/>
        <s v="peleke-phi-4_BBF-14_43"/>
        <s v="peleke-phi-4_BBF-14_44"/>
        <s v="peleke-phi-4_BBF-14_45"/>
        <s v="peleke-phi-4_BBF-14_46"/>
        <s v="peleke-phi-4_BBF-14_47"/>
        <s v="peleke-phi-4_BBF-14_48"/>
        <s v="peleke-phi-4_BBF-14_49"/>
        <s v="peleke-phi-4_BBF-14_50"/>
        <s v="peleke-phi-4_PD-1_01"/>
        <s v="peleke-phi-4_PD-1_02"/>
        <s v="peleke-phi-4_PD-1_03"/>
        <s v="peleke-phi-4_PD-1_04"/>
        <s v="peleke-phi-4_PD-1_05"/>
        <s v="peleke-phi-4_PD-1_06"/>
        <s v="peleke-phi-4_PD-1_07"/>
        <s v="peleke-phi-4_PD-1_08"/>
        <s v="peleke-phi-4_PD-1_09"/>
        <s v="peleke-phi-4_PD-1_10"/>
        <s v="peleke-phi-4_PD-1_11"/>
        <s v="peleke-phi-4_PD-1_12"/>
        <s v="peleke-phi-4_PD-1_13"/>
        <s v="peleke-phi-4_PD-1_14"/>
        <s v="peleke-phi-4_PD-1_15"/>
        <s v="peleke-phi-4_PD-1_16"/>
        <s v="peleke-phi-4_PD-1_17"/>
        <s v="peleke-phi-4_PD-1_18"/>
        <s v="peleke-phi-4_PD-1_19"/>
        <s v="peleke-phi-4_PD-1_20"/>
        <s v="peleke-phi-4_PD-1_21"/>
        <s v="peleke-phi-4_PD-1_22"/>
        <s v="peleke-phi-4_PD-1_23"/>
        <s v="peleke-phi-4_PD-1_24"/>
        <s v="peleke-phi-4_PD-1_25"/>
        <s v="peleke-phi-4_PD-1_26"/>
        <s v="peleke-phi-4_PD-1_27"/>
        <s v="peleke-phi-4_PD-1_28"/>
        <s v="peleke-phi-4_PD-1_29"/>
        <s v="peleke-phi-4_PD-1_30"/>
        <s v="peleke-phi-4_PD-1_31"/>
        <s v="peleke-phi-4_PD-1_32"/>
        <s v="peleke-phi-4_PD-1_33"/>
        <s v="peleke-phi-4_PD-1_34"/>
        <s v="peleke-phi-4_PD-1_35"/>
        <s v="peleke-phi-4_PD-1_36"/>
        <s v="peleke-phi-4_PD-1_37"/>
        <s v="peleke-phi-4_PD-1_38"/>
        <s v="peleke-phi-4_PD-1_39"/>
        <s v="peleke-phi-4_PD-1_40"/>
        <s v="peleke-phi-4_PD-1_41"/>
        <s v="peleke-phi-4_PD-1_42"/>
        <s v="peleke-phi-4_PD-1_43"/>
        <s v="peleke-phi-4_PD-1_44"/>
        <s v="peleke-phi-4_PD-1_45"/>
        <s v="peleke-phi-4_PD-1_46"/>
        <s v="peleke-phi-4_PD-1_47"/>
        <s v="peleke-phi-4_PD-1_48"/>
        <s v="peleke-phi-4_PD-1_49"/>
        <s v="peleke-phi-4_PD-1_50"/>
        <s v="peleke-llama-3.1-8b-instruct_BHRF1_01"/>
        <s v="peleke-llama-3.1-8b-instruct_BHRF1_02"/>
        <s v="peleke-llama-3.1-8b-instruct_BHRF1_03"/>
        <s v="peleke-llama-3.1-8b-instruct_BHRF1_04"/>
        <s v="peleke-llama-3.1-8b-instruct_BHRF1_05"/>
        <s v="peleke-llama-3.1-8b-instruct_BHRF1_06"/>
        <s v="peleke-llama-3.1-8b-instruct_BHRF1_07"/>
        <s v="peleke-llama-3.1-8b-instruct_BHRF1_08"/>
        <s v="peleke-llama-3.1-8b-instruct_BHRF1_09"/>
        <s v="peleke-llama-3.1-8b-instruct_BHRF1_10"/>
        <s v="peleke-llama-3.1-8b-instruct_BHRF1_11"/>
        <s v="peleke-llama-3.1-8b-instruct_BHRF1_12"/>
        <s v="peleke-llama-3.1-8b-instruct_BHRF1_13"/>
        <s v="peleke-llama-3.1-8b-instruct_BHRF1_14"/>
        <s v="peleke-llama-3.1-8b-instruct_BHRF1_15"/>
        <s v="peleke-llama-3.1-8b-instruct_BHRF1_16"/>
        <s v="peleke-llama-3.1-8b-instruct_BHRF1_17"/>
        <s v="peleke-llama-3.1-8b-instruct_BHRF1_18"/>
        <s v="peleke-llama-3.1-8b-instruct_BHRF1_19"/>
        <s v="peleke-llama-3.1-8b-instruct_BHRF1_20"/>
        <s v="peleke-llama-3.1-8b-instruct_BHRF1_21"/>
        <s v="peleke-llama-3.1-8b-instruct_BHRF1_22"/>
        <s v="peleke-llama-3.1-8b-instruct_BHRF1_23"/>
        <s v="peleke-llama-3.1-8b-instruct_BHRF1_24"/>
        <s v="peleke-llama-3.1-8b-instruct_BHRF1_25"/>
        <s v="peleke-llama-3.1-8b-instruct_BHRF1_26"/>
        <s v="peleke-llama-3.1-8b-instruct_BHRF1_27"/>
        <s v="peleke-llama-3.1-8b-instruct_BHRF1_28"/>
        <s v="peleke-llama-3.1-8b-instruct_BHRF1_29"/>
        <s v="peleke-llama-3.1-8b-instruct_BHRF1_30"/>
        <s v="peleke-llama-3.1-8b-instruct_BHRF1_31"/>
        <s v="peleke-llama-3.1-8b-instruct_BHRF1_32"/>
        <s v="peleke-llama-3.1-8b-instruct_BHRF1_33"/>
        <s v="peleke-llama-3.1-8b-instruct_BHRF1_34"/>
        <s v="peleke-llama-3.1-8b-instruct_BHRF1_35"/>
        <s v="peleke-llama-3.1-8b-instruct_BHRF1_36"/>
        <s v="peleke-llama-3.1-8b-instruct_BHRF1_37"/>
        <s v="peleke-llama-3.1-8b-instruct_BHRF1_38"/>
        <s v="peleke-llama-3.1-8b-instruct_BHRF1_39"/>
        <s v="peleke-llama-3.1-8b-instruct_BHRF1_40"/>
        <s v="peleke-llama-3.1-8b-instruct_BHRF1_41"/>
        <s v="peleke-llama-3.1-8b-instruct_BHRF1_42"/>
        <s v="peleke-llama-3.1-8b-instruct_BHRF1_43"/>
        <s v="peleke-llama-3.1-8b-instruct_BHRF1_44"/>
        <s v="peleke-llama-3.1-8b-instruct_BHRF1_45"/>
        <s v="peleke-llama-3.1-8b-instruct_BHRF1_46"/>
        <s v="peleke-llama-3.1-8b-instruct_BHRF1_47"/>
        <s v="peleke-llama-3.1-8b-instruct_BHRF1_48"/>
        <s v="peleke-llama-3.1-8b-instruct_BHRF1_49"/>
        <s v="peleke-llama-3.1-8b-instruct_BHRF1_50"/>
        <s v="peleke-llama-3.1-8b-instruct_EGFR_01"/>
        <s v="peleke-llama-3.1-8b-instruct_EGFR_02"/>
        <s v="peleke-llama-3.1-8b-instruct_EGFR_03"/>
        <s v="peleke-llama-3.1-8b-instruct_EGFR_04"/>
        <s v="peleke-llama-3.1-8b-instruct_EGFR_05"/>
        <s v="peleke-llama-3.1-8b-instruct_EGFR_06"/>
        <s v="peleke-llama-3.1-8b-instruct_EGFR_07"/>
        <s v="peleke-llama-3.1-8b-instruct_EGFR_08"/>
        <s v="peleke-llama-3.1-8b-instruct_EGFR_09"/>
        <s v="peleke-llama-3.1-8b-instruct_EGFR_10"/>
        <s v="peleke-llama-3.1-8b-instruct_EGFR_11"/>
        <s v="peleke-llama-3.1-8b-instruct_EGFR_12"/>
        <s v="peleke-llama-3.1-8b-instruct_EGFR_13"/>
        <s v="peleke-llama-3.1-8b-instruct_EGFR_14"/>
        <s v="peleke-llama-3.1-8b-instruct_EGFR_15"/>
        <s v="peleke-llama-3.1-8b-instruct_EGFR_16"/>
        <s v="peleke-llama-3.1-8b-instruct_EGFR_17"/>
        <s v="peleke-llama-3.1-8b-instruct_EGFR_18"/>
        <s v="peleke-llama-3.1-8b-instruct_EGFR_19"/>
        <s v="peleke-llama-3.1-8b-instruct_EGFR_20"/>
        <s v="peleke-llama-3.1-8b-instruct_EGFR_21"/>
        <s v="peleke-llama-3.1-8b-instruct_EGFR_22"/>
        <s v="peleke-llama-3.1-8b-instruct_EGFR_23"/>
        <s v="peleke-llama-3.1-8b-instruct_EGFR_24"/>
        <s v="peleke-llama-3.1-8b-instruct_EGFR_25"/>
        <s v="peleke-llama-3.1-8b-instruct_EGFR_26"/>
        <s v="peleke-llama-3.1-8b-instruct_EGFR_27"/>
        <s v="peleke-llama-3.1-8b-instruct_EGFR_28"/>
        <s v="peleke-llama-3.1-8b-instruct_EGFR_29"/>
        <s v="peleke-llama-3.1-8b-instruct_EGFR_30"/>
        <s v="peleke-llama-3.1-8b-instruct_EGFR_31"/>
        <s v="peleke-llama-3.1-8b-instruct_EGFR_32"/>
        <s v="peleke-llama-3.1-8b-instruct_EGFR_33"/>
        <s v="peleke-llama-3.1-8b-instruct_EGFR_34"/>
        <s v="peleke-llama-3.1-8b-instruct_EGFR_35"/>
        <s v="peleke-llama-3.1-8b-instruct_EGFR_36"/>
        <s v="peleke-llama-3.1-8b-instruct_EGFR_37"/>
        <s v="peleke-llama-3.1-8b-instruct_EGFR_38"/>
        <s v="peleke-llama-3.1-8b-instruct_EGFR_39"/>
        <s v="peleke-llama-3.1-8b-instruct_EGFR_40"/>
        <s v="peleke-llama-3.1-8b-instruct_EGFR_41"/>
        <s v="peleke-llama-3.1-8b-instruct_EGFR_42"/>
        <s v="peleke-llama-3.1-8b-instruct_EGFR_43"/>
        <s v="peleke-llama-3.1-8b-instruct_EGFR_44"/>
        <s v="peleke-llama-3.1-8b-instruct_EGFR_45"/>
        <s v="peleke-llama-3.1-8b-instruct_EGFR_46"/>
        <s v="peleke-llama-3.1-8b-instruct_EGFR_47"/>
        <s v="peleke-llama-3.1-8b-instruct_EGFR_48"/>
        <s v="peleke-llama-3.1-8b-instruct_EGFR_49"/>
        <s v="peleke-llama-3.1-8b-instruct_EGFR_50"/>
        <s v="peleke-llama-3.1-8b-instruct_IL-7Ra_01"/>
        <s v="peleke-llama-3.1-8b-instruct_IL-7Ra_02"/>
        <s v="peleke-llama-3.1-8b-instruct_IL-7Ra_03"/>
        <s v="peleke-llama-3.1-8b-instruct_IL-7Ra_04"/>
        <s v="peleke-llama-3.1-8b-instruct_IL-7Ra_05"/>
        <s v="peleke-llama-3.1-8b-instruct_IL-7Ra_06"/>
        <s v="peleke-llama-3.1-8b-instruct_IL-7Ra_07"/>
        <s v="peleke-llama-3.1-8b-instruct_IL-7Ra_08"/>
        <s v="peleke-llama-3.1-8b-instruct_IL-7Ra_09"/>
        <s v="peleke-llama-3.1-8b-instruct_IL-7Ra_10"/>
        <s v="peleke-llama-3.1-8b-instruct_IL-7Ra_11"/>
        <s v="peleke-llama-3.1-8b-instruct_IL-7Ra_12"/>
        <s v="peleke-llama-3.1-8b-instruct_IL-7Ra_13"/>
        <s v="peleke-llama-3.1-8b-instruct_IL-7Ra_14"/>
        <s v="peleke-llama-3.1-8b-instruct_IL-7Ra_15"/>
        <s v="peleke-llama-3.1-8b-instruct_IL-7Ra_16"/>
        <s v="peleke-llama-3.1-8b-instruct_IL-7Ra_17"/>
        <s v="peleke-llama-3.1-8b-instruct_IL-7Ra_18"/>
        <s v="peleke-llama-3.1-8b-instruct_IL-7Ra_19"/>
        <s v="peleke-llama-3.1-8b-instruct_IL-7Ra_20"/>
        <s v="peleke-llama-3.1-8b-instruct_IL-7Ra_21"/>
        <s v="peleke-llama-3.1-8b-instruct_IL-7Ra_22"/>
        <s v="peleke-llama-3.1-8b-instruct_IL-7Ra_23"/>
        <s v="peleke-llama-3.1-8b-instruct_IL-7Ra_24"/>
        <s v="peleke-llama-3.1-8b-instruct_IL-7Ra_25"/>
        <s v="peleke-llama-3.1-8b-instruct_IL-7Ra_26"/>
        <s v="peleke-llama-3.1-8b-instruct_IL-7Ra_27"/>
        <s v="peleke-llama-3.1-8b-instruct_IL-7Ra_28"/>
        <s v="peleke-llama-3.1-8b-instruct_IL-7Ra_29"/>
        <s v="peleke-llama-3.1-8b-instruct_IL-7Ra_30"/>
        <s v="peleke-llama-3.1-8b-instruct_IL-7Ra_31"/>
        <s v="peleke-llama-3.1-8b-instruct_IL-7Ra_32"/>
        <s v="peleke-llama-3.1-8b-instruct_IL-7Ra_33"/>
        <s v="peleke-llama-3.1-8b-instruct_IL-7Ra_34"/>
        <s v="peleke-llama-3.1-8b-instruct_IL-7Ra_35"/>
        <s v="peleke-llama-3.1-8b-instruct_IL-7Ra_36"/>
        <s v="peleke-llama-3.1-8b-instruct_IL-7Ra_37"/>
        <s v="peleke-llama-3.1-8b-instruct_IL-7Ra_38"/>
        <s v="peleke-llama-3.1-8b-instruct_IL-7Ra_39"/>
        <s v="peleke-llama-3.1-8b-instruct_IL-7Ra_40"/>
        <s v="peleke-llama-3.1-8b-instruct_IL-7Ra_41"/>
        <s v="peleke-llama-3.1-8b-instruct_IL-7Ra_42"/>
        <s v="peleke-llama-3.1-8b-instruct_IL-7Ra_43"/>
        <s v="peleke-llama-3.1-8b-instruct_IL-7Ra_44"/>
        <s v="peleke-llama-3.1-8b-instruct_IL-7Ra_45"/>
        <s v="peleke-llama-3.1-8b-instruct_IL-7Ra_46"/>
        <s v="peleke-llama-3.1-8b-instruct_IL-7Ra_47"/>
        <s v="peleke-llama-3.1-8b-instruct_IL-7Ra_48"/>
        <s v="peleke-llama-3.1-8b-instruct_IL-7Ra_49"/>
        <s v="peleke-llama-3.1-8b-instruct_IL-7Ra_50"/>
        <s v="peleke-llama-3.1-8b-instruct_MBP_01"/>
        <s v="peleke-llama-3.1-8b-instruct_MBP_02"/>
        <s v="peleke-llama-3.1-8b-instruct_MBP_03"/>
        <s v="peleke-llama-3.1-8b-instruct_MBP_04"/>
        <s v="peleke-llama-3.1-8b-instruct_MBP_05"/>
        <s v="peleke-llama-3.1-8b-instruct_MBP_06"/>
        <s v="peleke-llama-3.1-8b-instruct_MBP_07"/>
        <s v="peleke-llama-3.1-8b-instruct_MBP_08"/>
        <s v="peleke-llama-3.1-8b-instruct_MBP_09"/>
        <s v="peleke-llama-3.1-8b-instruct_MBP_10"/>
        <s v="peleke-llama-3.1-8b-instruct_MBP_11"/>
        <s v="peleke-llama-3.1-8b-instruct_MBP_12"/>
        <s v="peleke-llama-3.1-8b-instruct_MBP_13"/>
        <s v="peleke-llama-3.1-8b-instruct_MBP_14"/>
        <s v="peleke-llama-3.1-8b-instruct_MBP_15"/>
        <s v="peleke-llama-3.1-8b-instruct_MBP_16"/>
        <s v="peleke-llama-3.1-8b-instruct_MBP_17"/>
        <s v="peleke-llama-3.1-8b-instruct_MBP_18"/>
        <s v="peleke-llama-3.1-8b-instruct_MBP_19"/>
        <s v="peleke-llama-3.1-8b-instruct_MBP_20"/>
        <s v="peleke-llama-3.1-8b-instruct_MBP_21"/>
        <s v="peleke-llama-3.1-8b-instruct_MBP_22"/>
        <s v="peleke-llama-3.1-8b-instruct_MBP_23"/>
        <s v="peleke-llama-3.1-8b-instruct_MBP_24"/>
        <s v="peleke-llama-3.1-8b-instruct_MBP_25"/>
        <s v="peleke-llama-3.1-8b-instruct_MBP_26"/>
        <s v="peleke-llama-3.1-8b-instruct_MBP_27"/>
        <s v="peleke-llama-3.1-8b-instruct_MBP_28"/>
        <s v="peleke-llama-3.1-8b-instruct_MBP_29"/>
        <s v="peleke-llama-3.1-8b-instruct_MBP_30"/>
        <s v="peleke-llama-3.1-8b-instruct_MBP_31"/>
        <s v="peleke-llama-3.1-8b-instruct_MBP_32"/>
        <s v="peleke-llama-3.1-8b-instruct_MBP_33"/>
        <s v="peleke-llama-3.1-8b-instruct_MBP_34"/>
        <s v="peleke-llama-3.1-8b-instruct_MBP_35"/>
        <s v="peleke-llama-3.1-8b-instruct_MBP_36"/>
        <s v="peleke-llama-3.1-8b-instruct_MBP_37"/>
        <s v="peleke-llama-3.1-8b-instruct_MBP_38"/>
        <s v="peleke-llama-3.1-8b-instruct_MBP_39"/>
        <s v="peleke-llama-3.1-8b-instruct_MBP_40"/>
        <s v="peleke-llama-3.1-8b-instruct_MBP_41"/>
        <s v="peleke-llama-3.1-8b-instruct_MBP_42"/>
        <s v="peleke-llama-3.1-8b-instruct_MBP_43"/>
        <s v="peleke-llama-3.1-8b-instruct_MBP_44"/>
        <s v="peleke-llama-3.1-8b-instruct_MBP_45"/>
        <s v="peleke-llama-3.1-8b-instruct_MBP_46"/>
        <s v="peleke-llama-3.1-8b-instruct_MBP_47"/>
        <s v="peleke-llama-3.1-8b-instruct_MBP_48"/>
        <s v="peleke-llama-3.1-8b-instruct_MBP_49"/>
        <s v="peleke-llama-3.1-8b-instruct_MBP_50"/>
        <s v="peleke-llama-3.1-8b-instruct_PD-L1_01"/>
        <s v="peleke-llama-3.1-8b-instruct_PD-L1_02"/>
        <s v="peleke-llama-3.1-8b-instruct_PD-L1_03"/>
        <s v="peleke-llama-3.1-8b-instruct_PD-L1_04"/>
        <s v="peleke-llama-3.1-8b-instruct_PD-L1_05"/>
        <s v="peleke-llama-3.1-8b-instruct_PD-L1_06"/>
        <s v="peleke-llama-3.1-8b-instruct_PD-L1_07"/>
        <s v="peleke-llama-3.1-8b-instruct_PD-L1_08"/>
        <s v="peleke-llama-3.1-8b-instruct_PD-L1_09"/>
        <s v="peleke-llama-3.1-8b-instruct_PD-L1_10"/>
        <s v="peleke-llama-3.1-8b-instruct_PD-L1_11"/>
        <s v="peleke-llama-3.1-8b-instruct_PD-L1_12"/>
        <s v="peleke-llama-3.1-8b-instruct_PD-L1_13"/>
        <s v="peleke-llama-3.1-8b-instruct_PD-L1_14"/>
        <s v="peleke-llama-3.1-8b-instruct_PD-L1_15"/>
        <s v="peleke-llama-3.1-8b-instruct_PD-L1_16"/>
        <s v="peleke-llama-3.1-8b-instruct_PD-L1_17"/>
        <s v="peleke-llama-3.1-8b-instruct_PD-L1_18"/>
        <s v="peleke-llama-3.1-8b-instruct_PD-L1_19"/>
        <s v="peleke-llama-3.1-8b-instruct_PD-L1_20"/>
        <s v="peleke-llama-3.1-8b-instruct_PD-L1_21"/>
        <s v="peleke-llama-3.1-8b-instruct_PD-L1_22"/>
        <s v="peleke-llama-3.1-8b-instruct_PD-L1_23"/>
        <s v="peleke-llama-3.1-8b-instruct_PD-L1_24"/>
        <s v="peleke-llama-3.1-8b-instruct_PD-L1_25"/>
        <s v="peleke-llama-3.1-8b-instruct_PD-L1_26"/>
        <s v="peleke-llama-3.1-8b-instruct_PD-L1_27"/>
        <s v="peleke-llama-3.1-8b-instruct_PD-L1_28"/>
        <s v="peleke-llama-3.1-8b-instruct_PD-L1_29"/>
        <s v="peleke-llama-3.1-8b-instruct_PD-L1_30"/>
        <s v="peleke-llama-3.1-8b-instruct_PD-L1_31"/>
        <s v="peleke-llama-3.1-8b-instruct_PD-L1_32"/>
        <s v="peleke-llama-3.1-8b-instruct_PD-L1_33"/>
        <s v="peleke-llama-3.1-8b-instruct_PD-L1_34"/>
        <s v="peleke-llama-3.1-8b-instruct_PD-L1_35"/>
        <s v="peleke-llama-3.1-8b-instruct_PD-L1_36"/>
        <s v="peleke-llama-3.1-8b-instruct_PD-L1_37"/>
        <s v="peleke-llama-3.1-8b-instruct_PD-L1_38"/>
        <s v="peleke-llama-3.1-8b-instruct_PD-L1_39"/>
        <s v="peleke-llama-3.1-8b-instruct_PD-L1_40"/>
        <s v="peleke-llama-3.1-8b-instruct_PD-L1_41"/>
        <s v="peleke-llama-3.1-8b-instruct_PD-L1_42"/>
        <s v="peleke-llama-3.1-8b-instruct_PD-L1_43"/>
        <s v="peleke-llama-3.1-8b-instruct_PD-L1_44"/>
        <s v="peleke-llama-3.1-8b-instruct_PD-L1_45"/>
        <s v="peleke-llama-3.1-8b-instruct_PD-L1_46"/>
        <s v="peleke-llama-3.1-8b-instruct_PD-L1_47"/>
        <s v="peleke-llama-3.1-8b-instruct_PD-L1_48"/>
        <s v="peleke-llama-3.1-8b-instruct_PD-L1_49"/>
        <s v="peleke-llama-3.1-8b-instruct_PD-L1_50"/>
        <s v="peleke-llama-3.1-8b-instruct_BBF-14_01"/>
        <s v="peleke-llama-3.1-8b-instruct_BBF-14_02"/>
        <s v="peleke-llama-3.1-8b-instruct_BBF-14_03"/>
        <s v="peleke-llama-3.1-8b-instruct_BBF-14_04"/>
        <s v="peleke-llama-3.1-8b-instruct_BBF-14_05"/>
        <s v="peleke-llama-3.1-8b-instruct_BBF-14_06"/>
        <s v="peleke-llama-3.1-8b-instruct_BBF-14_07"/>
        <s v="peleke-llama-3.1-8b-instruct_BBF-14_08"/>
        <s v="peleke-llama-3.1-8b-instruct_BBF-14_09"/>
        <s v="peleke-llama-3.1-8b-instruct_BBF-14_10"/>
        <s v="peleke-llama-3.1-8b-instruct_BBF-14_11"/>
        <s v="peleke-llama-3.1-8b-instruct_BBF-14_12"/>
        <s v="peleke-llama-3.1-8b-instruct_BBF-14_13"/>
        <s v="peleke-llama-3.1-8b-instruct_BBF-14_14"/>
        <s v="peleke-llama-3.1-8b-instruct_BBF-14_15"/>
        <s v="peleke-llama-3.1-8b-instruct_BBF-14_16"/>
        <s v="peleke-llama-3.1-8b-instruct_BBF-14_17"/>
        <s v="peleke-llama-3.1-8b-instruct_BBF-14_18"/>
        <s v="peleke-llama-3.1-8b-instruct_BBF-14_19"/>
        <s v="peleke-llama-3.1-8b-instruct_BBF-14_20"/>
        <s v="peleke-llama-3.1-8b-instruct_BBF-14_21"/>
        <s v="peleke-llama-3.1-8b-instruct_BBF-14_22"/>
        <s v="peleke-llama-3.1-8b-instruct_BBF-14_23"/>
        <s v="peleke-llama-3.1-8b-instruct_BBF-14_24"/>
        <s v="peleke-llama-3.1-8b-instruct_BBF-14_25"/>
        <s v="peleke-llama-3.1-8b-instruct_BBF-14_26"/>
        <s v="peleke-llama-3.1-8b-instruct_BBF-14_27"/>
        <s v="peleke-llama-3.1-8b-instruct_BBF-14_28"/>
        <s v="peleke-llama-3.1-8b-instruct_BBF-14_29"/>
        <s v="peleke-llama-3.1-8b-instruct_BBF-14_30"/>
        <s v="peleke-llama-3.1-8b-instruct_BBF-14_31"/>
        <s v="peleke-llama-3.1-8b-instruct_BBF-14_32"/>
        <s v="peleke-llama-3.1-8b-instruct_BBF-14_33"/>
        <s v="peleke-llama-3.1-8b-instruct_BBF-14_34"/>
        <s v="peleke-llama-3.1-8b-instruct_BBF-14_35"/>
        <s v="peleke-llama-3.1-8b-instruct_BBF-14_36"/>
        <s v="peleke-llama-3.1-8b-instruct_BBF-14_37"/>
        <s v="peleke-llama-3.1-8b-instruct_BBF-14_38"/>
        <s v="peleke-llama-3.1-8b-instruct_BBF-14_39"/>
        <s v="peleke-llama-3.1-8b-instruct_BBF-14_40"/>
        <s v="peleke-llama-3.1-8b-instruct_BBF-14_41"/>
        <s v="peleke-llama-3.1-8b-instruct_BBF-14_42"/>
        <s v="peleke-llama-3.1-8b-instruct_BBF-14_43"/>
        <s v="peleke-llama-3.1-8b-instruct_BBF-14_44"/>
        <s v="peleke-llama-3.1-8b-instruct_BBF-14_45"/>
        <s v="peleke-llama-3.1-8b-instruct_BBF-14_46"/>
        <s v="peleke-llama-3.1-8b-instruct_BBF-14_47"/>
        <s v="peleke-llama-3.1-8b-instruct_BBF-14_48"/>
        <s v="peleke-llama-3.1-8b-instruct_BBF-14_49"/>
        <s v="peleke-llama-3.1-8b-instruct_BBF-14_50"/>
        <s v="peleke-llama-3.1-8b-instruct_PD-1_01"/>
        <s v="peleke-llama-3.1-8b-instruct_PD-1_02"/>
        <s v="peleke-llama-3.1-8b-instruct_PD-1_03"/>
        <s v="peleke-llama-3.1-8b-instruct_PD-1_04"/>
        <s v="peleke-llama-3.1-8b-instruct_PD-1_05"/>
        <s v="peleke-llama-3.1-8b-instruct_PD-1_06"/>
        <s v="peleke-llama-3.1-8b-instruct_PD-1_07"/>
        <s v="peleke-llama-3.1-8b-instruct_PD-1_08"/>
        <s v="peleke-llama-3.1-8b-instruct_PD-1_09"/>
        <s v="peleke-llama-3.1-8b-instruct_PD-1_10"/>
        <s v="peleke-llama-3.1-8b-instruct_PD-1_11"/>
        <s v="peleke-llama-3.1-8b-instruct_PD-1_12"/>
        <s v="peleke-llama-3.1-8b-instruct_PD-1_13"/>
        <s v="peleke-llama-3.1-8b-instruct_PD-1_14"/>
        <s v="peleke-llama-3.1-8b-instruct_PD-1_15"/>
        <s v="peleke-llama-3.1-8b-instruct_PD-1_16"/>
        <s v="peleke-llama-3.1-8b-instruct_PD-1_17"/>
        <s v="peleke-llama-3.1-8b-instruct_PD-1_18"/>
        <s v="peleke-llama-3.1-8b-instruct_PD-1_19"/>
        <s v="peleke-llama-3.1-8b-instruct_PD-1_20"/>
        <s v="peleke-llama-3.1-8b-instruct_PD-1_21"/>
        <s v="peleke-llama-3.1-8b-instruct_PD-1_22"/>
        <s v="peleke-llama-3.1-8b-instruct_PD-1_23"/>
        <s v="peleke-llama-3.1-8b-instruct_PD-1_24"/>
        <s v="peleke-llama-3.1-8b-instruct_PD-1_25"/>
        <s v="peleke-llama-3.1-8b-instruct_PD-1_26"/>
        <s v="peleke-llama-3.1-8b-instruct_PD-1_27"/>
        <s v="peleke-llama-3.1-8b-instruct_PD-1_28"/>
        <s v="peleke-llama-3.1-8b-instruct_PD-1_29"/>
        <s v="peleke-llama-3.1-8b-instruct_PD-1_30"/>
        <s v="peleke-llama-3.1-8b-instruct_PD-1_31"/>
        <s v="peleke-llama-3.1-8b-instruct_PD-1_32"/>
        <s v="peleke-llama-3.1-8b-instruct_PD-1_33"/>
        <s v="peleke-llama-3.1-8b-instruct_PD-1_34"/>
        <s v="peleke-llama-3.1-8b-instruct_PD-1_35"/>
        <s v="peleke-llama-3.1-8b-instruct_PD-1_36"/>
        <s v="peleke-llama-3.1-8b-instruct_PD-1_37"/>
        <s v="peleke-llama-3.1-8b-instruct_PD-1_38"/>
        <s v="peleke-llama-3.1-8b-instruct_PD-1_39"/>
        <s v="peleke-llama-3.1-8b-instruct_PD-1_40"/>
        <s v="peleke-llama-3.1-8b-instruct_PD-1_41"/>
        <s v="peleke-llama-3.1-8b-instruct_PD-1_42"/>
        <s v="peleke-llama-3.1-8b-instruct_PD-1_43"/>
        <s v="peleke-llama-3.1-8b-instruct_PD-1_44"/>
        <s v="peleke-llama-3.1-8b-instruct_PD-1_45"/>
        <s v="peleke-llama-3.1-8b-instruct_PD-1_46"/>
        <s v="peleke-llama-3.1-8b-instruct_PD-1_47"/>
        <s v="peleke-llama-3.1-8b-instruct_PD-1_48"/>
        <s v="peleke-llama-3.1-8b-instruct_PD-1_49"/>
        <s v="peleke-llama-3.1-8b-instruct_PD-1_50"/>
        <s v="peleke-mistral-7b-instruct-v0.2_BHRF1_01"/>
        <s v="peleke-mistral-7b-instruct-v0.2_BHRF1_02"/>
        <s v="peleke-mistral-7b-instruct-v0.2_BHRF1_03"/>
        <s v="peleke-mistral-7b-instruct-v0.2_BHRF1_04"/>
        <s v="peleke-mistral-7b-instruct-v0.2_BHRF1_05"/>
        <s v="peleke-mistral-7b-instruct-v0.2_BHRF1_06"/>
        <s v="peleke-mistral-7b-instruct-v0.2_BHRF1_07"/>
        <s v="peleke-mistral-7b-instruct-v0.2_BHRF1_08"/>
        <s v="peleke-mistral-7b-instruct-v0.2_BHRF1_09"/>
        <s v="peleke-mistral-7b-instruct-v0.2_BHRF1_10"/>
        <s v="peleke-mistral-7b-instruct-v0.2_BHRF1_11"/>
        <s v="peleke-mistral-7b-instruct-v0.2_BHRF1_12"/>
        <s v="peleke-mistral-7b-instruct-v0.2_BHRF1_13"/>
        <s v="peleke-mistral-7b-instruct-v0.2_BHRF1_14"/>
        <s v="peleke-mistral-7b-instruct-v0.2_BHRF1_15"/>
        <s v="peleke-mistral-7b-instruct-v0.2_BHRF1_16"/>
        <s v="peleke-mistral-7b-instruct-v0.2_BHRF1_17"/>
        <s v="peleke-mistral-7b-instruct-v0.2_BHRF1_18"/>
        <s v="peleke-mistral-7b-instruct-v0.2_BHRF1_19"/>
        <s v="peleke-mistral-7b-instruct-v0.2_BHRF1_20"/>
        <s v="peleke-mistral-7b-instruct-v0.2_BHRF1_21"/>
        <s v="peleke-mistral-7b-instruct-v0.2_BHRF1_22"/>
        <s v="peleke-mistral-7b-instruct-v0.2_BHRF1_23"/>
        <s v="peleke-mistral-7b-instruct-v0.2_BHRF1_24"/>
        <s v="peleke-mistral-7b-instruct-v0.2_BHRF1_25"/>
        <s v="peleke-mistral-7b-instruct-v0.2_BHRF1_26"/>
        <s v="peleke-mistral-7b-instruct-v0.2_BHRF1_27"/>
        <s v="peleke-mistral-7b-instruct-v0.2_BHRF1_28"/>
        <s v="peleke-mistral-7b-instruct-v0.2_BHRF1_29"/>
        <s v="peleke-mistral-7b-instruct-v0.2_BHRF1_30"/>
        <s v="peleke-mistral-7b-instruct-v0.2_BHRF1_31"/>
        <s v="peleke-mistral-7b-instruct-v0.2_BHRF1_32"/>
        <s v="peleke-mistral-7b-instruct-v0.2_BHRF1_33"/>
        <s v="peleke-mistral-7b-instruct-v0.2_BHRF1_34"/>
        <s v="peleke-mistral-7b-instruct-v0.2_BHRF1_35"/>
        <s v="peleke-mistral-7b-instruct-v0.2_BHRF1_36"/>
        <s v="peleke-mistral-7b-instruct-v0.2_BHRF1_37"/>
        <s v="peleke-mistral-7b-instruct-v0.2_BHRF1_38"/>
        <s v="peleke-mistral-7b-instruct-v0.2_BHRF1_39"/>
        <s v="peleke-mistral-7b-instruct-v0.2_BHRF1_40"/>
        <s v="peleke-mistral-7b-instruct-v0.2_BHRF1_41"/>
        <s v="peleke-mistral-7b-instruct-v0.2_BHRF1_42"/>
        <s v="peleke-mistral-7b-instruct-v0.2_BHRF1_43"/>
        <s v="peleke-mistral-7b-instruct-v0.2_BHRF1_44"/>
        <s v="peleke-mistral-7b-instruct-v0.2_BHRF1_45"/>
        <s v="peleke-mistral-7b-instruct-v0.2_BHRF1_46"/>
        <s v="peleke-mistral-7b-instruct-v0.2_BHRF1_47"/>
        <s v="peleke-mistral-7b-instruct-v0.2_BHRF1_48"/>
        <s v="peleke-mistral-7b-instruct-v0.2_BHRF1_49"/>
        <s v="peleke-mistral-7b-instruct-v0.2_BHRF1_50"/>
        <s v="peleke-mistral-7b-instruct-v0.2_EGFR_01"/>
        <s v="peleke-mistral-7b-instruct-v0.2_EGFR_02"/>
        <s v="peleke-mistral-7b-instruct-v0.2_EGFR_03"/>
        <s v="peleke-mistral-7b-instruct-v0.2_EGFR_04"/>
        <s v="peleke-mistral-7b-instruct-v0.2_EGFR_05"/>
        <s v="peleke-mistral-7b-instruct-v0.2_EGFR_06"/>
        <s v="peleke-mistral-7b-instruct-v0.2_EGFR_07"/>
        <s v="peleke-mistral-7b-instruct-v0.2_EGFR_08"/>
        <s v="peleke-mistral-7b-instruct-v0.2_EGFR_09"/>
        <s v="peleke-mistral-7b-instruct-v0.2_EGFR_10"/>
        <s v="peleke-mistral-7b-instruct-v0.2_EGFR_11"/>
        <s v="peleke-mistral-7b-instruct-v0.2_EGFR_12"/>
        <s v="peleke-mistral-7b-instruct-v0.2_EGFR_13"/>
        <s v="peleke-mistral-7b-instruct-v0.2_EGFR_14"/>
        <s v="peleke-mistral-7b-instruct-v0.2_EGFR_15"/>
        <s v="peleke-mistral-7b-instruct-v0.2_EGFR_16"/>
        <s v="peleke-mistral-7b-instruct-v0.2_EGFR_17"/>
        <s v="peleke-mistral-7b-instruct-v0.2_EGFR_18"/>
        <s v="peleke-mistral-7b-instruct-v0.2_EGFR_19"/>
        <s v="peleke-mistral-7b-instruct-v0.2_EGFR_20"/>
        <s v="peleke-mistral-7b-instruct-v0.2_EGFR_21"/>
        <s v="peleke-mistral-7b-instruct-v0.2_EGFR_22"/>
        <s v="peleke-mistral-7b-instruct-v0.2_EGFR_23"/>
        <s v="peleke-mistral-7b-instruct-v0.2_EGFR_24"/>
        <s v="peleke-mistral-7b-instruct-v0.2_EGFR_25"/>
        <s v="peleke-mistral-7b-instruct-v0.2_EGFR_26"/>
        <s v="peleke-mistral-7b-instruct-v0.2_EGFR_27"/>
        <s v="peleke-mistral-7b-instruct-v0.2_EGFR_28"/>
        <s v="peleke-mistral-7b-instruct-v0.2_EGFR_29"/>
        <s v="peleke-mistral-7b-instruct-v0.2_EGFR_30"/>
        <s v="peleke-mistral-7b-instruct-v0.2_EGFR_31"/>
        <s v="peleke-mistral-7b-instruct-v0.2_EGFR_32"/>
        <s v="peleke-mistral-7b-instruct-v0.2_EGFR_33"/>
        <s v="peleke-mistral-7b-instruct-v0.2_EGFR_34"/>
        <s v="peleke-mistral-7b-instruct-v0.2_EGFR_35"/>
        <s v="peleke-mistral-7b-instruct-v0.2_EGFR_36"/>
        <s v="peleke-mistral-7b-instruct-v0.2_EGFR_37"/>
        <s v="peleke-mistral-7b-instruct-v0.2_EGFR_38"/>
        <s v="peleke-mistral-7b-instruct-v0.2_EGFR_39"/>
        <s v="peleke-mistral-7b-instruct-v0.2_EGFR_40"/>
        <s v="peleke-mistral-7b-instruct-v0.2_EGFR_41"/>
        <s v="peleke-mistral-7b-instruct-v0.2_EGFR_42"/>
        <s v="peleke-mistral-7b-instruct-v0.2_EGFR_43"/>
        <s v="peleke-mistral-7b-instruct-v0.2_EGFR_44"/>
        <s v="peleke-mistral-7b-instruct-v0.2_EGFR_45"/>
        <s v="peleke-mistral-7b-instruct-v0.2_EGFR_46"/>
        <s v="peleke-mistral-7b-instruct-v0.2_EGFR_47"/>
        <s v="peleke-mistral-7b-instruct-v0.2_EGFR_48"/>
        <s v="peleke-mistral-7b-instruct-v0.2_EGFR_49"/>
        <s v="peleke-mistral-7b-instruct-v0.2_EGFR_50"/>
        <s v="peleke-mistral-7b-instruct-v0.2_IL-7Ra_01"/>
        <s v="peleke-mistral-7b-instruct-v0.2_IL-7Ra_02"/>
        <s v="peleke-mistral-7b-instruct-v0.2_IL-7Ra_03"/>
        <s v="peleke-mistral-7b-instruct-v0.2_IL-7Ra_04"/>
        <s v="peleke-mistral-7b-instruct-v0.2_IL-7Ra_05"/>
        <s v="peleke-mistral-7b-instruct-v0.2_IL-7Ra_06"/>
        <s v="peleke-mistral-7b-instruct-v0.2_IL-7Ra_07"/>
        <s v="peleke-mistral-7b-instruct-v0.2_IL-7Ra_08"/>
        <s v="peleke-mistral-7b-instruct-v0.2_IL-7Ra_09"/>
        <s v="peleke-mistral-7b-instruct-v0.2_IL-7Ra_10"/>
        <s v="peleke-mistral-7b-instruct-v0.2_IL-7Ra_11"/>
        <s v="peleke-mistral-7b-instruct-v0.2_IL-7Ra_12"/>
        <s v="peleke-mistral-7b-instruct-v0.2_IL-7Ra_13"/>
        <s v="peleke-mistral-7b-instruct-v0.2_IL-7Ra_14"/>
        <s v="peleke-mistral-7b-instruct-v0.2_IL-7Ra_15"/>
        <s v="peleke-mistral-7b-instruct-v0.2_IL-7Ra_16"/>
        <s v="peleke-mistral-7b-instruct-v0.2_IL-7Ra_17"/>
        <s v="peleke-mistral-7b-instruct-v0.2_IL-7Ra_18"/>
        <s v="peleke-mistral-7b-instruct-v0.2_IL-7Ra_19"/>
        <s v="peleke-mistral-7b-instruct-v0.2_IL-7Ra_20"/>
        <s v="peleke-mistral-7b-instruct-v0.2_IL-7Ra_21"/>
        <s v="peleke-mistral-7b-instruct-v0.2_IL-7Ra_22"/>
        <s v="peleke-mistral-7b-instruct-v0.2_IL-7Ra_23"/>
        <s v="peleke-mistral-7b-instruct-v0.2_IL-7Ra_24"/>
        <s v="peleke-mistral-7b-instruct-v0.2_IL-7Ra_25"/>
        <s v="peleke-mistral-7b-instruct-v0.2_IL-7Ra_26"/>
        <s v="peleke-mistral-7b-instruct-v0.2_IL-7Ra_27"/>
        <s v="peleke-mistral-7b-instruct-v0.2_IL-7Ra_28"/>
        <s v="peleke-mistral-7b-instruct-v0.2_IL-7Ra_29"/>
        <s v="peleke-mistral-7b-instruct-v0.2_IL-7Ra_30"/>
        <s v="peleke-mistral-7b-instruct-v0.2_IL-7Ra_31"/>
        <s v="peleke-mistral-7b-instruct-v0.2_IL-7Ra_32"/>
        <s v="peleke-mistral-7b-instruct-v0.2_IL-7Ra_33"/>
        <s v="peleke-mistral-7b-instruct-v0.2_IL-7Ra_34"/>
        <s v="peleke-mistral-7b-instruct-v0.2_IL-7Ra_35"/>
        <s v="peleke-mistral-7b-instruct-v0.2_IL-7Ra_36"/>
        <s v="peleke-mistral-7b-instruct-v0.2_IL-7Ra_37"/>
        <s v="peleke-mistral-7b-instruct-v0.2_IL-7Ra_38"/>
        <s v="peleke-mistral-7b-instruct-v0.2_IL-7Ra_39"/>
        <s v="peleke-mistral-7b-instruct-v0.2_IL-7Ra_40"/>
        <s v="peleke-mistral-7b-instruct-v0.2_IL-7Ra_41"/>
        <s v="peleke-mistral-7b-instruct-v0.2_IL-7Ra_42"/>
        <s v="peleke-mistral-7b-instruct-v0.2_IL-7Ra_43"/>
        <s v="peleke-mistral-7b-instruct-v0.2_IL-7Ra_44"/>
        <s v="peleke-mistral-7b-instruct-v0.2_IL-7Ra_45"/>
        <s v="peleke-mistral-7b-instruct-v0.2_IL-7Ra_46"/>
        <s v="peleke-mistral-7b-instruct-v0.2_IL-7Ra_47"/>
        <s v="peleke-mistral-7b-instruct-v0.2_IL-7Ra_48"/>
        <s v="peleke-mistral-7b-instruct-v0.2_IL-7Ra_49"/>
        <s v="peleke-mistral-7b-instruct-v0.2_IL-7Ra_50"/>
        <s v="peleke-mistral-7b-instruct-v0.2_MBP_01"/>
        <s v="peleke-mistral-7b-instruct-v0.2_MBP_02"/>
        <s v="peleke-mistral-7b-instruct-v0.2_MBP_03"/>
        <s v="peleke-mistral-7b-instruct-v0.2_MBP_04"/>
        <s v="peleke-mistral-7b-instruct-v0.2_MBP_05"/>
        <s v="peleke-mistral-7b-instruct-v0.2_MBP_06"/>
        <s v="peleke-mistral-7b-instruct-v0.2_MBP_07"/>
        <s v="peleke-mistral-7b-instruct-v0.2_MBP_08"/>
        <s v="peleke-mistral-7b-instruct-v0.2_MBP_09"/>
        <s v="peleke-mistral-7b-instruct-v0.2_MBP_10"/>
        <s v="peleke-mistral-7b-instruct-v0.2_MBP_11"/>
        <s v="peleke-mistral-7b-instruct-v0.2_MBP_12"/>
        <s v="peleke-mistral-7b-instruct-v0.2_MBP_13"/>
        <s v="peleke-mistral-7b-instruct-v0.2_MBP_14"/>
        <s v="peleke-mistral-7b-instruct-v0.2_MBP_15"/>
        <s v="peleke-mistral-7b-instruct-v0.2_MBP_16"/>
        <s v="peleke-mistral-7b-instruct-v0.2_MBP_17"/>
        <s v="peleke-mistral-7b-instruct-v0.2_MBP_18"/>
        <s v="peleke-mistral-7b-instruct-v0.2_MBP_19"/>
        <s v="peleke-mistral-7b-instruct-v0.2_MBP_20"/>
        <s v="peleke-mistral-7b-instruct-v0.2_MBP_21"/>
        <s v="peleke-mistral-7b-instruct-v0.2_MBP_22"/>
        <s v="peleke-mistral-7b-instruct-v0.2_MBP_23"/>
        <s v="peleke-mistral-7b-instruct-v0.2_MBP_24"/>
        <s v="peleke-mistral-7b-instruct-v0.2_MBP_25"/>
        <s v="peleke-mistral-7b-instruct-v0.2_MBP_26"/>
        <s v="peleke-mistral-7b-instruct-v0.2_MBP_27"/>
        <s v="peleke-mistral-7b-instruct-v0.2_MBP_28"/>
        <s v="peleke-mistral-7b-instruct-v0.2_MBP_29"/>
        <s v="peleke-mistral-7b-instruct-v0.2_MBP_30"/>
        <s v="peleke-mistral-7b-instruct-v0.2_MBP_31"/>
        <s v="peleke-mistral-7b-instruct-v0.2_MBP_32"/>
        <s v="peleke-mistral-7b-instruct-v0.2_MBP_33"/>
        <s v="peleke-mistral-7b-instruct-v0.2_MBP_34"/>
        <s v="peleke-mistral-7b-instruct-v0.2_MBP_35"/>
        <s v="peleke-mistral-7b-instruct-v0.2_MBP_36"/>
        <s v="peleke-mistral-7b-instruct-v0.2_MBP_37"/>
        <s v="peleke-mistral-7b-instruct-v0.2_MBP_38"/>
        <s v="peleke-mistral-7b-instruct-v0.2_MBP_39"/>
        <s v="peleke-mistral-7b-instruct-v0.2_MBP_40"/>
        <s v="peleke-mistral-7b-instruct-v0.2_MBP_41"/>
        <s v="peleke-mistral-7b-instruct-v0.2_MBP_42"/>
        <s v="peleke-mistral-7b-instruct-v0.2_MBP_43"/>
        <s v="peleke-mistral-7b-instruct-v0.2_MBP_44"/>
        <s v="peleke-mistral-7b-instruct-v0.2_MBP_45"/>
        <s v="peleke-mistral-7b-instruct-v0.2_MBP_46"/>
        <s v="peleke-mistral-7b-instruct-v0.2_MBP_47"/>
        <s v="peleke-mistral-7b-instruct-v0.2_MBP_48"/>
        <s v="peleke-mistral-7b-instruct-v0.2_MBP_49"/>
        <s v="peleke-mistral-7b-instruct-v0.2_MBP_50"/>
        <s v="peleke-mistral-7b-instruct-v0.2_PD-L1_01"/>
        <s v="peleke-mistral-7b-instruct-v0.2_PD-L1_02"/>
        <s v="peleke-mistral-7b-instruct-v0.2_PD-L1_03"/>
        <s v="peleke-mistral-7b-instruct-v0.2_PD-L1_04"/>
        <s v="peleke-mistral-7b-instruct-v0.2_PD-L1_05"/>
        <s v="peleke-mistral-7b-instruct-v0.2_PD-L1_06"/>
        <s v="peleke-mistral-7b-instruct-v0.2_PD-L1_07"/>
        <s v="peleke-mistral-7b-instruct-v0.2_PD-L1_08"/>
        <s v="peleke-mistral-7b-instruct-v0.2_PD-L1_09"/>
        <s v="peleke-mistral-7b-instruct-v0.2_PD-L1_10"/>
        <s v="peleke-mistral-7b-instruct-v0.2_PD-L1_11"/>
        <s v="peleke-mistral-7b-instruct-v0.2_PD-L1_12"/>
        <s v="peleke-mistral-7b-instruct-v0.2_PD-L1_13"/>
        <s v="peleke-mistral-7b-instruct-v0.2_PD-L1_14"/>
        <s v="peleke-mistral-7b-instruct-v0.2_PD-L1_15"/>
        <s v="peleke-mistral-7b-instruct-v0.2_PD-L1_16"/>
        <s v="peleke-mistral-7b-instruct-v0.2_PD-L1_17"/>
        <s v="peleke-mistral-7b-instruct-v0.2_PD-L1_18"/>
        <s v="peleke-mistral-7b-instruct-v0.2_PD-L1_19"/>
        <s v="peleke-mistral-7b-instruct-v0.2_PD-L1_20"/>
        <s v="peleke-mistral-7b-instruct-v0.2_PD-L1_21"/>
        <s v="peleke-mistral-7b-instruct-v0.2_PD-L1_22"/>
        <s v="peleke-mistral-7b-instruct-v0.2_PD-L1_23"/>
        <s v="peleke-mistral-7b-instruct-v0.2_PD-L1_24"/>
        <s v="peleke-mistral-7b-instruct-v0.2_PD-L1_25"/>
        <s v="peleke-mistral-7b-instruct-v0.2_PD-L1_26"/>
        <s v="peleke-mistral-7b-instruct-v0.2_PD-L1_27"/>
        <s v="peleke-mistral-7b-instruct-v0.2_PD-L1_28"/>
        <s v="peleke-mistral-7b-instruct-v0.2_PD-L1_29"/>
        <s v="peleke-mistral-7b-instruct-v0.2_PD-L1_30"/>
        <s v="peleke-mistral-7b-instruct-v0.2_PD-L1_31"/>
        <s v="peleke-mistral-7b-instruct-v0.2_PD-L1_32"/>
        <s v="peleke-mistral-7b-instruct-v0.2_PD-L1_33"/>
        <s v="peleke-mistral-7b-instruct-v0.2_PD-L1_34"/>
        <s v="peleke-mistral-7b-instruct-v0.2_PD-L1_35"/>
        <s v="peleke-mistral-7b-instruct-v0.2_PD-L1_36"/>
        <s v="peleke-mistral-7b-instruct-v0.2_PD-L1_37"/>
        <s v="peleke-mistral-7b-instruct-v0.2_PD-L1_38"/>
        <s v="peleke-mistral-7b-instruct-v0.2_PD-L1_39"/>
        <s v="peleke-mistral-7b-instruct-v0.2_PD-L1_40"/>
        <s v="peleke-mistral-7b-instruct-v0.2_PD-L1_41"/>
        <s v="peleke-mistral-7b-instruct-v0.2_PD-L1_42"/>
        <s v="peleke-mistral-7b-instruct-v0.2_PD-L1_43"/>
        <s v="peleke-mistral-7b-instruct-v0.2_PD-L1_44"/>
        <s v="peleke-mistral-7b-instruct-v0.2_PD-L1_45"/>
        <s v="peleke-mistral-7b-instruct-v0.2_PD-L1_46"/>
        <s v="peleke-mistral-7b-instruct-v0.2_PD-L1_47"/>
        <s v="peleke-mistral-7b-instruct-v0.2_PD-L1_48"/>
        <s v="peleke-mistral-7b-instruct-v0.2_PD-L1_49"/>
        <s v="peleke-mistral-7b-instruct-v0.2_PD-L1_50"/>
        <s v="peleke-mistral-7b-instruct-v0.2_BBF-14_01"/>
        <s v="peleke-mistral-7b-instruct-v0.2_BBF-14_02"/>
        <s v="peleke-mistral-7b-instruct-v0.2_BBF-14_03"/>
        <s v="peleke-mistral-7b-instruct-v0.2_BBF-14_04"/>
        <s v="peleke-mistral-7b-instruct-v0.2_BBF-14_05"/>
        <s v="peleke-mistral-7b-instruct-v0.2_BBF-14_06"/>
        <s v="peleke-mistral-7b-instruct-v0.2_BBF-14_07"/>
        <s v="peleke-mistral-7b-instruct-v0.2_BBF-14_08"/>
        <s v="peleke-mistral-7b-instruct-v0.2_BBF-14_09"/>
        <s v="peleke-mistral-7b-instruct-v0.2_BBF-14_10"/>
        <s v="peleke-mistral-7b-instruct-v0.2_BBF-14_11"/>
        <s v="peleke-mistral-7b-instruct-v0.2_BBF-14_12"/>
        <s v="peleke-mistral-7b-instruct-v0.2_BBF-14_13"/>
        <s v="peleke-mistral-7b-instruct-v0.2_BBF-14_14"/>
        <s v="peleke-mistral-7b-instruct-v0.2_BBF-14_15"/>
        <s v="peleke-mistral-7b-instruct-v0.2_BBF-14_16"/>
        <s v="peleke-mistral-7b-instruct-v0.2_BBF-14_17"/>
        <s v="peleke-mistral-7b-instruct-v0.2_BBF-14_18"/>
        <s v="peleke-mistral-7b-instruct-v0.2_BBF-14_19"/>
        <s v="peleke-mistral-7b-instruct-v0.2_BBF-14_20"/>
        <s v="peleke-mistral-7b-instruct-v0.2_BBF-14_21"/>
        <s v="peleke-mistral-7b-instruct-v0.2_BBF-14_22"/>
        <s v="peleke-mistral-7b-instruct-v0.2_BBF-14_23"/>
        <s v="peleke-mistral-7b-instruct-v0.2_BBF-14_24"/>
        <s v="peleke-mistral-7b-instruct-v0.2_BBF-14_25"/>
        <s v="peleke-mistral-7b-instruct-v0.2_BBF-14_26"/>
        <s v="peleke-mistral-7b-instruct-v0.2_BBF-14_27"/>
        <s v="peleke-mistral-7b-instruct-v0.2_BBF-14_28"/>
        <s v="peleke-mistral-7b-instruct-v0.2_BBF-14_29"/>
        <s v="peleke-mistral-7b-instruct-v0.2_BBF-14_30"/>
        <s v="peleke-mistral-7b-instruct-v0.2_BBF-14_31"/>
        <s v="peleke-mistral-7b-instruct-v0.2_BBF-14_32"/>
        <s v="peleke-mistral-7b-instruct-v0.2_BBF-14_33"/>
        <s v="peleke-mistral-7b-instruct-v0.2_BBF-14_34"/>
        <s v="peleke-mistral-7b-instruct-v0.2_BBF-14_35"/>
        <s v="peleke-mistral-7b-instruct-v0.2_BBF-14_36"/>
        <s v="peleke-mistral-7b-instruct-v0.2_BBF-14_37"/>
        <s v="peleke-mistral-7b-instruct-v0.2_BBF-14_38"/>
        <s v="peleke-mistral-7b-instruct-v0.2_BBF-14_39"/>
        <s v="peleke-mistral-7b-instruct-v0.2_BBF-14_40"/>
        <s v="peleke-mistral-7b-instruct-v0.2_BBF-14_41"/>
        <s v="peleke-mistral-7b-instruct-v0.2_BBF-14_42"/>
        <s v="peleke-mistral-7b-instruct-v0.2_BBF-14_43"/>
        <s v="peleke-mistral-7b-instruct-v0.2_BBF-14_44"/>
        <s v="peleke-mistral-7b-instruct-v0.2_BBF-14_45"/>
        <s v="peleke-mistral-7b-instruct-v0.2_BBF-14_46"/>
        <s v="peleke-mistral-7b-instruct-v0.2_BBF-14_47"/>
        <s v="peleke-mistral-7b-instruct-v0.2_BBF-14_48"/>
        <s v="peleke-mistral-7b-instruct-v0.2_BBF-14_49"/>
        <s v="peleke-mistral-7b-instruct-v0.2_BBF-14_50"/>
        <s v="peleke-mistral-7b-instruct-v0.2_PD-1_01"/>
        <s v="peleke-mistral-7b-instruct-v0.2_PD-1_02"/>
        <s v="peleke-mistral-7b-instruct-v0.2_PD-1_03"/>
        <s v="peleke-mistral-7b-instruct-v0.2_PD-1_04"/>
        <s v="peleke-mistral-7b-instruct-v0.2_PD-1_05"/>
        <s v="peleke-mistral-7b-instruct-v0.2_PD-1_06"/>
        <s v="peleke-mistral-7b-instruct-v0.2_PD-1_07"/>
        <s v="peleke-mistral-7b-instruct-v0.2_PD-1_08"/>
        <s v="peleke-mistral-7b-instruct-v0.2_PD-1_09"/>
        <s v="peleke-mistral-7b-instruct-v0.2_PD-1_10"/>
        <s v="peleke-mistral-7b-instruct-v0.2_PD-1_11"/>
        <s v="peleke-mistral-7b-instruct-v0.2_PD-1_12"/>
        <s v="peleke-mistral-7b-instruct-v0.2_PD-1_13"/>
        <s v="peleke-mistral-7b-instruct-v0.2_PD-1_14"/>
        <s v="peleke-mistral-7b-instruct-v0.2_PD-1_15"/>
        <s v="peleke-mistral-7b-instruct-v0.2_PD-1_16"/>
        <s v="peleke-mistral-7b-instruct-v0.2_PD-1_17"/>
        <s v="peleke-mistral-7b-instruct-v0.2_PD-1_18"/>
        <s v="peleke-mistral-7b-instruct-v0.2_PD-1_19"/>
        <s v="peleke-mistral-7b-instruct-v0.2_PD-1_20"/>
        <s v="peleke-mistral-7b-instruct-v0.2_PD-1_21"/>
        <s v="peleke-mistral-7b-instruct-v0.2_PD-1_22"/>
        <s v="peleke-mistral-7b-instruct-v0.2_PD-1_23"/>
        <s v="peleke-mistral-7b-instruct-v0.2_PD-1_24"/>
        <s v="peleke-mistral-7b-instruct-v0.2_PD-1_25"/>
        <s v="peleke-mistral-7b-instruct-v0.2_PD-1_26"/>
        <s v="peleke-mistral-7b-instruct-v0.2_PD-1_27"/>
        <s v="peleke-mistral-7b-instruct-v0.2_PD-1_28"/>
        <s v="peleke-mistral-7b-instruct-v0.2_PD-1_29"/>
        <s v="peleke-mistral-7b-instruct-v0.2_PD-1_30"/>
        <s v="peleke-mistral-7b-instruct-v0.2_PD-1_31"/>
        <s v="peleke-mistral-7b-instruct-v0.2_PD-1_32"/>
        <s v="peleke-mistral-7b-instruct-v0.2_PD-1_33"/>
        <s v="peleke-mistral-7b-instruct-v0.2_PD-1_34"/>
        <s v="peleke-mistral-7b-instruct-v0.2_PD-1_35"/>
        <s v="peleke-mistral-7b-instruct-v0.2_PD-1_36"/>
        <s v="peleke-mistral-7b-instruct-v0.2_PD-1_37"/>
        <s v="peleke-mistral-7b-instruct-v0.2_PD-1_38"/>
        <s v="peleke-mistral-7b-instruct-v0.2_PD-1_39"/>
        <s v="peleke-mistral-7b-instruct-v0.2_PD-1_40"/>
        <s v="peleke-mistral-7b-instruct-v0.2_PD-1_41"/>
        <s v="peleke-mistral-7b-instruct-v0.2_PD-1_42"/>
        <s v="peleke-mistral-7b-instruct-v0.2_PD-1_43"/>
        <s v="peleke-mistral-7b-instruct-v0.2_PD-1_44"/>
        <s v="peleke-mistral-7b-instruct-v0.2_PD-1_45"/>
        <s v="peleke-mistral-7b-instruct-v0.2_PD-1_46"/>
        <s v="peleke-mistral-7b-instruct-v0.2_PD-1_47"/>
        <s v="peleke-mistral-7b-instruct-v0.2_PD-1_48"/>
        <s v="peleke-mistral-7b-instruct-v0.2_PD-1_49"/>
        <s v="peleke-mistral-7b-instruct-v0.2_PD-1_50"/>
      </sharedItems>
    </cacheField>
    <cacheField name="antigen_id" numFmtId="0">
      <sharedItems count="7">
        <s v="BHRF1"/>
        <s v="EGFR"/>
        <s v="IL-7Ra"/>
        <s v="MBP"/>
        <s v="PD-L1"/>
        <s v="BBF-14"/>
        <s v="PD-1"/>
      </sharedItems>
    </cacheField>
    <cacheField name="model" numFmtId="0">
      <sharedItems count="3">
        <s v="peleke-phi-4"/>
        <s v="peleke-llama-3.1-8b-instruct"/>
        <s v="peleke-mistral-7b-instruct-v0.2"/>
      </sharedItems>
    </cacheField>
    <cacheField name="VH" numFmtId="0">
      <sharedItems/>
    </cacheField>
    <cacheField name="VL" numFmtId="0">
      <sharedItems/>
    </cacheField>
    <cacheField name="hv" numFmtId="0">
      <sharedItems/>
    </cacheField>
    <cacheField name="lv" numFmtId="0">
      <sharedItems/>
    </cacheField>
    <cacheField name="CNN_H" numFmtId="0">
      <sharedItems containsSemiMixedTypes="0" containsString="0" containsNumber="1" minValue="1.2458911999999999E-10" maxValue="0.99999994000000003"/>
    </cacheField>
    <cacheField name="CNN_L" numFmtId="0">
      <sharedItems containsSemiMixedTypes="0" containsString="0" containsNumber="1" minValue="9.6774303999999996E-11" maxValue="0.99999994000000003"/>
    </cacheField>
    <cacheField name="CNN_P" numFmtId="0">
      <sharedItems containsSemiMixedTypes="0" containsString="0" containsNumber="1" minValue="1.0705251E-23" maxValue="0.99999994000000003"/>
    </cacheField>
    <cacheField name="CNN_H_ge50pct" numFmtId="0">
      <sharedItems containsSemiMixedTypes="0" containsString="0" containsNumber="1" containsInteger="1" minValue="0" maxValue="1"/>
    </cacheField>
    <cacheField name="CNN_L_ge50pct" numFmtId="0">
      <sharedItems containsSemiMixedTypes="0" containsString="0" containsNumber="1" containsInteger="1" minValue="0" maxValue="1"/>
    </cacheField>
    <cacheField name="CNN_P_ge50pc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x v="0"/>
    <x v="0"/>
    <x v="0"/>
    <s v="QVQ-LVQSGA-EVKKPGSSVKVSCKASGGTF----------NTGIS-WVRQ-A-P-G-Q--G-LE-WMGGIIPI------------FTGKY--A--Q--KF--Q---GRVTITA-D---E-S--TT----T-AYMELSSLRS-EDTAVYYCARGGD----------------------------YGDYWG-QGTTVTVSS"/>
    <s v="DIV-LTQSPATLSVTPGDSVSLSCRASQTIS----------KNNLH-WYQQ-K-S-H-E--S-PR-LLIKYA----------------SQS--I--S--GI--P---SRFSGSG-------S--GT----D-FTLSINSVET-EDFGMYFCQQSNS----------------------------WPYTFG-GGTKLEIK-"/>
    <s v="hv1"/>
    <s v="kv3"/>
    <n v="0.99999979999999999"/>
    <n v="2.5424495999999999E-8"/>
    <n v="1.4461145E-2"/>
    <n v="1"/>
    <n v="0"/>
    <n v="0"/>
  </r>
  <r>
    <x v="1"/>
    <x v="0"/>
    <x v="0"/>
    <s v="EVQ-LEESGG-GLVQPGGSLRLSCAASGFNV---------VDFSLH-WVRQ-A-P-G-K--G-LE-WVARIYDG------------GNKYY--A--D--SV--K---GRFTISA-D---T-S--KN----T-AYLQMNSLRA-EDTAVYYCARVWYPYD---------------------SSGYALDYWG-QGTLVTVSS"/>
    <s v="DIQ-MTQTTSSLSASLGDRVTISCRASQDI-----------SNYLN-WYQQ-K-P-D-G--T-VK-LLIYYT----------------SRL--H--S--GV--P---SRFSGSG-------S--GT----D-YSLTISNLEQ-EDIATYFCQQGNT----------------------------LPPTFG-GGTKLEI--"/>
    <s v="hv3"/>
    <s v="kv1"/>
    <n v="0.99999994000000003"/>
    <n v="2.6954916999999999E-8"/>
    <n v="2.8142396E-2"/>
    <n v="1"/>
    <n v="0"/>
    <n v="0"/>
  </r>
  <r>
    <x v="2"/>
    <x v="0"/>
    <x v="0"/>
    <s v="QVQ-LQESGP-GLVKPSQTLSLTCTVSGGSI---------SSSYWS-WIRQ-P-P-G-K--G-LE-WIGYIYYS------------GSTNY--N--P--SL--K---SRVTISV-D---T-S--KN----Q-FSLNL---TA-ADTAVYYCARGLGV--------------------------RWLDYWG-QGTLVTVSS"/>
    <s v="DIV-MTQSPLSLPVTLGQPASISCRSSQNG-----------NTYLH-WYQQ-K-P-G-Q--S-PR-LLIYQA----------------STR--I--P--GI--P---ARFSGSG-------S--GT----D-FTLSINSVET-EDFGMYFCQQSNS----------------------------WPYTFG-GGTKLEIK-"/>
    <s v="hv4"/>
    <s v="kv2"/>
    <n v="0.99999994000000003"/>
    <n v="1.0252178600000001E-4"/>
    <n v="2.5814414999999997E-7"/>
    <n v="1"/>
    <n v="0"/>
    <n v="0"/>
  </r>
  <r>
    <x v="3"/>
    <x v="0"/>
    <x v="0"/>
    <e v="#NAME?"/>
    <s v="QAV-LTQSSS-ASFSLGQSVTISCTGTSNIGA--------GYTYVS-WYQQ-H-P-G-K--A-PK-LMIYEV----------------NKR--P--S--GV--S---NRFSGSK-------S--GD----T-ASLTISGLQA-DDEADYYCAGSYS----------------------------TYVVFG-GGTKLTVL-"/>
    <s v="hv3"/>
    <s v="lv2"/>
    <n v="0.91364955999999997"/>
    <n v="0.98940563000000004"/>
    <n v="3.0254016999999999E-4"/>
    <n v="1"/>
    <n v="1"/>
    <n v="0"/>
  </r>
  <r>
    <x v="4"/>
    <x v="0"/>
    <x v="0"/>
    <s v="EVQ-LVESGG-GLVQPGGSLRLSCAASGFTF---------SDTYIH-WVRQ-A-P-G-K--G-LE-WVSYINGY-----------DGSYPY--A--D--SV--K---GRFTISA-D---T-S--KN----T-AYLQMNSLRA-EDTAVYYCARGGSRG-----------------------YYGDFDYWG-QGTLVTVSS"/>
    <s v="DIQ-MTQSPASLSASVGDRVTITCRASQSV-----------SSAVA-WYQQ-K-P-G-K--A-PK-LLIYSA----------------SSL--Y--S--GV--P---SRFSGSR-------S--GT----D-FTLTISSLQP-EDFATYYCQQAYR----------------------------YPITFG-QGTKVEIK-"/>
    <s v="hv3"/>
    <s v="kv1"/>
    <n v="0.99991184"/>
    <n v="0.99999979999999999"/>
    <n v="0.98522173999999996"/>
    <n v="1"/>
    <n v="1"/>
    <n v="1"/>
  </r>
  <r>
    <x v="5"/>
    <x v="0"/>
    <x v="0"/>
    <s v="-VQ-LVQSGA-EVKKPGASVKVSCKTSGYTF---------TGYYMH-WVRQ-A-P-G-Q--G-LE-WMGIINPR-----------GSGTAY--A--Q--KF--R---GRVTMTR-D---T-S--IN----T-AYMELSSLRS-EDTAVYYCARGGL---------------------------PYYGHWG-QR--VTVSS"/>
    <s v="DIQ-MTQSPSSLSASVGDRVTITCRASQGI-----------RKYLN-WYQQ-K-P-G-K--A-PK-LLIYAA----------------SSL--L--S--GV--P---SRFSGSG-------S--GT----D-FTLTISSLQP-EDFATYYCQQYI-----------------------------YPITFG-QGTKVEIK-"/>
    <s v="hv1"/>
    <s v="kv1"/>
    <n v="0.99999910000000003"/>
    <n v="0.99999934000000001"/>
    <n v="0.54924249999999997"/>
    <n v="1"/>
    <n v="1"/>
    <n v="1"/>
  </r>
  <r>
    <x v="6"/>
    <x v="0"/>
    <x v="0"/>
    <e v="#NAME?"/>
    <s v="DIV-LTQSPSSLSASVGDRVTITCQASQDI-----------SNYLN-WYQQ-K-P-G-K--A-PK-LLIYAA----------------SSL--Q--S--GV--P---SRFSGSG-------S--GT----D-FTLTISSLQP-EDFATYYCQQSYS----------------------------TPRTFG-QGTRLEIK-"/>
    <s v="hv1"/>
    <s v="kv1"/>
    <n v="0.99931009999999998"/>
    <n v="0.99999994000000003"/>
    <n v="1.00022124E-4"/>
    <n v="1"/>
    <n v="1"/>
    <n v="0"/>
  </r>
  <r>
    <x v="7"/>
    <x v="0"/>
    <x v="0"/>
    <s v="QVQ-LQQSGA-ELVKPGASVKLSCTASGFNI---------KDTYVH-WVKQ-R-P-E-Q--G-LE-WIGRIDPA-----------NGNTKY--A--P--KF--Q---DKATITA-D---T-S--SN----T-AYLQLSSLTS-EDTAVYYCARRSG---------------------------YYGDYWG-QGTSVTVSS"/>
    <s v="DIQ-MTQSPSSLSASVGDRVTITCRASQGI-----------RNDLG-WYQQ-K-P-G-K--A-PK-LLIYAA----------------SSL--Q--S--GV--P---SRFSGSG-------S--GT----D-FTLTISSLQP-EDFATYYCQQSY-----------------------------STPRFG-GGTKVEIK-"/>
    <s v="hv1"/>
    <s v="kv1"/>
    <n v="4.2480872999999999E-3"/>
    <n v="0.99999994000000003"/>
    <n v="1.0812853E-6"/>
    <n v="0"/>
    <n v="1"/>
    <n v="0"/>
  </r>
  <r>
    <x v="8"/>
    <x v="0"/>
    <x v="0"/>
    <s v="QVQ-LVQSGA-EVRKPGASVKVSCKASGYTF---------SDYGIT-WVRQ-A-P-G-Q--G-LE-WMGWISD-------------NTDNY--A--Q--RF--Q---GRVTMTR-D---T-S--TS----T-VYMELSSLRS-DDTAVYYCARDVVVS-----------------------VWVFFDYWG-QGTLVTVSS"/>
    <s v="EIV-LTQSPGTLSLSPGERATLSCRASQSVS----------SSYLA-WYQQ-K-P-G-Q--A-PR-LLIYGA----------------SSR--A--T--GI--P---DRFSGSG-------S--GT----D-FTLTISRLEP-EDFAVYYCQQYGT----------------------------SPFTFG-PGTKV----"/>
    <s v="hv1"/>
    <s v="kv3"/>
    <n v="0.99999979999999999"/>
    <n v="0.99999994000000003"/>
    <n v="0.99984693999999996"/>
    <n v="1"/>
    <n v="1"/>
    <n v="1"/>
  </r>
  <r>
    <x v="9"/>
    <x v="0"/>
    <x v="0"/>
    <s v="EVQ-LVESGG-GLVQPGGSLRLSCAASGFNV---------SYSSIH-WVRQ-A-P-G-K--G-LE-WVASIYSY-----------SGYTSY--A--D--SV--K---GRFTISA-D---T-S--KN----T-AYLQMNSLRA-EDTAVYYCARSYWYY------------------------YGWFDPWG-QGTLVTVSS"/>
    <s v="DIQ-MTQSPSSLSASVGDRVTITCRASQSV-----------SSAVA-WYQQ-K-P-G-K--A-PK-LLIYSA----------------SSL--Y--S--GV--P---SRFSGSR-------S--GT----D-FTLTISSLQP-EDFATYYCQQYSS----------------------------YPLTFG-QGTKVEIK-"/>
    <s v="hv3"/>
    <s v="kv1"/>
    <n v="0.99999979999999999"/>
    <n v="0.99971690000000002"/>
    <n v="0.99312210000000001"/>
    <n v="1"/>
    <n v="1"/>
    <n v="1"/>
  </r>
  <r>
    <x v="10"/>
    <x v="0"/>
    <x v="0"/>
    <e v="#NAME?"/>
    <s v="EIV-LTQSPATLSLSPGERATLSCRASQSV-----------SSYLA-WYQQ-K-P-G-Q--A-PR-LLIYDA----------------SNR--A--T--GI--P---ARFSGSG-------S--GT----D-FTLTISSLEP-EDFAVYYCQQRSN----------------------------WPLTFG-GGTKVEIK-"/>
    <s v="hv1"/>
    <s v="kv3"/>
    <n v="0.99998193999999996"/>
    <n v="0.99999994000000003"/>
    <n v="0.99998622999999998"/>
    <n v="1"/>
    <n v="1"/>
    <n v="1"/>
  </r>
  <r>
    <x v="11"/>
    <x v="0"/>
    <x v="0"/>
    <e v="#NAME?"/>
    <s v="DIQ-MTQSPSSLSASVGDRVTITCRASQDV-----------STAVA-WYQQ-K-P-G-K--A-PK-LLIYSA----------------SSL--Y--S--GV--P---SRFSGSR-------S--GT----D-FTLTISSLQP-EDFATYYCQQYKY----------------------------VPVTFG-QGTKVEIK-"/>
    <s v="hv3"/>
    <s v="kv1"/>
    <n v="0.98403600000000002"/>
    <n v="0.9945775"/>
    <n v="1.0031235E-3"/>
    <n v="1"/>
    <n v="1"/>
    <n v="0"/>
  </r>
  <r>
    <x v="12"/>
    <x v="0"/>
    <x v="0"/>
    <s v="QVQ-LQQSGP-ELVRPGVSVKISCKGSGYTF----------IDEIN-WVKQ-A-P-G-K--G-LE-WIGYIYYG------------SDTRY--N--P--SL--K---SRVTMSV-D---T-S--KN----Q-FSLKLSSVTA-ADTAVYYCARVDDG--------------------------YYDFIWG-QGTVVTVSS"/>
    <s v="DIV-LTQSPASLAVSLGQRATISCRASESVDS-------YGISFMN-WFQQ-K-P-G-Q--P-PK-LLIYAA----------------SNL--E--S--GV--P---ARFSGSG-------S--GT----D-FTLNIHPVEE-EDAATYYCQQSNE----------------------------DPYTFG-GGTKLEIK-"/>
    <s v="hv4"/>
    <s v="kv7"/>
    <n v="0.13286308999999999"/>
    <n v="1.7460922999999999E-8"/>
    <n v="0.17460848000000001"/>
    <n v="0"/>
    <n v="0"/>
    <n v="0"/>
  </r>
  <r>
    <x v="13"/>
    <x v="0"/>
    <x v="0"/>
    <s v="EVQ-LVESGG-GLIQPGGSLRLSCAASGFNV---------SYSSIH-WVRQ-A-P-G-K--G-LE-WVASIYSS-----------SGYTSY--A--D--SV--K---GRFTISA-D---T-S--KN----T-AYLQMNSLRA-EDTAVYYCARYSR---------------------------GGSLPWG-QGTLVTVSS"/>
    <s v="DIQ-MTQSPSSLSASVGDRVTITCRASQSV-----------SSAVA-WYQQ-K-P-G-K--A-PK-LLIYSA----------------SSL--Y--S--GV--P---SRFSGSR-------S--GT----D-FTLTISSLQP-EDFATYYCQQYLY----------------------------YPITFG-QGTKVEIK-"/>
    <s v="hv3"/>
    <s v="kv1"/>
    <n v="0.99999979999999999"/>
    <n v="0.99999886999999998"/>
    <n v="0.99767930000000005"/>
    <n v="1"/>
    <n v="1"/>
    <n v="1"/>
  </r>
  <r>
    <x v="14"/>
    <x v="0"/>
    <x v="0"/>
    <e v="#NAME?"/>
    <s v="QSV-LTQPPS-VSAAPGQKVTISCSGSSSN------------IGNN-WYQQ-F-P-G-K--A-PK-LIIYDV----------------TNL--A--S--GV--P---SRFSGSK-------S--GN----T-ASLTISGLQA-EDEADYYCSSYTTS-------------------------LRDIWVFG-GGTKLTVL-"/>
    <s v="hv4"/>
    <s v="lv1"/>
    <n v="0.99999910000000003"/>
    <n v="0.99949840000000001"/>
    <n v="0.99990409999999996"/>
    <n v="1"/>
    <n v="1"/>
    <n v="1"/>
  </r>
  <r>
    <x v="15"/>
    <x v="0"/>
    <x v="0"/>
    <s v="QVQ-LVQSGA-EVKKPGASVKVSCKASGYTF---------TGYYMH-WVRQ-A-P-G-Q--G-LE-WMGWINPS-----------SGSTSY--V--Q--EF--K---DKATLTA-D---K-S--SS----T-AYMELSSLRS-EDTAVYFCARLEYDYQ----------------------GFWYFDVWG-TGTTVTVSS"/>
    <s v="EIV-LTQSPGTLSLSPGERATLSCRASQSVS----------SSYLA-WYQQ-K-P-G-Q--A-PR-LLIYGA----------------SSR--A--T--GI--P---DRFSGSG-------S--GT----D-FTLTISRLEP-EDFAVYYCQQYGS----------------------------SPWTFG-QGTKVEIK-"/>
    <s v="hv1"/>
    <s v="kv3"/>
    <n v="0.99994130000000003"/>
    <n v="0.99999994000000003"/>
    <n v="0.94278430000000002"/>
    <n v="1"/>
    <n v="1"/>
    <n v="1"/>
  </r>
  <r>
    <x v="16"/>
    <x v="0"/>
    <x v="0"/>
    <s v="QVQ-LQQSGA-ELVKPGASVKLSCKASGYTF---------TSYWIE-WVKQ-R-P-G-H--G-LE-WIGEIIIG------------GESSY--N--E--KF--K---GKATLTA-D---K-S--SS----T-AYMQLSSLTS-EDSAVYYCARGGFN--------------------------YGFDYWG-QGTTLTVSS"/>
    <s v="DIL-LTQSPAILSVSPGERVSFSCRASQSI-----------GTDIH-WYQQ-R-T-N-G--S-PR-LLIKYA----------------SES--I--S--GI--P---SRFSGSG-------S--GT----D-FTLSINSVES-EDVGVYYCQQYSS----------------------------WPRTFG-GGTKLEIK-"/>
    <s v="hv1"/>
    <s v="kv6"/>
    <n v="0.46669480000000002"/>
    <n v="8.7440213000000005E-7"/>
    <n v="5.1842060000000002E-3"/>
    <n v="0"/>
    <n v="0"/>
    <n v="0"/>
  </r>
  <r>
    <x v="17"/>
    <x v="0"/>
    <x v="0"/>
    <s v="QVQ-LVQSGA-EVKKPGASVKVSCKASGGTF---------NTYAIS-WVRQ-A-P-G-Q--G-LE-WMGRIIIL------------DVAHY--A--P--HL--Q---GRVTITA-D---K-S--TS----T-VYLELRNLRS-DDTAVYYCARGGSSY------------------------YGWLGYWG-QGTLVTVSS"/>
    <s v="DIQ-MTQSPSSLSASVGDRVTITCRASQDI-----------SNYLN-WYQQ-K-P-G-K--A-PK-LLISDA----------------SNL--E--T--GV--P---SRFSGSG-------S--GT----D-FTFTISSLQP-EDIATYYCQQYDN----------------------------LPLTFG-GGTKVEIK-"/>
    <s v="hv1"/>
    <s v="kv1"/>
    <n v="0.99999994000000003"/>
    <n v="0.99999994000000003"/>
    <n v="0.98131710000000005"/>
    <n v="1"/>
    <n v="1"/>
    <n v="1"/>
  </r>
  <r>
    <x v="18"/>
    <x v="0"/>
    <x v="0"/>
    <s v="QVQ-LQESGP-GLVKPSETLSLTCTVSGGSI---------SSYYWS-WIRQ-P-P-G-K--G-LE-WIGYIYYS------------GSTYY--N--P--SL--K---SRVTISV-D---T-S--KN----Q-FSLKLSSVTA-ADTAVYYCARWG------------------------------RHYWG-PGTVVTVSS"/>
    <s v="DIQ-MTQSPSSLSASVGDRVTITCRASQSI-----------STWLA-WYQQ-K-P-G-K--A-PK-LLIYKA----------------SSL--E--S--GV--P---SRFSGSG-------S--GT----E-FTLTITSLQP-DDFATYYCQQYKY---------------------------VSPLTFG-QGTKVEIK-"/>
    <s v="hv4"/>
    <s v="kv1"/>
    <n v="0.9860006"/>
    <n v="0.99996035999999999"/>
    <n v="0.48635184999999997"/>
    <n v="1"/>
    <n v="1"/>
    <n v="0"/>
  </r>
  <r>
    <x v="19"/>
    <x v="0"/>
    <x v="0"/>
    <s v="EVQ-LVESGG-GLVQPGGSLRLSCAASGFNV---------SYYSIH-WVRQ-A-P-G-K--G-LE-WVASIYSY-----------YGSTSY--A--D--SV--K---GRFTISA-D---T-S--KN----T-AYLQMNSLRA-EDTAVYYCARGYY---------------------------FYLDYWG-QGTLVTVSS"/>
    <s v="DIQ-MVPMSLDASQSVTNGVTISCKASQSLLN--------SRVTYQ-WY-Q-K-P-G-Q--S-PK-LILYKM----------------SNL--A--S--GV--P---DRFSGSG-------S--GT----D-FTLKISRVQP-EDFGTYYCQHFYG----------------------------TPYTFG-PGTKVDIK-"/>
    <s v="hv3"/>
    <s v="kv1"/>
    <n v="0.99999576999999995"/>
    <n v="3.4989963999999998E-2"/>
    <n v="1.0767177000000001E-15"/>
    <n v="1"/>
    <n v="0"/>
    <n v="0"/>
  </r>
  <r>
    <x v="20"/>
    <x v="0"/>
    <x v="0"/>
    <s v="QVQ-LVQSGA-EVKKPGASVKVSCKASGYTF---------TSHWIH-WVRQ-A-P-G-Q--G-LE-WMGIINPS------------GDTNY--A--Q--KF--Q---GRVTMTR-D---T-S--IS----T-AYMEL---RS-EDTAVYYCAREGGF-------------------------HYGMDVWG-QGTTVTVSS"/>
    <s v="DIQ-MTQSPSSLSASVGDRVTITCRASQGI-----------SSWLA-WYQQ-K-P-G-K--A-PK-LLIYKA----------------SSL--E--S--GV--P---SRFSGSG-------S--GT----E-FTLTISSLQP-DDFATYYCQQYN-----------------------------SYWTFG-QGTKLEIK-"/>
    <s v="hv1"/>
    <s v="kv1"/>
    <n v="0.99998825999999996"/>
    <n v="0.99999610000000005"/>
    <n v="0.99975705000000004"/>
    <n v="1"/>
    <n v="1"/>
    <n v="1"/>
  </r>
  <r>
    <x v="21"/>
    <x v="0"/>
    <x v="0"/>
    <s v="EVQ-LVESGG-GLVQPGGSLRLSCAASGFNI---------KDTYIH-WVRQ-A-P-G-K--G-LE-WVASISPY-----------SGYTYY--A--D--SV--K---GRFTISA-D---T-S--KN----T-AYLQMNSLRA-EDTAVYYCARQSYRSLW--------------------SGYFAMDYWG-QGTLVTVSS"/>
    <s v="DIQ-MTQSPSSLSASVGDRVTITCRASQSV-----------SSAVA-WYQQ-K-P-G-K--A-PK-LLIYSA----------------SSL--Y--S--GV--P---SRFSGSR-------S--GT----D-FTLTISSLQP-EDFATYYCQQS-------------------------------AYTFG-QGTKVEIK-"/>
    <s v="hv3"/>
    <s v="kv1"/>
    <n v="0.99999934000000001"/>
    <n v="0.99999970000000005"/>
    <n v="0.99044715999999999"/>
    <n v="1"/>
    <n v="1"/>
    <n v="1"/>
  </r>
  <r>
    <x v="22"/>
    <x v="0"/>
    <x v="0"/>
    <s v="EVH-LQQSGP-ELVKPGASMKISCKTSGYTF----------TRYFH-WVKQ-R-P-G-H--G-LE-WIGFIYPG------------GNTNY--N--E--KF--K---GKATLTA-D---K-S--SN----T-AYMQLSSLTSVADTAVYFCVRGYYVYNY--------------------SGGDYFDLWG-QGTTVTVSS"/>
    <s v="DIV-MTQTPLSLPVTPGEPASISCRSSQSLVHS------DGNTYLF-WFLQ-R-P-G-Q--S-PR-RLIYKV---------------ASQS--I--S--GV--P---DRFSGSG-------S--GT----D-FTLKISRVEA-EDVGVYYCMQGTH----------------------------WPLTFG-AGTKLELK-"/>
    <s v="hv1"/>
    <s v="kv2"/>
    <n v="2.5590343E-4"/>
    <n v="2.4506898999999999E-2"/>
    <n v="2.8009847999999999E-5"/>
    <n v="0"/>
    <n v="0"/>
    <n v="0"/>
  </r>
  <r>
    <x v="23"/>
    <x v="0"/>
    <x v="0"/>
    <s v="QVQ-LVQSGA-EVKKPGESLKISCKGSGYSF---------TSYWIG-WVRQ-M-P-G-K--G-LE-WMGIIYGD------------SDTRY--S--P--SF--Q---GQVTISA-D---K-S--IS----T-AYLQWSSLKA-SDTAMYYCARPDYG--------------------------TTVDYWG-QGTLVTVSA"/>
    <s v="EIV-LTQSPATLSLSPGERATLSCRASQSV-----------SSYLA-WYQQ-K-P-G-Q--A-PR-LLIYDA----------------SNR--A--T--GI--P---ARFSGSG-------S--GT----D-FTLTISSLEP-EDFAVYYCQQRSN---------------------------WPPWTFG-QGTKVEIK-"/>
    <s v="hv5"/>
    <s v="kv3"/>
    <n v="0.99989039999999996"/>
    <n v="0.99999994000000003"/>
    <n v="0.82307759999999996"/>
    <n v="1"/>
    <n v="1"/>
    <n v="1"/>
  </r>
  <r>
    <x v="24"/>
    <x v="0"/>
    <x v="0"/>
    <s v="EVQ-LQQSGP-ELVKPGASVKAPKLSISCSVAN-----VDTINYVH-WVKQ-R-P-E-Q--G-LE-WIGNINPY-----------TSHIKY--K--D--QG--K-----VT----S---S-V--SS----A-NFVYLNSLTS-EDSAVYYCVSDGRT--------------------------GQFDYWG-QGTLLTVSS"/>
    <s v="DIQ-MTQSPASLSVSVGETVTITCRASENI-----------YSNLV-WYQQ-K-Q-G-K--S-PQ-LLVYYT---------------TSNL--A--D--GV--P---SRFSGSG-------S--GT----Q-YSLKINSLQS-EDFGTYYCQHFWG----------------------------TPWTFG-GGTKLTVL-"/>
    <s v="hv1"/>
    <s v="kv1"/>
    <n v="2.7483105000000002E-5"/>
    <n v="1.3493256E-4"/>
    <n v="5.6078985000000001E-8"/>
    <n v="0"/>
    <n v="0"/>
    <n v="0"/>
  </r>
  <r>
    <x v="25"/>
    <x v="0"/>
    <x v="0"/>
    <s v="QVQ-LEESGP-GLVKPSQTLSLTCTVSGGSIS-------SSSYYWG-WIRQ-P-P-G-K--G-LE-WIGSIYYS------------GSTYY--N--P--SL--K---SRVTISV-D---T-S--KN----Q-FSLKVNSVTA-ADTAVYYCARWDVY--------------------------GWFDVWG-QGTTVTVSS"/>
    <s v="DIV-MTQSPDSLAVSLGERATINCRSSQSV------------NYLA-WYQQ-K-P-G-Q--P-PK-LLIYWA----------------STR--E--S--GV--P---DRFSGSG-------S--GT----D-FTLTISSLQA-EDVAVYYCQQGYS----------------------------IPYTFG-QGTKLEIK-"/>
    <s v="hv4"/>
    <s v="kv4"/>
    <n v="0.99999994000000003"/>
    <n v="0.99999994000000003"/>
    <n v="0.64460320000000004"/>
    <n v="1"/>
    <n v="1"/>
    <n v="1"/>
  </r>
  <r>
    <x v="26"/>
    <x v="0"/>
    <x v="0"/>
    <s v="EVQ-LVESGG-GLVQPGGSLRLSCAASGFNL---------SSYSIH-WVRQ-A-P-G-K--G-LE-WVAYIYYG-----------SGYTSY--A--D--SV--K---GRFTISA-D---T-S--KN----T-AYLQMNSLRA-EDTAVYYCARYYDSSGY-------------------YGSGSYFDYWG-QGTLVTVSS"/>
    <s v="DIQ-MTQSPSSLSASVGDRVTITCRASQSV-----------SSAVA-WYQQ-K-P-G-K--A-PK-LLIYSA----------------SSL--Y--S--GV--P---SRFSGSR-------S--GT----D-FTLTISSLQP-EDFATYYCQQYRY---------------------------WPPITFG-QGTRLEIK-"/>
    <s v="hv3"/>
    <s v="kv1"/>
    <n v="0.99999910000000003"/>
    <n v="0.99999994000000003"/>
    <n v="0.95329034000000001"/>
    <n v="1"/>
    <n v="1"/>
    <n v="1"/>
  </r>
  <r>
    <x v="27"/>
    <x v="0"/>
    <x v="0"/>
    <s v="QVQ-LKESGP-GLVAPSQSLSITCTVSGFSLT--------TGGSVS-WLRQ-P-P-G-R--G-LE-WLGVIWG-------------GSTNY--N--S--GAT-AY--GKFTISR-L---T-S--ID----T-AFYAM-SLKS-ADEGRYYCAREAAYSGGS------------------DYYRAGFDYWG-QGTLVTVSS"/>
    <s v="DIQ-MTQSPSTLSASVGDRVTITCRASQGI-----------SNYLA-WYQQ-K-P-G-K--A-PK-LLIYDA----------------SSL--Q--S--GV--P---SRFSGSG-------S--GT----D-FTLTISSLQP-EDFATYYCQQLNS----------------------------YPPAFG-QGTKVEIK-"/>
    <s v="hv4"/>
    <s v="kv1"/>
    <n v="0.65652984000000003"/>
    <n v="0.99999979999999999"/>
    <n v="5.6438310000000004E-13"/>
    <n v="1"/>
    <n v="1"/>
    <n v="0"/>
  </r>
  <r>
    <x v="28"/>
    <x v="0"/>
    <x v="0"/>
    <s v="EVQ-LVQSGA-EVKKPGASVKVSCKASGYTF---------TSYYMH-WVRQ-A-P-G-Q--G-LE-WMGRIDPS-----------DSKTNY--A--Q--KF--Q---GRVTMTT-D---T-S--TS----T-AYMELRSLRS-DDTAVYYCARGGWISLYY-----------------DSSGYPYFDYWG-QGTLVTVS-"/>
    <s v="EIV-MTQSPATLSLSPGERATLSCRASQSV-----------SSYLA-WYQQ-K-P-G-Q--A-PR-LLIYDA----------------SNR--A--T--GI--P---ARFSGSG-------S--GT----D-FTLTISSLEP-EDFAVYYCQQHI-----------------------------NTWTFG-QGTKVEIK-"/>
    <s v="hv1"/>
    <s v="kv3"/>
    <n v="0.99602246000000005"/>
    <n v="0.99999479999999996"/>
    <n v="0.96950066000000001"/>
    <n v="1"/>
    <n v="1"/>
    <n v="1"/>
  </r>
  <r>
    <x v="29"/>
    <x v="0"/>
    <x v="0"/>
    <s v="QVQ-LQQSGP-GLVKPSQTLSLTCAISGDSVS-------SNSAAWN-WIRQ-S-P-S-R--G-LE-WLGRTYY-------------SGVYY--N--P--SL--K---SRVTISV-D---T-S--KN----Q-FSLKLSSVTA-ADTAVYYCARDPP---------------------------RIFDPWG-QGTLVTVSS"/>
    <s v="-SV-LTQPPS-VSGAPGQRVTISCTGSSGA-----------GYDVH-WYQQ-L-P-G-T--A-PK-LLIYGN----------------NNR--P--S--GV--P---DRFSGSK-------S--GT----S-ASLAITGLQA-EDEADYYCQSYDS----------------------------SLYVFG-TGTKVTVL-"/>
    <s v="hv4"/>
    <s v="lv1"/>
    <n v="0.93293106999999997"/>
    <n v="0.99999994000000003"/>
    <n v="0.91500440000000005"/>
    <n v="1"/>
    <n v="1"/>
    <n v="1"/>
  </r>
  <r>
    <x v="30"/>
    <x v="0"/>
    <x v="0"/>
    <s v="QVQ-LVQSGA-EVKKPGASVKVSCKASGYTF---------TGYYMH-WVRQ-A-P-G-Q--G-LE-WMGWINPN-----------SGGTSY--A--Q--KF--Q---GRVTMTR-D---T-S--IS----T-AYMELSRLRS-DDTAVYYCATQGD---------------------------WYFDLWG-RGTLVTVSS"/>
    <s v="DIQ-MTQSPSSLSASVGDRVTITCRASQDI-----------SSWLA-WYQH-K-P-G-K--A-PK-LLIYAA----------------SSL--Q--S--GV--P---SRFSGSG-------S--GT----D-FTLTISSLQP-EDFATYYCQQAYK----------------------------TPITFG-QGTKVEIK-"/>
    <s v="hv1"/>
    <s v="kv1"/>
    <n v="0.99998589999999998"/>
    <n v="0.99999709999999997"/>
    <n v="0.13458550999999999"/>
    <n v="1"/>
    <n v="1"/>
    <n v="0"/>
  </r>
  <r>
    <x v="31"/>
    <x v="0"/>
    <x v="0"/>
    <s v="EVQ-LVESGG-GLVQPGGSLRLSCAASGFNV---------YSSSIH-WVRQ-A-P-G-K--G-LE-WVASIYSY-----------YGSTYY--A--D--SV--K---GRFTISA-D---T-S--KN----T-AYLQMNSLRA-EDTAVYYCARHT-----------------------------GAGYWG-QGTLVTVSS"/>
    <s v="DIQ-MTQSPSSLSASVGDRVTITCRASQSV-----------SSAVA-WYQQ-K-P-G-K--A-PK-LLIYSA----------------SSL--Y--S--GV--P---SRFSGSR-------S--GT----D-FTLTISSLQP-EDFATYYCQQGHS----------------------------FPITFG-QGTKVEIK-"/>
    <s v="hv3"/>
    <s v="kv1"/>
    <n v="0.99998480000000001"/>
    <n v="0.99996715999999997"/>
    <n v="0.99692270000000005"/>
    <n v="1"/>
    <n v="1"/>
    <n v="1"/>
  </r>
  <r>
    <x v="32"/>
    <x v="0"/>
    <x v="0"/>
    <s v="QVQ-LQESGP-GLVKPSQSLSLTCTVTGYSIT--------SDYAWN-WIRQ-F-P-G-N--K-LE-WMGYITYS------------GTTNY--N--P--SL--K---SRISITR-D---T-S--KN----Q-FFLQLSSVTT-EDTATYYCARWASGYN----------------------KYYGLDYWG-QGTLVTVSS"/>
    <s v="DIQ-MTQSPSSLSASVGDRVTITCRASQSI-----------SSYLN-WYQQ-K-P-G-K--A-PK-LLIYAA----------------SSL--Q--S--GV--P---SRFSGSG-------S--GT----D-FTLTISSLQP-EDFATYYCQQSYS----------------------------TPRTFG-QGTKVEIK-"/>
    <s v="hv4"/>
    <s v="kv1"/>
    <n v="7.5308489999999998E-5"/>
    <n v="0.99999994000000003"/>
    <n v="2.9348732999999998E-3"/>
    <n v="0"/>
    <n v="1"/>
    <n v="0"/>
  </r>
  <r>
    <x v="33"/>
    <x v="0"/>
    <x v="0"/>
    <s v="QVQ-LQQPGA-ELVKPGASVKLSCKASGYTF---------TSYWMH-WVKQ-R-P-G-H--G-LE-WIGEILGS-----------GGSTNY--N--E--KF--K---GKATFTA-D---K-S--SN----T-AYMQLSSLTS-EDSAIYYCTK---------------------------------DYWG-QGTTLTVSS"/>
    <s v="DIQ-MTQSPASLSASVGETVTITCRASGNI-----------HNYLA-WYQQ-K-Q-G-K--S-PQ-LLVYNA----------------KTL--A--D--GV--P---SRFSGSG-------S--GT----Q-YSLKINSLQP-EDFGSYYCQHFWS----------------------------TPFTFG-SGTKLEIK-"/>
    <s v="hv1"/>
    <s v="kv1"/>
    <n v="0.45985377"/>
    <n v="2.49009E-8"/>
    <n v="4.67202E-6"/>
    <n v="0"/>
    <n v="0"/>
    <n v="0"/>
  </r>
  <r>
    <x v="34"/>
    <x v="0"/>
    <x v="0"/>
    <s v="EVQ-LQQSGP-ELVKPGASVKIPCKASGYTF---------TDYNMH-WVKQ-S-H-G-K--S-LE-WIGFYATG------------SETRY--N--Q--KF--R---GKATLTV-D---K-S--SS----T-AFMQLNSLTS-EDSAVYYCAREGYYGY----------------------DGYHFDYWG-QGTTLTVSS"/>
    <s v="DIV-ITQSPSSLSASVGDRVTITCRASQDI-----------SGYLN-WYQQ-K-P-G-K--A-PK-LLISDA----------------SSL--E--S--GV--P---SRFSGSG-------S--GT----D-FTLTISSLQP-EDFATYYCQQSNT----------------------------LPFTFG-PGTKVDIK-"/>
    <s v="hv1"/>
    <s v="kv1"/>
    <n v="0.15454106000000001"/>
    <n v="0.99999709999999997"/>
    <n v="2.7771756E-8"/>
    <n v="0"/>
    <n v="1"/>
    <n v="0"/>
  </r>
  <r>
    <x v="35"/>
    <x v="0"/>
    <x v="0"/>
    <s v="EVQ-LVESGG-GLVQPGGSLRLSCAASGFTF---------SSYWMS-WVRQ-A-P-G-K--G-LE-WVANIKQD-----------GSEKYY--V--D--SV--K---GRFTISR-D---N-A--KN----S-LYLQMNSLRA-EDTAVYYCTTTA-----------------------------LFAYWG-QGTLVTVSS"/>
    <s v="-IV-MTQSQKFMSTSVGDRVSVTCKASQNV-----------GTNVA-WYQQ-K-P-G-Q--S-PK-ALIYSA----------------SYR--Y--S--GV--P---DRFTGSG-------S--GT----D-FTLTISNVQS-EDLAEYFCQQYNS----------------------------YPYTFG-GGTKLEIK-"/>
    <s v="hv3"/>
    <s v="kv6"/>
    <n v="0.31404494999999999"/>
    <n v="1.7734801E-9"/>
    <n v="1.5309496E-7"/>
    <n v="0"/>
    <n v="0"/>
    <n v="0"/>
  </r>
  <r>
    <x v="36"/>
    <x v="0"/>
    <x v="0"/>
    <s v="QVQ-LVQSGA-EVKKPGSSVKVSCKASGGTF---------SSYAIS-WVRQ-A-P-G-Q--G-LE-WMGGIIIF------------GTANY--A--Q--KF--Q---GRVTITA-D---E-S--TS----T-AYMEVSSLRS-EDTAVYYCARGFSD-------------------------YWYFDLWG-RGTLVTVSS"/>
    <s v="ETV-LTQSPGTLSLSPGERATLSCRASQSIS----------SSYLA-WYQQ-K-P-G-Q--A-PR-LLIYGA----------------SSR--A--T--GI--P---DRFSGSG-------S--GT----D-FTLTISRLEP-EDFAVYYCQQYVS----------------------------SPRTFG-QGTKLEIK-"/>
    <s v="hv1"/>
    <s v="kv3"/>
    <n v="0.99999979999999999"/>
    <n v="0.99999994000000003"/>
    <n v="0.24268758000000001"/>
    <n v="1"/>
    <n v="1"/>
    <n v="0"/>
  </r>
  <r>
    <x v="37"/>
    <x v="0"/>
    <x v="0"/>
    <s v="QVQ-LKQPGG-GLVQPGGSLRLSCAASGFTF---------NDYAMS-WVRQ-A-P-G-K--G-LE-WVSAISGS-----------GGSTYY--A--D--SV--K---GRFTISR-D---N-S--KN----T-LYLQMNSLRA-EDTAVYYCARDLWF--------------------------GGFDYWG-QGTLVTVSS"/>
    <s v="DIQ-MTQSPSSLSASVGDRVTITCRASQDV-----------NTAVA-WYQQ-K-P-G-K--A-PK-LLIYSA----------------SFL--Y--S--GV--P---SRFSGSG-------S--GT----D-FTLTISSLQP-EDFATYYCQQYKY----------------------------VPVTFG-QGTKVEIK-"/>
    <s v="hv3"/>
    <s v="kv1"/>
    <n v="0.99999994000000003"/>
    <n v="0.99377835000000003"/>
    <n v="8.4862710000000001E-3"/>
    <n v="1"/>
    <n v="1"/>
    <n v="0"/>
  </r>
  <r>
    <x v="38"/>
    <x v="0"/>
    <x v="0"/>
    <s v="QVQ-LQESGP-GLVKPSQTLSLTCTVSGGSIS-------SGSYYWS-WIRQ-H-P-G-K--G-LE-WIGYIYYS------------GTTYY--N--P--SL--K---SRLTISK-D---T-S--KN----Q-FSLNLNSVTT-EDTATYYCARAS-----------------------------GFDYWG-QGTLVTVSS"/>
    <s v="DIQ-MTQSPSSLSASVGDRVTVTCRASQNV-----------GTNVA-WYQQ-K-P-G-K--A-PK-LLIYAA----------------SNL--E--S--GV--P---SRFSGSG-------S--GT----D-FTLTISSLQP-EDFATYYCQQGSI----------------------------YPFTFG-QGTKVEIK-"/>
    <s v="hv4"/>
    <s v="kv1"/>
    <n v="0.98623539999999998"/>
    <n v="1.2565847E-2"/>
    <n v="0.99949235000000003"/>
    <n v="1"/>
    <n v="0"/>
    <n v="1"/>
  </r>
  <r>
    <x v="39"/>
    <x v="0"/>
    <x v="0"/>
    <s v="EVQ-LVESGG-GLVQPGGSLRLSCAASGFNV---------YSSSIH-WVRQ-A-P-G-K--G-LE-WVASIYSY------------SYTSY--A--D--SV--K---GRFTISA-D---T-S--KN----T-AYLQM---RA-EDTAVYYCARYY-----------------------------GYDYWG-QGTLVTVSS"/>
    <s v="DIQ-MTQSPSSLSASVGDRVTITCRASQSV-----------SSAVA-WYQQ-K-P-G-K--A-PK-LLIYSA----------------SSL--Y--S--GV--P---SRFSGSR-------S--GT----D-FTLTISSLQP-EDFATYYCQQYLY----------------------------YPITFG-QGTKVEIK-"/>
    <s v="hv3"/>
    <s v="kv1"/>
    <n v="0.99999780000000005"/>
    <n v="0.99999886999999998"/>
    <n v="0.99494939999999998"/>
    <n v="1"/>
    <n v="1"/>
    <n v="1"/>
  </r>
  <r>
    <x v="40"/>
    <x v="0"/>
    <x v="0"/>
    <s v="EVQ-LVESGA-GLVQPGGSLRLSCAASGFTF---------SSLSMH-WVRQ-T-T-G-K--G-LE-WVSTIGSG------------GDTYY--A--D--SV--K---GRFTISR-D---N-S--KN----T-LYLQMNSLRA-EDTAVYYCARDLGE--------------------------YAMDYWG-QGTLVTVSG"/>
    <s v="DIQ-MTQSPSSLSASVGDRVTITCRASQGI-----------SSYLA-WYQQ-K-P-G-K--A-PK-LLIYAA----------------SSL--Q--S--GV--P---SRFSGSG-------S--GT----D-FTLTISSLQP-EDFATYYCQHLNS----------------------------YPLTFG-GGTKVEIK-"/>
    <s v="hv3"/>
    <s v="kv1"/>
    <n v="0.99631890000000001"/>
    <n v="0.99999267000000003"/>
    <n v="0.99994974999999997"/>
    <n v="1"/>
    <n v="1"/>
    <n v="1"/>
  </r>
  <r>
    <x v="41"/>
    <x v="0"/>
    <x v="0"/>
    <s v="QVQ-LQESGP-GLVKPSQTLSLTCTVSGGSIS-------SGSYYWS-WIRQ-H-P-G-K--G-LE-WIGYIYYS------------GSTDY--N--P--SL--S---SRVTMSV-D---T-S--KN----Q-FSLNLNSVTA-ADTAVYYCARDPYY-------------------------DTSFAYWG-QGTLVTVSS"/>
    <s v="DIV-MTQSPSSLSASVGDRVTITCRASQSI-----------SRWLA-WYQQ-K-P-G-K--A-PK-LLIYKA----------------SSL--E--S--GV--P---SRFSGSG-------S--GT----E-FTLTISSLQP-DDFATYYCQQYNN----------------------------YPLTFG-QGTKVEIK-"/>
    <s v="hv4"/>
    <s v="kv1"/>
    <n v="0.99999830000000001"/>
    <n v="0.9999979"/>
    <n v="0.99995489999999998"/>
    <n v="1"/>
    <n v="1"/>
    <n v="1"/>
  </r>
  <r>
    <x v="42"/>
    <x v="0"/>
    <x v="0"/>
    <s v="QVQ-LQESGP-GLVKPSETLSLTCTVSGGSI---------SSGSYY-WIRQ-P-P-G-K--G-LE-WIGYIYYS------------GSTYY--N--P--SL--K---SRVTISV-D---T-S--KN----Q-FSLKLNSVTA-ADTAVYYCARVRVG--------------------------GDLYYWG-QGTLVTVSS"/>
    <s v="DIQ-MTQSPSSLSASVGDRVTITCRASQGI-----------RNYLA-WYQQ-K-P-G-K--A-PK-LLIWD-----------------ASL--Q--S--GV--P---SRFSGSG-------S--GT----D-FTLTISSLQP-EDFATYYCQQYY-----------------------------SLWTFG-QGTKVEIK-"/>
    <s v="hv4"/>
    <s v="kv1"/>
    <n v="0.99999744000000002"/>
    <n v="0.99945580000000001"/>
    <n v="0.36016642999999998"/>
    <n v="1"/>
    <n v="1"/>
    <n v="0"/>
  </r>
  <r>
    <x v="43"/>
    <x v="0"/>
    <x v="0"/>
    <s v="QVQ-LQESGP-GLVKPSETLSLTCTVSGDSIS-------SGSYYWG-WIRQ-P-P-G-K--G-LE-WIGSIYYS------------GSTYY--S--P--SL--K---SRVSISV-D---T-S--KN----Q-FSLKLSSVTA-ADTAVYYCARSDV---------------------------WGFDVWG-QGTTVTVSS"/>
    <s v="DIQ-MTQSPSSLSASVGDRVTITCRASQGI------------DSLA-WYQQ-K-P-G-K--A-PK-VLIYAA----------------SSL--Q--S--GV--P---SRFSGSG-------S--GT----D-FTLTISSLQP-EDFATYYCQQLNS----------------------------YPPRFG-GGTKVEIK-"/>
    <s v="hv4"/>
    <s v="kv1"/>
    <n v="0.99999979999999999"/>
    <n v="0.99999979999999999"/>
    <n v="0.99567329999999998"/>
    <n v="1"/>
    <n v="1"/>
    <n v="1"/>
  </r>
  <r>
    <x v="44"/>
    <x v="0"/>
    <x v="0"/>
    <s v="QVQ-LQQSGP-ELVKPGASVKLSCTASGFNI---------KDTYIH-WVKQ-R-P-E-Q--G-LE-WIGRIDPA-----------NGDTKY--A--P--KF--Q---GKATITT-D---T-F--SN----T-AYLQLSSLTS-EDTAVYYCARGWFP-------------------------YYAMDYWG-QGTSVTVSS"/>
    <s v="DIQ-MTQSPSSLSASVGDRVTITCRASQGI-----------SSYLA-WYQQ-K-P-G-K--A-PK-LLIYAA----------------STL--Q--S--GV--P---SRFSGSG-------S--GT----D-FTLTISSLQP-EDFATYYCQQSYS----------------------------TPYTFG-PGTKVDIK-"/>
    <s v="hv1"/>
    <s v="kv1"/>
    <n v="9.1669210000000001E-2"/>
    <n v="0.99999994000000003"/>
    <n v="1.7950866000000001E-6"/>
    <n v="0"/>
    <n v="1"/>
    <n v="0"/>
  </r>
  <r>
    <x v="45"/>
    <x v="0"/>
    <x v="0"/>
    <s v="EVQ-LVESGG-GLVQPGGSLRLSCAASGFTF---------SSYWMS-WVRQ-A-P-G-K--G-LE-WVANIKQD-----------GSEKYY--V--D--SV--K---GRFTISR-D---N-A--KKS---S-LYLQMNSLRA-EDTAVYYCARRRGA--------------------------GYFAYWG-QGTLVTVSS"/>
    <s v="DIQ-MTQSPSSLSASVGDRVTITCRASQSV-----------SSAVA-WYQQ-K-P-G-K--A-PK-LLIYSA----------------SSL--Y--S--GV--P---SRFSGSR-------S--GT----D-YTLTISSLQP-EDFATYYCQQYPW----------------------------YPFTFG-QGTKVEIK-"/>
    <s v="hv3"/>
    <s v="kv1"/>
    <n v="0.99902767000000003"/>
    <n v="0.99977684"/>
    <n v="0.88001644999999995"/>
    <n v="1"/>
    <n v="1"/>
    <n v="1"/>
  </r>
  <r>
    <x v="46"/>
    <x v="0"/>
    <x v="0"/>
    <s v="EVQ-LVQSGA-EVKKPGASVKVSCKASGYTF---------TSYYMH-WVRQ-A-P-G-Q--G-LE-WMGWINPN-----------SGNTGY--A--Q--KF--Q---GRVTMTT-D---T-S--TT----T-GYMELRRLRS-DDTAVYYCARGGYD--------------------------YYFDYWG-QGTLVTVSS"/>
    <s v="DIQ-MTQSPSSLSASVGDRVTITCRASQSI-----------SSYLN-WYQQ-K-P-G-K--A-PK-LLIYAA----------------SSL--Q--S--GV--P---SRFSGSG-------S--GT----D-FTLTISSLQP-EDFATYYCQQSYS----------------------------TPYTFG-QGTKVEIK-"/>
    <s v="hv1"/>
    <s v="kv1"/>
    <n v="0.99927162999999997"/>
    <n v="0.99999994000000003"/>
    <n v="0.98229854999999999"/>
    <n v="1"/>
    <n v="1"/>
    <n v="1"/>
  </r>
  <r>
    <x v="47"/>
    <x v="0"/>
    <x v="0"/>
    <s v="EVQ-LVESGG-GLVKPGGSLRLSCAASGFTF---------SSYAMS-WVRQ-A-P-G-K--G-LE-WVSSISYS-----------GGSINY--A--D--SV--E---GRFTISR-D---N-S--KN----T-LYLQMNSLRA-EDTAVYYCARD--------------------------------KVWG-QGILVTVSS"/>
    <s v="DIQ-MTQSPSSLSASVGDRVTITCRASQTI-----------SNYLN-WYQQ-K-P-G-K--A-PK-LLIYAA----------------SSL--Q--S--GV--P---SRFSGSG-------S--GT----D-FTLTISSLQP-EDFATYYCQQSYS----------------------------TPRTFG-QGTKVEIK-"/>
    <s v="hv3"/>
    <s v="kv1"/>
    <n v="0.99998739999999997"/>
    <n v="0.99999994000000003"/>
    <n v="0.99521314999999999"/>
    <n v="1"/>
    <n v="1"/>
    <n v="1"/>
  </r>
  <r>
    <x v="48"/>
    <x v="0"/>
    <x v="0"/>
    <s v="QVQ-LVESGG-GVVQPGRSLRLSCAASGFTF---------SSYTMH-WVRQ-A-P-G-K--G-LE-WVAVISDG------------SNKYY--A--D--SV--K---GRFTISR-D---N-S--KN----T-LYLQM---RA-EDTAVYYCAKSSS----------------------------RQDVWG-KGTTVTVSS"/>
    <s v="DIQ-MTQSPSTLSASVGDRVTITCRASQSI-----------SSWLA-WYQQ-K-P-G-K--A-PK-LLIYKA----------------SSL--E--S--GV--P---SRFSGSG-------S--GT----E-FTLTISGLQP-DDFATYYCQHYN-----------------------------SYSIFG-QGTRLEIK-"/>
    <s v="hv3"/>
    <s v="kv1"/>
    <n v="0.99999979999999999"/>
    <n v="0.99999994000000003"/>
    <n v="0.53870960000000001"/>
    <n v="1"/>
    <n v="1"/>
    <n v="1"/>
  </r>
  <r>
    <x v="49"/>
    <x v="0"/>
    <x v="0"/>
    <s v="QVQ-LQESGP-GLVKPSGTLSLTCAISGDSV---------SSNSAW-WIRQ-S-P-G-K--G-LE-WIGYIYYS------------GSTDY--N--P--SL--E---SRVTISV-D---T-S--KN----Q-FSLKLTSVTA-ADTAVYYCARVAY----------------------------VVDYWG-QGTLVTVSS"/>
    <s v="DIQ-MTQSPSSLSASVGDRVTITCRASQDI-----------SNYLN-WYQQ-K-P-G-K--A-PK-LLIYAA----------------SSL--Q--S--GV--P---SRFSGSG-------S--GT----D-FTLTISSLQP-EDFATYYCQQYYT----------------------------TPPTFG-QGTKVEIK-"/>
    <s v="hv4"/>
    <s v="kv1"/>
    <n v="0.99998679999999995"/>
    <n v="0.99999979999999999"/>
    <n v="0.99211203999999997"/>
    <n v="1"/>
    <n v="1"/>
    <n v="1"/>
  </r>
  <r>
    <x v="50"/>
    <x v="1"/>
    <x v="0"/>
    <s v="-VQ-LQQSGP-ELVKPGASVKISCKASGYAF---------SSYWIE-WVKQ-R-P-G-H--G-LE-WIGEILPG-----------SGSTDY--NN-E--KF--K---GKATLTV-D---R-S--TS----T-AYMELSSLRS-EDSAVYYCAREYVY--------------------------YAMDYWG-QGTSVTVSS"/>
    <s v="DIV-LTQSPASLAVSLGQRATISCKASQSVDY-------AGDSYMN-WYQQ-K-P-G-Q--P-PK-LLIYAA----------------SNL--E--S--GI--P---ARFSGSG-------S--RT----D-FTLTINPVEA-DDVATYYCQQTNE----------------------------DPRTFG-GGTKLEIK-"/>
    <s v="hv1"/>
    <s v="kv4"/>
    <n v="0.83638429999999997"/>
    <n v="6.9308252999999997E-6"/>
    <n v="1.1978706E-8"/>
    <n v="1"/>
    <n v="0"/>
    <n v="0"/>
  </r>
  <r>
    <x v="51"/>
    <x v="1"/>
    <x v="0"/>
    <s v="EVQ-LVESGG-GLVQPGGSLRLSCAASGFTF---------SNYAMH-WVRQ-A-P-G-K--G-LE-WVSSISS-------------GSSHY--T--D--TA--E---GRFTISR-D---N-S--KN----T-LYLQM---RA-EDTAVYYCARSRAS--------------------------LGPGYWG-QGTLVTVSS"/>
    <s v="-SV-LTQPPS-ASGTPGQRVTISCSGSSSNI---------GSNTVN-WYQQ-L-P-G-T--A-PK-LLIYSN----------------NQR--P--S--GV--P---DRFSGSK-------S--GT----S-ASLAISGLQS-EDEADYYCASYTR----------------------------SRWVFG-GGTKLTV--"/>
    <s v="hv3"/>
    <s v="lv1"/>
    <n v="0.99999720000000003"/>
    <n v="0.99999994000000003"/>
    <n v="0.96736160000000004"/>
    <n v="1"/>
    <n v="1"/>
    <n v="1"/>
  </r>
  <r>
    <x v="52"/>
    <x v="1"/>
    <x v="0"/>
    <s v="QVQ-LVQSGA-EVKKPGSSVKVSCKASGGTF---------SSYAIS-WVRQ-A-P-G-Q--G-LE-WMGGIIIF------------GTANY--A--Q--KF--Q---GRVTITA-D---K-S--TS----T-AYMEL---RS-EDTAVYYCARESG---------------------------GFDAFWG-QGTLVTV--"/>
    <s v="DIV-MTQSPSSLSASVGDRVTITCRASQSI-----------GSYLA-WYQQ-K-P-G-K--A-PK-LLIYAA----------------STL--Q--S--GV--P---SRFSGSG-------Y--GT----D-FTLTISSLQP-EDFATYYCQQSYS---------------------------TTPYTFG-QGTKVEIK-"/>
    <s v="hv1"/>
    <s v="kv1"/>
    <n v="0.99999994000000003"/>
    <n v="0.99999994000000003"/>
    <n v="5.4349895E-3"/>
    <n v="1"/>
    <n v="1"/>
    <n v="0"/>
  </r>
  <r>
    <x v="53"/>
    <x v="1"/>
    <x v="0"/>
    <s v="QVQ-LVQSGA-EVKKPGASVKVSCKASGYTF---------TSYGIS-WVRQ-A-P-G-Q--G-LE-WMGWISTY-----------NGNTRY--A--Q--KF--Q---GRVTMTT-D---T-S--TT----T-AYMEL---RS-DDTAVYYCARVVD---------------------------GAFDYWG-QGTLVTVSS"/>
    <s v="DIV-MTQSPSYLAASPGEKVTMTCQASQS-------------VSYS-WYQQ-K-P-G-T--A-PK-LLIYDR---------------TNQR--A--S--GV--P---ERFRGSG-------S--GT----D-FTLTIRGLQY-DDSVRYFCLY---------------------------------GTFG-QGTKLEIK-"/>
    <s v="hv1"/>
    <s v="kv1"/>
    <n v="0.99998370000000003"/>
    <n v="6.7793116E-2"/>
    <n v="3.7572925000000002E-10"/>
    <n v="1"/>
    <n v="0"/>
    <n v="0"/>
  </r>
  <r>
    <x v="54"/>
    <x v="1"/>
    <x v="0"/>
    <s v="QVQ-LQQWGA-GLLKPSETLSLTCAVYGGSF---------SGYYWS-WIRQ-P-P-G-K--G-LE-WIGEINHS------------GSTNY--N--P--SL--K---SRVTISL-D---T-S--KN----Q-FSLKLSSVTA-ADTAVYYCARVAPYCSH-------------------FCYDGTQSHWG-QGTLVTVSS"/>
    <s v="DIQ-MTQSPSSLSASVGDRVTITCRASQGI-----------SSWLA-WYQQ-K-P-G-E--A-PK-LLIYAA----------------STL--Q--S--GV--P---SRFSGSG-------S--GT----D-FTLTISSLQP-EDFATYYCQQSHE----------------------------DPRTFG-QGTKVEIK-"/>
    <s v="hv4"/>
    <s v="kv1"/>
    <n v="0.99999994000000003"/>
    <n v="0.24242789000000001"/>
    <n v="0.14702933000000001"/>
    <n v="1"/>
    <n v="0"/>
    <n v="0"/>
  </r>
  <r>
    <x v="55"/>
    <x v="1"/>
    <x v="0"/>
    <s v="EVQ-LVQSGA-EVKKPGESLKISCKGSGYSF---------TSYWIG-WVRQ-M-P-G-K--G-LE-WMGIIYPD-----------DSDTRY--S--P--SF--Q---GQVTISA-D---K-S--IS----T-AYLQWSSLKA-SDTAMYYCARGYDYY------------------------GYFMDVWG-QGTTVTVSS"/>
    <s v="QSV-LTQPPS-VSAAPGQKVTISCSGSSSNI---------GNNYVS-WYQQ-L-P-G-T--A-PK-LLIYDN----------------NKR--P--S--GI--P---DRFSGSK-------S--GT----S-ATLGITGLQT-GDEADYYCGSWDDS--------------------------LTHVVFG-GGTKLTVL-"/>
    <s v="hv5"/>
    <s v="lv1"/>
    <n v="0.98280363999999998"/>
    <n v="0.99999994000000003"/>
    <n v="0.99999994000000003"/>
    <n v="1"/>
    <n v="1"/>
    <n v="1"/>
  </r>
  <r>
    <x v="56"/>
    <x v="1"/>
    <x v="0"/>
    <s v="QVQ-LQQSGA-ELMKPGASVKISCKASGYTF---------SSYWIE-WVKQ-R-P-G-H--G-LE-WIGEILPG-----------SGSTNY--N--E--KF--K---GKATFTA-D---T-S--SN----T-AYMQLSSLTS-EDSAVYYCARYGGN--------------------------YYGDYWG-QGTSVTVSS"/>
    <s v="DIV-LTQSPASLAVSLGQRATISCRASESVDS-------YGISFMN-WFQQ-K-P-G-Q--P-PK-LLIYAA----------------SNQ--G--S--GV--P---ARFSGSG-------S--GT----Y-FSLNIHPMEE-DDTAVYFCQQTKS---------------------------EIPYTFG-GGTKLEIK-"/>
    <s v="hv1"/>
    <s v="kv7"/>
    <n v="3.7354037E-2"/>
    <n v="1.5473784E-6"/>
    <n v="3.8222825000000003E-6"/>
    <n v="0"/>
    <n v="0"/>
    <n v="0"/>
  </r>
  <r>
    <x v="57"/>
    <x v="1"/>
    <x v="0"/>
    <s v="EVQ-LVESGG-GLVQPGGSLRLSCAASGFNV---------SYYSIH-WVRQ-A-P-G-K--G-LE-WVASISPYY----------SYYSTY--A--D--SV--K---GRFTISA-D---T-S--KN----T-AYLQMNSLRA-EDTAVYYCARWSRGYF----------------------VRGY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70000000005"/>
    <n v="0.9999903"/>
    <n v="0.99798339999999996"/>
    <n v="1"/>
    <n v="1"/>
    <n v="1"/>
  </r>
  <r>
    <x v="58"/>
    <x v="1"/>
    <x v="0"/>
    <s v="EVQ-LVESGG-GLVQPGGSLRLSCAASGFNV---------SYYSIH-WVRQ-A-P-G-K--G-LE-WVASIYPY-----------SGSTSY--A--D--SV--K---GRFTISA-D---T-S--KN----T-AYLQMNSLRA-EDTAVYYCARYGL----------------------------GYDYWG-QGTLVTVSS"/>
    <s v="DIQ-MTQSPSSLSASVGDRVTITCRASQSV-----------SSAVA-WYQQ-K-P-G-K--A-PK-LLIYSA----------------SSL--Y--S--GV--P---SRFSGSR-------S--GT----D-FTLTISSLQP-EDFATYYCQQSSY----------------------------YPATFG-QGTKVEIK-"/>
    <s v="hv3"/>
    <s v="kv1"/>
    <n v="0.99999769999999999"/>
    <n v="0.99999830000000001"/>
    <n v="0.99173370000000005"/>
    <n v="1"/>
    <n v="1"/>
    <n v="1"/>
  </r>
  <r>
    <x v="59"/>
    <x v="1"/>
    <x v="0"/>
    <s v="EVQ-LVESGG-GLVQPGGSLRLSCAASGFNI---------SSSSIH-WVRQ-A-P-G-K--G-LE-WVASIYSY-----------YGSTSY--A--D--SV--K---GRFTISA-D---T-S--KN----T-AYLQMNSLRA-EDTAVYYCARSR-----------------------------GGGGWG-QGTLVTVS-"/>
    <s v="DIQ-MTQSPSSLSASVGDRVTITCRASQSV-----------SSAVA-WYQQ-K-P-G-K--A-PK-LLIYSA----------------SSL--Y--S--GV--P---SRFSGSR-------S--GT----D-FTLTISSLQP-EDFATYYCQQSSS----------------------------SLITFG-QGTKVEIK-"/>
    <s v="hv3"/>
    <s v="kv1"/>
    <n v="0.99986719999999996"/>
    <n v="0.9999903"/>
    <n v="0.81526330000000002"/>
    <n v="1"/>
    <n v="1"/>
    <n v="1"/>
  </r>
  <r>
    <x v="60"/>
    <x v="1"/>
    <x v="0"/>
    <s v="EVQ-LVESGG-GLVQPGGSLRLSCAASGFNF---------SSYSIH-WVRQ-A-P-G-K--G-LE-WVASISSY-----------YGYTYY--A--D--SV--K---GRFTISA-D---T-S--KN----T-AYLQMNSLRA-EDTAVYYCARSRQFW------------------------YSA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8564000000001"/>
    <n v="0.9999903"/>
    <n v="0.95271855999999999"/>
    <n v="1"/>
    <n v="1"/>
    <n v="1"/>
  </r>
  <r>
    <x v="61"/>
    <x v="1"/>
    <x v="0"/>
    <s v="EVQ-LQQSGP-GLVKPSQTVSISCKGSGTDYY--------ADTWVK-WVRQ-P-P-G-Q--G-LE-WIGEIDPS------------DTIDT--P--N--KF--K---GSATLS--------------------------LDS-EDSAVYYCARDLKK--------------------------GVYDYWG-QGTAVTVS-"/>
    <s v="--V-LTQPPS-VSGAPGQRVTISCTGGTYAG----------YNYVS-WYQQ-L-P-G-T--A-PK-LLIYGN----------------NQR--P--S--GV--P---DRFSGSK-------S--GT----S-ASLAISGLQS-EDEADYYCAAWDD----------------------------SLWVFG-GGTKLTVL-"/>
    <s v="hv4"/>
    <s v="lv1"/>
    <n v="1.1842464999999999E-6"/>
    <n v="0.9999979"/>
    <n v="1.9040874E-3"/>
    <n v="0"/>
    <n v="1"/>
    <n v="0"/>
  </r>
  <r>
    <x v="62"/>
    <x v="1"/>
    <x v="0"/>
    <s v="EVQ-LLESGG-GLVQPGGSLRLSCAASGFAF---------SSYAMS-WVRQ-A-P-G-K--G-LE-WVSSISSS------------SYIHY--A--D--SV--K---GRFTISR-D---N-S--KN----T-LYLQMNSLRA-EDTAVYYCARDLQVGYNL------------------YFDSWYMDVWG-KGT------"/>
    <s v="QSV-LTQPPS-VSGAPGQRVTISCTGSSSNIG--------AGYDVH-WYQQ-L-P-G-T--A-PK-LLIYGA---------------SNQR--P--S--GV--P---DRFSGSK-------S--GT----S-ASLAITGLQA-EDEADYYCQSYDSS-------------------------LSGSYVFG-TGTKVTVL-"/>
    <s v="hv3"/>
    <s v="lv1"/>
    <n v="0.99999994000000003"/>
    <n v="0.99999994000000003"/>
    <n v="0.99943700000000002"/>
    <n v="1"/>
    <n v="1"/>
    <n v="1"/>
  </r>
  <r>
    <x v="63"/>
    <x v="1"/>
    <x v="0"/>
    <s v="EVQ-LVESGG-GLVQPGGSLRLSCAASGFNI---------KDTYIH-WVRQ-A-P-G-K--G-LE-WVAYISSS-----------SGSTSY--A--D--SV--K---GRFTISA-D---T-S--KN----T-AYLQMNSLRA-EDTAVYYCARYWSPR------------------------YPYMDYWG-QGTLVTVSS"/>
    <s v="DIQ-MTQSPSSLSASVGDRVTITCRASQSV-----------SSAVA-WYQQ-K-P-G-K--A-PK-LLIYSA----------------SSL--Y--S--GV--P---SRFSGSR-------S--GT----D-FTLTISSLQP-EDFATYYCQQIYS----------------------------APLTFG-GGTKVEIK-"/>
    <s v="hv3"/>
    <s v="kv1"/>
    <n v="0.99999994000000003"/>
    <n v="0.9999091"/>
    <n v="0.99991803999999995"/>
    <n v="1"/>
    <n v="1"/>
    <n v="1"/>
  </r>
  <r>
    <x v="64"/>
    <x v="1"/>
    <x v="0"/>
    <s v="QVQ-LQESGP-GLVKPSETLSLTCTVSGGSVS-------SGGYYWS-WIRQ-P-P-G-K--G-LE-WIGSIYYT------------GSTNY--N--P--SL--K---SRVTISV-D---T-S--KN----Q-FSLKLSSVTA-ADTAVYYCARVRYY--------------------------GVSDYWG-QGTLVTVSS"/>
    <s v="DIV-MTQSPSSLAMSVGQKVTMNCKSSQSLLNS------NNKNYLA-WYQQ-K-P-G-Q--S-PK-LLIYWA----------------STR--E--S--GV--P---DRFTGSG-------S--GT----D-FTLTISSVQA-EDLAVYYCHQYLS----------------------------SPLTFG-GGTKLELK-"/>
    <s v="hv4"/>
    <s v="kv4"/>
    <n v="0.83297920000000003"/>
    <n v="7.2304600000000006E-5"/>
    <n v="5.4338350000000004E-9"/>
    <n v="1"/>
    <n v="0"/>
    <n v="0"/>
  </r>
  <r>
    <x v="65"/>
    <x v="1"/>
    <x v="0"/>
    <s v="EVQ-LQQSGA-ELVKPGASVKLSCTASGFNI---------KDTYVH-WVKQ-R-P-E-Q--G-LE-WIGRIDPA-----------NGYTKY--D--P--KF--Q---GKATITA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7.1641316E-6"/>
    <n v="1.5476132000000001E-8"/>
    <n v="0.55569725999999997"/>
    <n v="0"/>
    <n v="0"/>
    <n v="1"/>
  </r>
  <r>
    <x v="66"/>
    <x v="1"/>
    <x v="0"/>
    <s v="QVQ-LVESGG-GVVQPGRSLRLSCAASGFTF---------SSYAMH-WVRQ-A-P-G-K--G-LE-WVAVIWDG------------SNKFY--A--D--SV--E---GRFTISR-D---N-S--KN----T-LYLQM---RA-EDTAVYYCARDPM----------------------------SADYWG-QGTLVTVSS"/>
    <s v="DIQ-MTQSPSSLSASVGDRVTITCQASQDI-----------SDYLN-WYQQ-K-P-G-K--V-PK-LLIYDA----------------SSL--Q--S--GV--P---SRFSGSG-------S--GT----D-FTLTISSLQP-EDFATYYCQQSYS----------------------------TPYTFG-QGTKVEIK-"/>
    <s v="hv3"/>
    <s v="kv1"/>
    <n v="0.99999994000000003"/>
    <n v="0.99990920000000005"/>
    <n v="0.36984400000000001"/>
    <n v="1"/>
    <n v="1"/>
    <n v="0"/>
  </r>
  <r>
    <x v="67"/>
    <x v="1"/>
    <x v="0"/>
    <s v="EVQ-LVESGG-GVVQPGRSLRLSCAASGFTF---------SNYGMH-WVRQ-A-P-G-K--G-LE-WVAVISYD-----------GSNKYY--A--D--SV--K---GRFTISR-D---N-S--KN----T-LYLQMNSLRA-EDTAVYYCARHAT---------------------------YVD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49759999999999"/>
    <n v="0.99933510000000003"/>
    <n v="0.33210590000000001"/>
    <n v="1"/>
    <n v="1"/>
    <n v="0"/>
  </r>
  <r>
    <x v="68"/>
    <x v="1"/>
    <x v="0"/>
    <s v="QVQ-LQQSGA-ELVKPGASVKLSCKASGYTF---------TNYWMH-WVKQ-R-P-G-Q--G-LE-WIGYINPG-----------SGNTNY--N--E--KF--K---NKATLTV-D---K-S--SS----T-AYMQL---TS-EDSAVYYCARSGY----------------------------KLDYWG-QGTSVTVSS"/>
    <s v="DIE-LTQTPVSLSASVGETVTITCRASGNI-----------HNYLA-WYQQ-K-Q-G-K--S-PQ-LLVYNAK--------------RILA--E--P--GV--P---DRFSGSG-------S--GT----Q-YSLKINSLQS-EDFATYYCQQYNN----------------------------WPLTFG-GGTKLEIK-"/>
    <s v="hv1"/>
    <s v="kv1"/>
    <n v="2.7129116000000002E-2"/>
    <n v="0.23836658999999999"/>
    <n v="1.6745411999999999E-3"/>
    <n v="0"/>
    <n v="0"/>
    <n v="0"/>
  </r>
  <r>
    <x v="69"/>
    <x v="1"/>
    <x v="0"/>
    <s v="EVQ-LVESGG-GLVQPGGSLRLSCAASGFTL---------SSYDMS-WVRQ-A-P-G-K--G-LE-WVANIKQD-----------GSEKYY--V--D--SV--K---GRFTISR-D---N-A--KN----S-LFLQMDSLRP-EDTAVYYCARGGQGC------------------------FYA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5440000000002"/>
    <n v="0.9999903"/>
    <n v="0.99948055000000002"/>
    <n v="1"/>
    <n v="1"/>
    <n v="1"/>
  </r>
  <r>
    <x v="70"/>
    <x v="1"/>
    <x v="0"/>
    <s v="QVQ-LQESGP-GLVKPSGTLSLTCAVSGGSIS--------GSYYWS-WIRQ-P-P-G-K--G-LE-WIGYIYYS------------GSTNY--N--P--SL--K---SRVTISV-D---T-S--KN----Q-FSLKLSSVTA-ADTAVYYCARWQD----------------------------YLDYWG-QGTLVTVSS"/>
    <s v="NFM-LTQPHS-VSESPGKTVTISCTGSSGSI---------ASNYVQ-WYQQ-L-P-G-T--A-PK-LLIYDN----------------D-R--R--P--SV--S---DRFSGSK-------S--GN----T-ASLTISGLQA-EDEADYYCSSYAG----------------------------SYWVFG-TGTMVTVL-"/>
    <s v="hv4"/>
    <s v="lv6"/>
    <n v="0.64974580000000004"/>
    <n v="0.96199155000000003"/>
    <n v="0.85821502999999999"/>
    <n v="1"/>
    <n v="1"/>
    <n v="1"/>
  </r>
  <r>
    <x v="71"/>
    <x v="1"/>
    <x v="0"/>
    <s v="QVQ-LQQSGA-ELVKPGASVKLSCKASGYTF---------TSYWMH-WVKQ-R-P-G-Q--G-LE-WIGAIYPG-----------NGDTSY--N--Q--KF--K---GKATLTA-D---K-S--SS----T-AYMQL---TS-EDSAVYFCARRRRGY-----------------------YGYAMDYWG-QGTSVTVSS"/>
    <s v="QIV-LTQSPAIMSASPGEKVTMTCSASSSV------------SYIH-WYQQ-K-S-G-T--S-PK-RWIYDT----------------SKL--A--S--GV--P---ARFSGSG-------S--GT----S-YSLTISRVEA-EDAATYYCQQWSS----------------------------HPPTFG-GGTKLEIR-"/>
    <s v="hv1"/>
    <s v="kv6"/>
    <n v="0.26369783000000002"/>
    <n v="3.4787273000000002E-10"/>
    <n v="6.0701179999999998E-13"/>
    <n v="0"/>
    <n v="0"/>
    <n v="0"/>
  </r>
  <r>
    <x v="72"/>
    <x v="1"/>
    <x v="0"/>
    <s v="EVQ-LQQSGP-ELVKPGASVKISCKTSGYTF---------TEYTIY-WVKQ-S-H-G-K--S-LE-WIGGINPN------------IGDTY--N--Q--NF--K---GKATLTV-D---K-S--SS----T-AYMQLNSLTS-EDSAVYYCARGLG---------------------------DYYDYWG-QGTTLTVSS"/>
    <s v="DIV-MSQSPSSLAVSAGEKVTMSCKSSQSLLNS-----RTRKNYLA-WYQQ-K-P-G-Q--S-PK-LLIYWA----------------STR--E--S--GV--P---DRFTGSG-------S--GT----D-FTLTISSVQA-EDLAVYYCKQAY-----------------------------IPYTFG-GGTKLEIK-"/>
    <s v="hv1"/>
    <s v="kv4"/>
    <n v="5.5470014999999999E-3"/>
    <n v="1.0683893999999999E-8"/>
    <n v="0.40172014"/>
    <n v="0"/>
    <n v="0"/>
    <n v="0"/>
  </r>
  <r>
    <x v="73"/>
    <x v="1"/>
    <x v="0"/>
    <s v="EVQ-LVESGG-GLVQPGGSLRLSCAASGFTF---------SNYAMT-WVRQ-A-P-G-K--G-LE-WVSTISGG------------GSKYY--A--D--SV--K---GRFTISR-D---N-S--KN----T-LYLQMNSLRA-EDTAVYYCARWRNYGY----------------------YYHGMDVWG-QGTTVTVSS"/>
    <s v="DIQ-MTQSPSSLSASVGDRVTITCRASQSI-----------SSYLN-WYQQ-K-P-G-K--A-PK-LLIYAA----------------SSL--Q--S--GV--P---SRFSGSG-------S--GT----D-FTLTISSLQP-EDFATYYCQQSYS----------------------------TPRTFG-QGTKVEIK-"/>
    <s v="hv3"/>
    <s v="kv1"/>
    <n v="0.99998980000000004"/>
    <n v="0.99999994000000003"/>
    <n v="0.99737315999999998"/>
    <n v="1"/>
    <n v="1"/>
    <n v="1"/>
  </r>
  <r>
    <x v="74"/>
    <x v="1"/>
    <x v="0"/>
    <s v="EVQ-LVESGG-GVVQPGRSLRLSCAASGFTF---------NSYTMH-WVRQ-A-P-G-K--G-LE-WVTFISYD-----------GSNKYY--A--D--SV--K---GRFTISR-D---N-S--KN----T-LYLQMNSLRA-EDTAVYYCARQIWGQGL--------------------WLLTFYDYWG-QGTLVTVSS"/>
    <s v="DIQ-MTQSPSSLSASVGDRVTITCRASQSV-----------SSAVA-WYQQ-K-P-G-K--A-PK-LLIYSA----------------SDL--Y--S--GV--P---SRFSGSR-------S--GT----D-FTLTISSLQP-EDFATYYCQQYKY----------------------------VPVTFG-QGTKVEIK-"/>
    <s v="hv3"/>
    <s v="kv1"/>
    <n v="0.99999994000000003"/>
    <n v="0.99869850000000004"/>
    <n v="0.85424460000000002"/>
    <n v="1"/>
    <n v="1"/>
    <n v="1"/>
  </r>
  <r>
    <x v="75"/>
    <x v="1"/>
    <x v="0"/>
    <s v="QVQ-LQESGP-GLVKPSQTLSLTCTVSGGSI---------SSYYWS-WIRQ-P-P-G-K--G-LE-WIGYIYYS------------GNTNY--N--P--SL--K---SRVTISV-D---T-S--KN----Q-FSLKL---TA-ADTAVYYCARAAS----------------------------NDASWG-QGTLVTVSS"/>
    <s v="DIQ-MTQSPSSLSASVGDRVTITCRASQGI-----------SNYLN-WYQQ-K-P-G-K--A-PK-LLIYAA----------------STL--Q--S--GV--P---SRFSGSG-------S--GT----D-FTLTISSLQP-EDFATYYCQQSYS----------------------------TPRTFG-QGTKVEIK-"/>
    <s v="hv4"/>
    <s v="kv1"/>
    <n v="0.99999994000000003"/>
    <n v="0.99999994000000003"/>
    <n v="0.99821879999999996"/>
    <n v="1"/>
    <n v="1"/>
    <n v="1"/>
  </r>
  <r>
    <x v="76"/>
    <x v="1"/>
    <x v="0"/>
    <s v="QVQ-LKQSGP-GLVKPSETLSVTCSVSGDSM---------NNYYWT-WIRQ-S-P-G-K--G-LE-WIGYISDR------------ESATY--N--P--SL--N---SRVSISR-D---T-S--KN----Q-LSLKLSSVTV-ADTAVYFCARARIDP------------------------DNWFDPWG-QGTLVTV--"/>
    <s v="NIV-MTQSPKSMSMSVGERVTLSCKASENV-----------GTYVS-WYQQ-K-P-E-Q--S-PK-LLIYGA----------------SNR--Y--T--GV--P---DRFTGSG-------S--AT----D-FTLTIGSVQA-EDLAVYYCQQYYS----------------------------SPLTFG-AGTKLELK-"/>
    <s v="hv4"/>
    <s v="kv3"/>
    <n v="0.99999886999999998"/>
    <n v="6.3599157000000005E-7"/>
    <n v="0.88830629999999999"/>
    <n v="1"/>
    <n v="0"/>
    <n v="1"/>
  </r>
  <r>
    <x v="77"/>
    <x v="1"/>
    <x v="0"/>
    <s v="EVQ-LVESGG-GLVQPGGSLRLSCAASGFNV---------SYYSIH-WVRQ-A-P-G-K--G-LE-WVASISSY-----------YGSTYY--A--D--SV--K---GRFTISA-D---T-S--KN----T-AYLQMNSLRA-EDTAVYYCARSRQFW------------------------YSGL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696000000005"/>
    <n v="0.99933510000000003"/>
    <n v="0.99635189999999996"/>
    <n v="1"/>
    <n v="1"/>
    <n v="1"/>
  </r>
  <r>
    <x v="78"/>
    <x v="1"/>
    <x v="0"/>
    <s v="QVQ-LQQWGA-GLLKPSETLSLTCAVYGESF---------SGYYWS-WIRQ-S-P-G-K--G-LE-WIGEINHS------------GSTNY--N--P--SL--K---SRVTLSV-D---T-S--KN----Q-FSLKL---TA-ADTAVYYCAREVG----------------------------GDPWLG-QVAVLTVSS"/>
    <s v="EIV-LTQSPATLSLSPGERATLSCRASQSV-----------GSYLA-WFQQ-K-P-G-Q--A-PR-LLIYDA----------------SNR--A--T--GI--P---ARFSGSG-------S--GT----D-FTLTISSLEP-EDFAVYYCQQRSN----------------------------WGLTFG-GGTKVEIK-"/>
    <s v="hv4"/>
    <s v="kv3"/>
    <n v="0.99965360000000003"/>
    <n v="0.99999994000000003"/>
    <n v="1.1746326000000001E-3"/>
    <n v="1"/>
    <n v="1"/>
    <n v="0"/>
  </r>
  <r>
    <x v="79"/>
    <x v="1"/>
    <x v="0"/>
    <s v="EVQ-LVESGG-GLVQPGGSLRLSCAASGFNV---------SYYSIH-WVRQ-A-P-G-K--G-LE-WVAYIYSY------------GYTSY--A--D--SV--K---GRFTISA-D---T-S--KN----T-AYLQMNSLRA-EDTAVYYCARYYV---------------------------GGFA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090000000002"/>
    <n v="0.9999903"/>
    <n v="0.93577474000000005"/>
    <n v="1"/>
    <n v="1"/>
    <n v="1"/>
  </r>
  <r>
    <x v="80"/>
    <x v="1"/>
    <x v="0"/>
    <s v="EVQ-LQQSGP-ELVKPGASVKISCKASGYSF---------TDYNMH-WVKQ-S-H-G-K--S-LE-WIGYIYN-------------GYTTY--N--Q--KF--K---GKATLTV-D---K-S--SS----T-AYMQLNSLTS-EDSAVYYCARQGDY--------------------------YYYDVWG-KGTTVTVSS"/>
    <s v="-IV-LTQSPASLAVSLGQRATITCQASQSI-----------SNYLS-WFQQ-K-P-G-Q--P-PK-LLIYLA----------------SNL--E--S--GV--P---ARFSGSG-------S--RT----D-FTLTIDPVEA-DDAATYYCQQNNE----------------------------DPWTFG-GGTKLEIK-"/>
    <s v="hv1"/>
    <s v="kv4"/>
    <n v="0.22137174000000001"/>
    <n v="6.7917693999999999E-7"/>
    <n v="1.3991405E-5"/>
    <n v="0"/>
    <n v="0"/>
    <n v="0"/>
  </r>
  <r>
    <x v="81"/>
    <x v="1"/>
    <x v="0"/>
    <s v="EVQ-LVQSGA-EVKKPGASVKVSCKASGYTF---------TGYYMH-WVRQ-A-P-G-Q--G-LE-WMGWINPN-----------SGGTNY--A--Q--KF--Q---GRVTMTR-D---T-S--IS----T-AYMELSRLTF-EDSAVYYCASTGA---------------------------GGFHYWG-QGTLVTVSS"/>
    <s v="DIQ-MTQSPSSLSASVGDRVTITCQASQDI-----------SNYLN-WYQQ-K-P-G-K--A-PK-LLIYDA----------------SNL--E--T--GV--P---SRFSGGG-------S--GT----D-FTFTITSLQP-EDIATYYCQQYDN----------------------------LPFTFG-PGTKVDIK-"/>
    <s v="hv1"/>
    <s v="kv1"/>
    <n v="0.99999254999999998"/>
    <n v="0.99999994000000003"/>
    <n v="1.8549621E-3"/>
    <n v="1"/>
    <n v="1"/>
    <n v="0"/>
  </r>
  <r>
    <x v="82"/>
    <x v="1"/>
    <x v="0"/>
    <s v="QVQ-LVQSGA-EVKKPGASVKVSCKASGYTF---------TSYDIN-WVRQ-A-P-G-Q--G-LE-WMGWIKLGY----------KPHKAY--A--Q--GH-------RLTITA-D---E-S--TS----T-AYMELSSLRS-EDTAVYYCVRPGTN--------------------------YLWDYWG-QGTLVTVSS"/>
    <s v="DIQ-MTQSPSSLSASVGDRVTITCRASQTI-----------GTSLA-WYQQ-K-P-G-K--A-PK-LLIYGT----------------STL--Q--T--GV--S---SRFSGSG-------S--GT----D-FTLTISSLQP-EDFATYYCQQYNS----------------------------YPLTFG-QGTKVDIK-"/>
    <s v="hv1"/>
    <s v="kv1"/>
    <n v="0.99995464000000001"/>
    <n v="0.99997729999999996"/>
    <n v="0.60369353999999997"/>
    <n v="1"/>
    <n v="1"/>
    <n v="1"/>
  </r>
  <r>
    <x v="83"/>
    <x v="1"/>
    <x v="0"/>
    <s v="EVQ-LVESGG-GLVQPGGSLRLSCAASGFNV---------SYYSIH-WVRQ-A-P-G-K--G-LE-WVASISSY-----------YGYTYY--A--D--SV--K---GRFTISA-D---T-S--KN----T-AYLQMNSLRA-EDTAVYYCARSRQF--------------------------WYFDYWG-QGTLVTVSS"/>
    <s v="-IQ-MTQSPSSLSASVGDRVTITCRASQSV-----------SSAVA-WYQQ-K-P-G-K--A-PK-LLIYSA----------------SSL--Y--S--GV--P---SRFSGSR-------S--GT----D-FTLTISSLQP-EDFATYYCQQYLY---------------------------YSLVTFG-QGTKVEIK-"/>
    <s v="hv3"/>
    <s v="kv1"/>
    <n v="0.99996929999999995"/>
    <n v="0.99999959999999999"/>
    <n v="0.95333206999999998"/>
    <n v="1"/>
    <n v="1"/>
    <n v="1"/>
  </r>
  <r>
    <x v="84"/>
    <x v="1"/>
    <x v="0"/>
    <s v="EVQ-LQQSGP-ELVKPGASVKISCKASGYSF---------TDHYMN-WVKQ-S-H-G-K--S-LE-WIGVINGS------------GNTNY--N--Q--KF--K---GKATLTV-D---K-S--SS----T-AYMQLNSLTS-EDSAVYYCARSGYYGSG-------------------SYYTGYFDYWG-QGTTLTVSS"/>
    <s v="DIV-MTQTPKFMSTSVGDRVSITCKASQSVD----------VDYVS-WYQQ-K-P-G-Q--S-PK-LLIYDA----------------SNL--A--S--GV--P---DRFSGSG-------S--GT----D-FTLKISRVEA-EDVGVYYCMQQLH---------------------------EYPFTFG-PGTKVDIK-"/>
    <s v="hv1"/>
    <s v="kv1"/>
    <n v="0.88975203000000003"/>
    <n v="7.6107170000000003E-3"/>
    <n v="2.0893635000000001E-2"/>
    <n v="1"/>
    <n v="0"/>
    <n v="0"/>
  </r>
  <r>
    <x v="85"/>
    <x v="1"/>
    <x v="0"/>
    <s v="QVQ-LQESGP-GLVKPSETLSLTCTVSGDSR---------NDYYWS-WIRQ-S-P-G-K--G-LE-WIGYIYY-------------GSTSY--N--P--SL--K---SRLSISV-D---R-S--KN----Q-FSLKLNSVTA-ADTAVYYCARAN-----------------------------WYGP------------"/>
    <s v="DIQ-MTQSPSSLSASVGDRVTITCRASQSI-----------SNWLA-WYQQ-K-P-G-K--A-PK-LLIYDA----------------SNL--E--T--GV--P---SRFSGSG-------S--GT----D-FTFTISSLQP-EDIATYYCQQYNN----------------------------YPLTFG-QGTKVEIK-"/>
    <s v="hv4"/>
    <s v="kv1"/>
    <n v="0.99999994000000003"/>
    <n v="0.99990040000000002"/>
    <n v="0.32890390000000003"/>
    <n v="1"/>
    <n v="1"/>
    <n v="0"/>
  </r>
  <r>
    <x v="86"/>
    <x v="1"/>
    <x v="0"/>
    <s v="EVQ-LQQSGA-ELVKPGASVKISCKTSGYTF---------TEYWIE-WVKQ-R-P-G-H--G-LE-WIGEILPG-----------SGSTNY--N--E--KF--K---GKATFTA-D---T-S--SN----T-AYMQLSSLTS-EDSAVYYCARYYYG-------------------------SGYFDYWG-QGTTLTVSS"/>
    <s v="DIV-LTQSPASLAVSLGQRATISCRASESVDS-------YGNSFMH-WYQQ-K-P-G-Q--P-PK-LLIYAA----------------SNV--E--S--GV--P---ARFSGSG-------S--GT----D-FSLTISN-RE-EDVATYFCQQSKY----------------------------EPYTFG-GGTKLEIK-"/>
    <s v="hv1"/>
    <s v="kv4"/>
    <n v="4.7800012000000003E-2"/>
    <n v="3.8545479999999997E-6"/>
    <n v="1.4857399E-2"/>
    <n v="0"/>
    <n v="0"/>
    <n v="0"/>
  </r>
  <r>
    <x v="87"/>
    <x v="1"/>
    <x v="0"/>
    <s v="QVQ-LKQSGP-GLVKPSETLSLTCAVSGGSI---------SGYYWN-WIRQ-S-P-G-K--G-LE-WIGYIYSG------------KTSNY--N--P--SL--K---SRVTISV-D---T-S--KN----Q-FSLKL---TA-ADTAVYYCARVAGG-------------------------SGAGDQWG-QGTLVTVSS"/>
    <s v="QSV-LTQPPS-ASGTPGQRVTISCSGSSSNI---------GSNYVY-WYQQ-L-P-G-T--A-PK-LLIYRN----------------NQR--P--S--GV--P---DRFSGSK-------S--GT----S-ASLAISGLQS-EDEADYYCAAWDD----------------------------SLNGFG-SGTALTVL-"/>
    <s v="hv4"/>
    <s v="lv1"/>
    <n v="0.99999899999999997"/>
    <n v="0.99993246999999996"/>
    <n v="0.24484486999999999"/>
    <n v="1"/>
    <n v="1"/>
    <n v="0"/>
  </r>
  <r>
    <x v="88"/>
    <x v="1"/>
    <x v="0"/>
    <s v="EVQ-LVESGG-GLVQPGGSLRLSCAASGFNV---------YSSSIH-WVRQ-A-P-G-K--G-LE-WVASISSY-----------YGYTYY--A--D--SV--K---GRFTISA-D---T-S--KN----T-AYLQMNSLRA-EDTAVYYCARGWSY--------------------------SQGVH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34000000001"/>
    <n v="0.9999903"/>
    <n v="0.99165519999999996"/>
    <n v="1"/>
    <n v="1"/>
    <n v="1"/>
  </r>
  <r>
    <x v="89"/>
    <x v="1"/>
    <x v="0"/>
    <s v="QVQ-LVQSGA-EVKKPGASVKVSCKASGYTF---------TGYYMH-WVRQ-A-P-G-Q--G-LE-WMGWINNS------------GGTSY--A--Q--KF--Q---GRVTMTR-D---T-S--IS----T-AYMEL---RS-DDTAVYYCARGGS----------------------------GYNYWG-QGTLVTVSS"/>
    <s v="DIQ-MTQSPSSLSASVGDRVTITCRASQDI-----------SNYLN-WYQQ-K-P-G-K--A-PK-LLIYAA----------------SSL--Q--S--GV--P---SRFSGSG-------S--GT----D-FTLTISSLQP-EDFATYYCQQSYS----------------------------TPYTFG-QGTKVEIK-"/>
    <s v="hv1"/>
    <s v="kv1"/>
    <n v="0.99999210000000005"/>
    <n v="0.99999994000000003"/>
    <n v="0.99449854999999998"/>
    <n v="1"/>
    <n v="1"/>
    <n v="1"/>
  </r>
  <r>
    <x v="90"/>
    <x v="1"/>
    <x v="0"/>
    <s v="QVQ-LVQSGA-EVKKPGASVKVSCKASGYTF---------TDYYIH-WVRQ-A-P-G-Q--G-LE-WMGWISYN------------GNTNY--A--Q--KF--Q---GRVTMTR-D---T-S--IT----T-AYMELSRLRS-DDTAVYYCARGNYAI------------------------TYYFDYWG-QGTLVTVSS"/>
    <s v="DIQ-MTQSPSSLSASVGDRVTITCRASQSI-----------SSYLN-WFQQ-K-P-G-K--A-PK-LLIYAA----------------SNL--Q--S--GV--P---SRFSGSG-------S--GT----D-FTLTISSLQP-EDFATYYCQQSYS----------------------------TPYTFG-QGTKLEIK-"/>
    <s v="hv1"/>
    <s v="kv1"/>
    <n v="0.99999729999999998"/>
    <n v="0.99999994000000003"/>
    <n v="0.99987124999999999"/>
    <n v="1"/>
    <n v="1"/>
    <n v="1"/>
  </r>
  <r>
    <x v="91"/>
    <x v="1"/>
    <x v="0"/>
    <s v="EVQ-LVESGG-GVVQPGGSLRLSCAASGFTF---------STYDMH-WVRQ-T-T-G-K--G-LE-WVSTIGTA------------GDTYY--P--D--SV--K---GRFTISR-E---N-A--KN----S-LYLQMNSLRA-GDTAVYYCARTGT---------------------------MVFDYWG-QGTTVTVSS"/>
    <s v="DIQ-MTQSPSSLSASVGDRVTITCRASQSV-----------SSAVA-WYQQ-K-P-G-K--A-PK-LLIYSA----------------SSL--Y--S--GV--P---SRFSGSR-------S--GT----D-FTLTISSLQP-EDFATYYCQQSYI----------------------------PLYTFG-QGTKVEIK-"/>
    <s v="hv3"/>
    <s v="kv1"/>
    <n v="0.97580100000000003"/>
    <n v="0.99999979999999999"/>
    <n v="0.99971460000000001"/>
    <n v="1"/>
    <n v="1"/>
    <n v="1"/>
  </r>
  <r>
    <x v="92"/>
    <x v="1"/>
    <x v="0"/>
    <s v="QVQ-LVESGG-GVVPPGRSLRLSCATSGFTF---------SNYGMH-WVRQ-A-P-G-K--G-LE-WVAVISDG------------GNKYY--A--D--SV--K---GRFTISR-D---N-S--KN----T-LYLQM---RA-EDTAVYYCAKDRYG--------------------------SYPNYWG-QGTLVTVSS"/>
    <s v="DIQ-MTQSPSSLSASVGDRVTITCRASQSI-----------SSYLN-WYQQ-K-P-G-K--A-PK-LLIYAA----------------SSL--Q--S--GV--P---SRFSGSG-------S--GT----D-FTLTISSLQP-EDFATYYCQQSYS----------------------------TPRTFG-QGTKVEIK-"/>
    <s v="hv3"/>
    <s v="kv1"/>
    <n v="0.99999576999999995"/>
    <n v="0.99999994000000003"/>
    <n v="5.6602730000000004E-3"/>
    <n v="1"/>
    <n v="1"/>
    <n v="0"/>
  </r>
  <r>
    <x v="93"/>
    <x v="1"/>
    <x v="0"/>
    <s v="-VQ-LQQSGA-ELVKPGASVKLSCTASGFNI---------KDTYMY-WVKQ-R-P-E-Q--G-LE-WIGRIDPA-----------NGDTKY--D--P--KF--Q---GKATITT-D---T-F--SN----T-AYLQLSSLTS-EDTAVYYCARKGLR--------------------------WAMDYWG-QGTSVTVSS"/>
    <s v="NIV-MTQSPKSMSMSVGERVTLSCKASEYV-----------GTYVS-WYQQ-K-P-E-Q--S-PK-LLIYGA----------------SNR--Y--T--GV--P---DRFTGSG-------S--AT----D-FTLTIGSVQA-EDLADYHCGQSY-----------------------------SYPTFG-AGTKLEL--"/>
    <s v="hv1"/>
    <s v="kv3"/>
    <n v="2.2272810999999999E-4"/>
    <n v="5.2065180000000001E-7"/>
    <n v="1.7982135E-2"/>
    <n v="0"/>
    <n v="0"/>
    <n v="0"/>
  </r>
  <r>
    <x v="94"/>
    <x v="1"/>
    <x v="0"/>
    <s v="EVQ-LVESGG-GVVQPGGSLRLSCAASGFTF---------SSYGMH-WVRQ-A-P-G-K--G-LE-WVAYIYD-------------GRNYY--A--D--SV--K---GRFTISR-D---N-S--KN----T-LYLQMNSLRA-EDTAVYYCARAPWEGSG-------------------YYYHDSFDIWG-QGTMVTVSS"/>
    <s v="DIV-MTQSPLSLPVTPGEPASISCRSSQSLLHS------NGYNYLD-WYLQ-K-P-G-Q--S-PQ-LLIYLG----------------SNR--A--S--GV--P---DRFSGSG-------S--GT----D-FTLKISRVEA-EDVGVYYCMQALQ----------------------------TPRTFG-QGTKVEIK-"/>
    <s v="hv3"/>
    <s v="kv2"/>
    <n v="0.99999919999999998"/>
    <n v="0.99999994000000003"/>
    <n v="0.99869110000000005"/>
    <n v="1"/>
    <n v="1"/>
    <n v="1"/>
  </r>
  <r>
    <x v="95"/>
    <x v="1"/>
    <x v="0"/>
    <s v="EVQ-LVQSGA-EVKKPGASVKVSCKASGYTF---------TSYAMH-WVRQ-A-P-G-Q--R-LE-WMGWINGN-----------GGTTYY--N--Q--KF--K---GQITMTR-D---T-S--SN----T-AYMQLT---S-EDSAVYYCARPPY---------------------------YDGDYWG-QGTLVTVSS"/>
    <s v="QSV-LTQPPS-VSAAPGQKVTISCSGSSSNI---------GNNYVS-WYQQ-L-P-G-T--A-PK-LLIYDN----------------NKR--P--S--GI--P---DRFSGSK-------S--GT----S-ATLGITGLQT-GDEANYYCGTWDE----------------------------GTMVFG-GGTKLTVL-"/>
    <s v="hv1"/>
    <s v="lv1"/>
    <n v="0.98917350000000004"/>
    <n v="0.99999994000000003"/>
    <n v="9.8488259999999994E-2"/>
    <n v="1"/>
    <n v="1"/>
    <n v="0"/>
  </r>
  <r>
    <x v="96"/>
    <x v="1"/>
    <x v="0"/>
    <s v="QVQ-LQQSGA-ELVRPGASVKLSCKASGYTF---------THYWMH-WVKQ-R-P-G-Q--G-LE-WIGWIGGT------------SNYNG--N--T--KF--K---GKATLIS-------S--AS----T-AFLQMTSLTA-ADTAVYYCARSRGYYG---------------------SGITGFDLWG-RGTLVIVSS"/>
    <s v="DIQ-MTQSPSSLSASVGDRVTITCRASQDI-----------SNYLN-WYQQ-K-P-D-G--T-VK-LLIYYT----------------STL--H--S--GV--P---SRFSGSG-------S--GT----D-YSLTISNLEP-EDIATYFCQQGNT----------------------------LPYTFG-GGTKLEIK-"/>
    <s v="hv1"/>
    <s v="kv1"/>
    <n v="0.56399049999999995"/>
    <n v="6.8832970000000002E-8"/>
    <n v="0.6899187"/>
    <n v="1"/>
    <n v="0"/>
    <n v="1"/>
  </r>
  <r>
    <x v="97"/>
    <x v="1"/>
    <x v="0"/>
    <s v="QVQ-LQESGP-GLVAPSQSLSITCTVSGFSL---------TNYAVH-WVRQ-P-P-G-K--G-LE-WLGMIWAG------------GNTDY--N--S--AL--K---SRLSISK-D---N-S--KS----Q-VFLKMNSLQT-DDTARYYCARERD----------------------------YFDYWG-QGTTLTVSS"/>
    <s v="DIV-MTQSPSSLSASVGDRVTIICQSSQSI-----------GNNLP-WYQQ-K-P-G-K--A-PK-LLIYDA----------------SNL--E--S--GV--P---SRFSGSG-------S--GT----D-FTLTISSLQA-EDVAVYYCQQYYS----------------------------TPYTFG-PGTKVDIK-"/>
    <s v="hv4"/>
    <s v="kv1"/>
    <n v="1.2127746999999999E-5"/>
    <n v="0.99975000000000003"/>
    <n v="1.9036277E-6"/>
    <n v="0"/>
    <n v="1"/>
    <n v="0"/>
  </r>
  <r>
    <x v="98"/>
    <x v="1"/>
    <x v="0"/>
    <s v="EVQ-LVESGG-GLIQPGGSLRLSCAASGFIV---------SSNYMS-WVRQ-A-P-G-K--G-LE-WVSVIYSG------------GSTYY--A--D--SV--K---GRFTISR-D---N-S--KN----T-LYLQMNSLRA-EDTAVYYCARDLQIV------------------------GYGMDVWG-QGTTVTVSS"/>
    <s v="DIQ-MTQSPSSLSASVGDRVTITCRASQDV-----------NTAVA-WYQQ-R-T-N-G--S-PR-LLIYSA----------------SFL--Y--S--GV--P---SRFSGSR-------S--GT----D-FTLTISSLQP-EDFATYYCQQSST----------------------------FPLTFG-GGTKVEIK-"/>
    <s v="hv3"/>
    <s v="kv1"/>
    <n v="0.83838964000000005"/>
    <n v="0.99997409999999998"/>
    <n v="8.7267880000000005E-4"/>
    <n v="1"/>
    <n v="1"/>
    <n v="0"/>
  </r>
  <r>
    <x v="99"/>
    <x v="1"/>
    <x v="0"/>
    <s v="QVQ-LQQSGA-ELVKPGASVKISCKASGYTF---------SSYWMQ-WVKQ-R-P-G-Q--G-LE-WIGEINPS------------STSYQ--N--Q--KF--Q---GRATITV-D---T-S--AS----T-AYMEL---RS-EDTAVYYCASSTGY--------------------------YGMDVWG-KGTTVTVS-"/>
    <s v="DIQ-MTQSPSTLSASVGDRVTITCRASQNI-----------SRYLN-WYQQ-K-P-G-K--A-PK-LLIYRA----------------SNL--E--S--GV--P---SRFSGSG-------S--GT----E-FTLTISSLQP-DDFATYYCQQYNN---------------------------YSTPTFG-QGTKVEIK-"/>
    <s v="hv1"/>
    <s v="kv1"/>
    <n v="0.99937635999999996"/>
    <n v="0.99999979999999999"/>
    <n v="3.8724316000000002E-3"/>
    <n v="1"/>
    <n v="1"/>
    <n v="0"/>
  </r>
  <r>
    <x v="100"/>
    <x v="2"/>
    <x v="0"/>
    <s v="QVQ-LQQPGA-ELVKPGASVKLSCKASGYTF---------TSDWIH-WVKQ-R-P-G-H--G-LE-WIGEIIPS-----------YGRANY--N--E--KI--Q---KKATLTA-D---K-S--SS----T-AFMQLSSLTS-EDSAVYYCARERGD--------------------------GYFAVWG-AGTTVTVSS"/>
    <s v="DIV-LTQSPASLAVSLGQRATISCRASESVDN-------YGISFMN-WFQQ-K-P-G-Q--P-PK-LLIYAA----------------SNL--D--S--GV--P---DRFSGSG-------S--GT----D-FTLNIHPVEE-EDAATYYCQQSNE----------------------------DPYTFG-GGTKLEIK-"/>
    <s v="hv1"/>
    <s v="kv4"/>
    <n v="0.8016913"/>
    <n v="5.3656374999999998E-8"/>
    <n v="1.7654893999999999E-4"/>
    <n v="1"/>
    <n v="0"/>
    <n v="0"/>
  </r>
  <r>
    <x v="101"/>
    <x v="2"/>
    <x v="0"/>
    <e v="#NAME?"/>
    <s v="DIQ-MTQSPSSLSASVGDRVTITCRASQGI-----------SSYLA-WYQQ-K-P-G-K--A-PK-LLIYAA----------------STL--Q--S--GV--P---SRFSGSG-------S--GT----D-FTLTISSLQP-EDFATYYCQQS-------------------------------YLTFG-PGTKVDIR-"/>
    <s v="hv4"/>
    <s v="kv1"/>
    <n v="0.97303980000000001"/>
    <n v="0.99999994000000003"/>
    <n v="0.99770250000000005"/>
    <n v="1"/>
    <n v="1"/>
    <n v="1"/>
  </r>
  <r>
    <x v="102"/>
    <x v="2"/>
    <x v="0"/>
    <s v="EVQ-LQQSGP-ELVKPGASVKMSCKASGYTF---------SSYFIS-WVRQ-A-P-G-Q--G-LE-WMGWISYS-----------GGNTNY--A--Q--KF--Q---GRVTMTR-D---T-S--TS----T-VYMELSSLRS-EDTAVYYCARGWGGGQ---------------------YDYDAFDIWG-QGTLVTVSS"/>
    <s v="DIV-LTQSPASLAVSLGQRATISCKASQSVD---------KDSYMN-WYQQ-K-P-G-Q--P-PK-LLIYAA----------------SNL--E--S--GI--P---ARFSGSG-------S--GT----D-FTLNIHPVEE-EDAATYYCQQSNE----------------------------DPWTFG-GGTKVEIK-"/>
    <s v="hv1"/>
    <s v="lv3"/>
    <n v="0.99700146999999995"/>
    <n v="9.5879199999999998E-6"/>
    <n v="6.684641E-6"/>
    <n v="1"/>
    <n v="0"/>
    <n v="0"/>
  </r>
  <r>
    <x v="103"/>
    <x v="2"/>
    <x v="0"/>
    <s v="EVQ-LVQSGA-EVKKPGSSVKVSCKASGGTF---------SSYTIS-WVRQ-A-P-G-Q--G-LE-WMGGIIPI-----------FGTVAY--A--Q--KF--Q---GRVTITA-D---K-S--TS----T-AYMELSSLKS-EDTAVYYCARGVGNY-----------------------FNSGMDVWG-QGTTVTVSS"/>
    <s v="-SV-LTQPPS-ASGTPGQRVTISCSGSSSNI---------GSNTVN-WYQQ-L-P-G-T--A-PK-LLIYSN----------------NQR--P--S--GV--P---DRFSGSK-------S--GT----S-ASLAISGLRS-EDEADYYCAAWDDSLS----------------------GPGTKVDFG-PGTKVT---"/>
    <s v="hv1"/>
    <s v="lv1"/>
    <n v="0.99981739999999997"/>
    <n v="0.99999994000000003"/>
    <n v="0.2308673"/>
    <n v="1"/>
    <n v="1"/>
    <n v="0"/>
  </r>
  <r>
    <x v="104"/>
    <x v="2"/>
    <x v="0"/>
    <s v="-VQ-LVQSGA-EVKKPGSSVKVSCKASGGTF---------SSYAIS-WVRQ-A-P-G-Q--G-LE-WMGGIIIF------------GTSTY--A--Q--KF--Q---GRVTITA-D---E-S--TS----T-AYMELSSLRS-EDTAVYYCARGSGRYY----------------------YHNSFDNWG-QGTLVTVS-"/>
    <s v="-IV-LTQSPASLAVSLGQRATISCKASQSVS---------TYDSMH-WYQQ-K-P-G-Q--P-PK-LLIYAA----------------SNL--E--S--GI--P---ARFSGSG-------S--GT----D-FTLNIHPVEE-EDAATYYCQQNNE----------------------------DPYTFG-SGTKLEIK-"/>
    <s v="hv1"/>
    <s v="kv4"/>
    <n v="0.99999979999999999"/>
    <n v="3.2074783999999998E-8"/>
    <n v="8.3208744999999998E-10"/>
    <n v="1"/>
    <n v="0"/>
    <n v="0"/>
  </r>
  <r>
    <x v="105"/>
    <x v="2"/>
    <x v="0"/>
    <s v="QVQ-LQQSGP-ELVKPGASVKVSCKASGYTF---------TSYNMH-WVKQ-S-H-G-K--S-LE-WIGYIDPN-----------NGGTSY--N--Q--KF--K---GKATLTV-D---K-S--SS----T-AYMELRSLTS-EDSAVYYCAREMD---------------------------WGGFYWG-QGTLVTVSA"/>
    <s v="DIV-MTQSPDSLAVSLGERATINCKSSQSVLYS-----SNNKNYLA-WYQQ-K-P-G-Q--P-PN-LLIYWA----------------STR--E--S--GV--P---DRFSGSG-------S--GT----D-FTLTISSLQA-EDVAVYYCQQYYS----------------------------TPLTFG-GGTKVEIK-"/>
    <s v="hv1"/>
    <s v="kv4"/>
    <n v="1.6638706999999999E-2"/>
    <n v="0.99999994000000003"/>
    <n v="8.5391100000000006E-8"/>
    <n v="0"/>
    <n v="1"/>
    <n v="0"/>
  </r>
  <r>
    <x v="106"/>
    <x v="2"/>
    <x v="0"/>
    <s v="EVQ-LVESGG-GLIQPGGSLRLSCAASGFIV---------SRNYMS-WVRQ-A-P-G-K--G-LE-WVSSISRG------------HSTYY--A--D--SV--K---GRFTISR-D---N-S--KN----T-LYLQM---RA-EDTAVYYCARGYDGY------------------------GYAMDYWG-QGTSVTVSS"/>
    <s v="DVV-MTQTPLSLPVSLGDQASISCRSSQSLVHS------NGNTYLH-WYLQ-K-P-G-Q--S-PK-LLIYKV----------------SNR--F--S--GV--P---DRFSGSG-------S--GT----D-FTLKISRVEA-EDLGVYFCSQSTH----------------------------VPFTFG-AGTKLELK-"/>
    <s v="hv3"/>
    <s v="kv2"/>
    <n v="0.99844719999999998"/>
    <n v="1.3796592999999999E-7"/>
    <n v="0.88866849999999997"/>
    <n v="1"/>
    <n v="0"/>
    <n v="1"/>
  </r>
  <r>
    <x v="107"/>
    <x v="2"/>
    <x v="0"/>
    <s v="EVQ-LVESGG-GLVKPGGSLKLSCAASGFAF---------SGYDMS-WIRQ-A-P-G-K--G-LE-WVSYISSG------------STIYY--A--D--SV--K---GRFTISR-D---N-A--KN----S-LYLQMNSLRP-EDTAVYYCARMGY----------------------------YFDYWG-QGTLVTVSS"/>
    <s v="DIQ-MTQSPSSLSASVGDRVTITCRASQSV-----------SSAVA-WYQQ-K-P-G-K--A-PK-LLIYSA----------------SSL--Y--S--GV--P---SRFSGSR-------S--GT----D-FTLTISSLQP-EDFATYYCQQDYT----------------------------YPLTFG-QGTKVEIK-"/>
    <s v="hv3"/>
    <s v="kv1"/>
    <n v="0.99842834000000003"/>
    <n v="0.99999123999999995"/>
    <n v="0.99750464999999999"/>
    <n v="1"/>
    <n v="1"/>
    <n v="1"/>
  </r>
  <r>
    <x v="108"/>
    <x v="2"/>
    <x v="0"/>
    <s v="EVQ-LLESGG-GLVKPGGSLRLSCAASGFTF---------SSYSMN-WVRQ-A-P-G-K--G-LE-WVSSISSS-----------SSYIYY--A--D--SV--K---GRFTISR-D---N-A--KN----S-LYLQMNSLRA-EDTAVYYCARRGY---------------------------YGSGYWG-QGTLVTVSS"/>
    <s v="DIQ-MTQSPSSLSASVGDRVTITCQASQDI-----------SNYLN-WYQQ-K-P-G-K--A-PK-LLIYDA----------------SNL--E--T--GV--P---SRFSGSG-------S--GT----D-FTFTISSLQP-EDIATYYCQQYDN----------------------------LPLTFG-GGTKVEIK-"/>
    <s v="hv3"/>
    <s v="kv1"/>
    <n v="0.99999979999999999"/>
    <n v="0.99999994000000003"/>
    <n v="0.9999574"/>
    <n v="1"/>
    <n v="1"/>
    <n v="1"/>
  </r>
  <r>
    <x v="109"/>
    <x v="2"/>
    <x v="0"/>
    <e v="#NAME?"/>
    <s v="QSV-LTQPPS-VSGAPGQRVTISCTGSSGA-----------GYDVH-WYQQ-L-P-G-T--A-PK-LLIYRN----------------NNR--P--S--GV--P---DRFSGSK-------S--GT----S-ASLAITGLQA-EDEADYYCQSYDS----------------------------SLYVFG-TGTKVTVL-"/>
    <s v="hv4"/>
    <s v="lv1"/>
    <n v="0.25089008000000002"/>
    <n v="0.99999994000000003"/>
    <n v="9.0246520000000004E-4"/>
    <n v="0"/>
    <n v="1"/>
    <n v="0"/>
  </r>
  <r>
    <x v="110"/>
    <x v="2"/>
    <x v="0"/>
    <s v="EVQ-LVESGG-GLVQPGGSLRLSCAASGFTF---------SSYAMS-WVRQ-A-P-G-K--G-LE-WVSSISNT------------GSIGY--A--D--SV--K---GRFTISR-D---N-A--KN----S-LYLQMNSLRA-EDTALYYCAKDFDG-------------------------YEYGFYWG-QGTLVTVSS"/>
    <s v="EIV-MTQSPLSLPVSLGDQASISCRSSQSLVHS------NGNTYLH-WYLQ-K-P-G-Q--S-PK-LLIYKV----------------SNR--F--S--GV--P---DRFSGSG-------S--GT----D-FTLKISRVEA-EDLGVYFCSQSTH----------------------------VPYTFG-GGTKLEIK-"/>
    <s v="hv3"/>
    <s v="kv2"/>
    <n v="0.99976134000000005"/>
    <n v="3.0759334999999999E-7"/>
    <n v="2.3008239999999999E-3"/>
    <n v="1"/>
    <n v="0"/>
    <n v="0"/>
  </r>
  <r>
    <x v="111"/>
    <x v="2"/>
    <x v="0"/>
    <s v="EVQ-LVESGG-GLVKPGGSLRLSCAASGFTF---------SSYSMN-WVRQ-A-P-G-K--G-LE-WVSSISSS-----------SSYIYY--A--D--SV--K---GRFTISR-D---N-A--KN----S-LYLQMNSLRA-EDTAVYYCARAFD----------------------------SSVYWG-QGTLVTVSS"/>
    <s v="DIQ-MTQSPSSLSASVGDRVTITCRASQDI-----------SNWLA-WYQQ-K-P-G-K--A-PK-LLIYAA----------------SSL--Q--S--GV--P---SRFSGSG-------S--GT----D-FTLTISSLQP-EDFATYYCQQSYS----------------------------TPRTFG-QGTKVEIK-"/>
    <s v="hv3"/>
    <s v="kv1"/>
    <n v="0.98046759999999999"/>
    <n v="0.99999919999999998"/>
    <n v="0.99877656000000004"/>
    <n v="1"/>
    <n v="1"/>
    <n v="1"/>
  </r>
  <r>
    <x v="112"/>
    <x v="2"/>
    <x v="0"/>
    <s v="EVQ-LVESGG-GLVQPGGSLRLSCAASGFNF---------SSSSIH-WVRQ-A-P-G-K--G-LE-WVASISPS-----------YGYTSY--A--D--SV--K---GRFTISA-D---T-S--KN----T-AYLQMNSLRA-EDTAVYYCARGGGSSYSG------------------SYRYYGMDVWG-QGTTVTVSS"/>
    <s v="DIQ-MTQSPSSLSASVGDRVTITCRASQSV-----------SSAVA-WYQQ-K-P-G-K--A-PK-LLIYSA----------------SSL--Y--S--GV--P---SRFSGSR-------S--GT----D-FTLTISSLQP-EDFATYYCQQSSS----------------------------SLFTFG-PGTKVDIK-"/>
    <s v="hv3"/>
    <s v="kv1"/>
    <n v="0.99999945999999995"/>
    <n v="0.99999802999999998"/>
    <n v="0.98016024000000002"/>
    <n v="1"/>
    <n v="1"/>
    <n v="1"/>
  </r>
  <r>
    <x v="113"/>
    <x v="2"/>
    <x v="0"/>
    <s v="EVQ-LVESGA-EVKKPGESLKISCKGSGYGF---------ITYWIG-WVRQ-M-P-G-K--G-LE-WMGIIIYS-----------GITNYG--S--P--SF--Q---GQVTISA-D---K-S--IS----T-AYLQWSSLKA-SDTAMYYCARLQVYD------------------------GYGMDVWG-QGTTVTVSS"/>
    <s v="DIQ-MTQSPSSLSASVGDRVTITCRASQGI-----------SNYLA-WYQQ-K-P-G-K--A-PK-LLIYAA----------------STL--Q--S--GV--P---SRFSGSG-------S--GT----D-FTLTISSLQP-EDFATYYCQQSR-----------------------------TPLTFG-GGTKVEIK-"/>
    <s v="hv5"/>
    <s v="kv1"/>
    <n v="0.99999590000000005"/>
    <n v="0.99999970000000005"/>
    <n v="1.6588036E-2"/>
    <n v="1"/>
    <n v="1"/>
    <n v="0"/>
  </r>
  <r>
    <x v="114"/>
    <x v="2"/>
    <x v="0"/>
    <s v="QVQ-LVQSGA-EVKKPGSSVKVSCKASGGTF---------SSYGIS-WVRQ-A-P-G-Q--G-LE-WMGGIIIF------------GTANY--A--Q--KF--Q---GRVTITA-D---K-S--TS----T-AYMEL---RS-EDTAVYYCARAGDYDG----------------------QYYGMDYWG-QGTTVTVSS"/>
    <s v="DIV-MSQSPSSLAVSAGEKVTMSCKSSQSLLNS-----RTRKNYLA-WYQQ-K-P-G-Q--S-PK-LLIYWA----------------STR--E--S--GV--P---DRFTGSG-------S--GT----D-FTLTISSVQA-EDLAVYYCQQYYS----------------------------YPLTFG-AGTKLELK-"/>
    <s v="hv1"/>
    <s v="kv4"/>
    <n v="0.99999994000000003"/>
    <n v="3.0405697999999997E-8"/>
    <n v="1.2037384000000001E-8"/>
    <n v="1"/>
    <n v="0"/>
    <n v="0"/>
  </r>
  <r>
    <x v="115"/>
    <x v="2"/>
    <x v="0"/>
    <e v="#NAME?"/>
    <s v="DIV-MTQSPDSLAVSLGERATINCKSSQSVLYS-----SNNKNYLA-WYQQ-K-P-G-Q--P-PK-LLIYWA----------------STR--E--S--GV--P---DRFSGSG-------S--GT----D-FTLTISSLQA-EDVAVYYCQQYYS----------------------------TPRTFG-QGTKVEIK-"/>
    <s v="hv3"/>
    <s v="kv4"/>
    <n v="6.8691080000000002E-5"/>
    <n v="0.99999994000000003"/>
    <n v="2.4381125E-6"/>
    <n v="0"/>
    <n v="1"/>
    <n v="0"/>
  </r>
  <r>
    <x v="116"/>
    <x v="2"/>
    <x v="0"/>
    <s v="EVQ-LVESGG-GLVKPGGSLKLSCAASGFTF---------SSYGMS-WVRQ-T-P-D-K--R-LE-WVATISGG------------GSIYY--S--D--SV--K---GRFTISR-D---N-A--KN----S-LYLQM---RA-EDTAVYYCVIS-------------------------------GDYWG-QGTLVTVSS"/>
    <s v="DIV-MTQSPSSLSASVGDRVTITCRASQSI-----------GSWLA-WYQQ-K-P-G-K--A-PK-LLIYAV----------------STL--Q--S--GV--P---SRFSGSG-------S--GT----D-FTLTISSLQP-EDFATYYCQQTYS----------------------------TPRTFG-QGTKVEIK-"/>
    <s v="hv3"/>
    <s v="kv1"/>
    <n v="0.99455970000000005"/>
    <n v="0.99999075999999998"/>
    <n v="0.62016415999999996"/>
    <n v="1"/>
    <n v="1"/>
    <n v="1"/>
  </r>
  <r>
    <x v="117"/>
    <x v="2"/>
    <x v="0"/>
    <s v="EVQ-LVESGG-GLVQPGGSLRLSCAASGFTF---------SSYAMS-WVRQ-A-P-G-K--G-LE-WVSAVSSS------------GISYY--S--Q--G---K---GRFTIS--D---T-S--TS----T-VYMELSSLRS-EDTAMYYCARRGRQA-----------------------YYQSYVQWG-QGTLVTVSS"/>
    <s v="DIQ-MTQSPSSLSASVGDRVTITCRASQGI-----------SNYLA-WYQQ-K-P-G-K--V-PK-LLIYAA----------------STL--Q--S--GV--P---SRFSGSG-------S--GT----D-FTLTISSLQP-EDFATYYCQQSYN----------------------------NPPTFG-QGTKVEIK-"/>
    <s v="hv3"/>
    <s v="kv1"/>
    <n v="0.98155309999999996"/>
    <n v="0.99999886999999998"/>
    <n v="0.98578399999999999"/>
    <n v="1"/>
    <n v="1"/>
    <n v="1"/>
  </r>
  <r>
    <x v="118"/>
    <x v="2"/>
    <x v="0"/>
    <s v="QVQ-LQESGP-GLVKPSQTLSLTCTVSGGSVS-------SGGYFWS-WIRQ-S-P-G-K--G-LE-WIGCIYYS------------GSTNY--N--P--SL--K---SRVTISV-D---T-S--KN----Q-FSLKLSSVTA-ADTAVYYCARQSI----------------------------YGDVWG-RGTTVTVSS"/>
    <s v="DIV-MTQSPKSMSMSVGERVTLSCKASENV-----------GTYVS-WYQQ-K-P-G-K--S-PK-PLIYAA----------------SNL--A--S--GV--P---DRFTGSG-------S--GT----D-FTLTISSVQA-EDLALYYCQQHYT----------------------------YPRTFG-GGTKLEIK-"/>
    <s v="hv4"/>
    <s v="kv6"/>
    <n v="0.99992864999999997"/>
    <n v="5.3729650000000002E-10"/>
    <n v="2.4713813999999997E-4"/>
    <n v="1"/>
    <n v="0"/>
    <n v="0"/>
  </r>
  <r>
    <x v="119"/>
    <x v="2"/>
    <x v="0"/>
    <s v="EVQ-LVESGG-GLVKPGGSLKLSCAASGFAF---------SSYDMS-WVRQ-T-P-E-K--R-LE-WVAYISSG-----------GGTYYY--P--D--TV--R---GRFTISA-D---T-S--KN----T-LYLQMSSLKS-EDTAMYYCARYGLD--------------------------GYYDYWG-QGTLVTVSA"/>
    <s v="DIQ-MTQSPSSLSASVGDRVTITCRASQSV-----------SSAVA-WYQQ-K-P-G-K--A-PK-LLIYSA----------------SSL--Y--S--GV--P---SRFSGSR-------S--GT----D-FTLTISSLQP-EDFATYYCQQSYS----------------------------TPYTFG-QGTKVEIK-"/>
    <s v="hv3"/>
    <s v="kv1"/>
    <n v="9.0920690000000008E-6"/>
    <n v="0.99999970000000005"/>
    <n v="0.54897773000000005"/>
    <n v="0"/>
    <n v="1"/>
    <n v="1"/>
  </r>
  <r>
    <x v="120"/>
    <x v="2"/>
    <x v="0"/>
    <s v="QVQ-LQESGP-GLVKPSQSLSLTCTVSGFSL---------TSYDFA-WIRQ-H-P-G-K--G-LE-WIGYIYSG-----------SDTTYY--N--P--SL--K---SRVTISV-D---T-S--KN----Q-FSLKMTSLTA-ADTAVYYCARGYY---------------------------PYFDFWG-QGTLVTVSS"/>
    <s v="DIQ-MTQSPSSLSASVGDRVTITCQASQDI-----------NKYLN-WYQQ-K-P-G-K--A-PK-LLIYDA----------------SNL--E--T--GV--P---SRFSGSG-------S--GT----D-FTFTISSLQP-EDVATYYCQQGDS----------------------------FPPTFG-PGTKVEIK-"/>
    <s v="hv4"/>
    <s v="kv1"/>
    <n v="0.99848663999999998"/>
    <n v="0.99999979999999999"/>
    <n v="0.99874929999999995"/>
    <n v="1"/>
    <n v="1"/>
    <n v="1"/>
  </r>
  <r>
    <x v="121"/>
    <x v="2"/>
    <x v="0"/>
    <s v="EVQ-LQQSGP-ELVRPGASMKISCKASGYSF---------TGYTMN-WVQA-----T-R--G-LE-WIGWIGGF-----------DTSTNY--N--Q--KF--K---GKVTLTA-D---K-S--SS----T-AYMV---LTS-DDSAVYFCARDG------------------------------FDYWG-QGTLVTVSS"/>
    <s v="DIV-LTQSPASLAVSLGQRATISCKASQSVDN-------NGKTYLN-WYQQ-K-P-G-Q--P-PK-LLIYAA----------------SNL--E--S--GI--P---ARFSGSG-------S--GT----D-FTLNIHPVEE-EDAATYYCQQSNE----------------------------DPYTFG-GGTKLEIK-"/>
    <s v="hv1"/>
    <s v="kv4"/>
    <n v="2.3267108E-4"/>
    <n v="1.5778526999999999E-6"/>
    <n v="5.6343673E-5"/>
    <n v="0"/>
    <n v="0"/>
    <n v="0"/>
  </r>
  <r>
    <x v="122"/>
    <x v="2"/>
    <x v="0"/>
    <s v="EVQ-LVESGG-GLVQPGGSLRLSCAASGFTF---------SDYYMT-WVRQ-A-P-G-K--G-LE-WVSSISSS-----------SSYIYY--A--D--SV--K---GRFTISR-D---N-A--KN----S-LYLQMNSLRA-EDTAVYYCARWWW---------------------------GYSDVWG-QGTTVTVSS"/>
    <s v="NIV-MTQSPATLSVSPGERATLSCRASQSV-----------SSNLA-WYQQ-K-P-G-Q--A-PR-LLIYGA----------------STR--A--T--GI--P---ARFSGSG-------S--GT----E-FTLTISSLQS-EDFAVYYCQQYNN----------------------------WPYTFG-QGTKLEIK-"/>
    <s v="hv3"/>
    <s v="kv3"/>
    <n v="0.94473636000000005"/>
    <n v="0.99999994000000003"/>
    <n v="0.99999970000000005"/>
    <n v="1"/>
    <n v="1"/>
    <n v="1"/>
  </r>
  <r>
    <x v="123"/>
    <x v="2"/>
    <x v="0"/>
    <s v="EVQ-LVQSGA-EVKKPGSSVKVSCKASGGTF---------SSFGTA-WVRQ-A-P-G-Q--G-LE-WMGGIIPI-----------LGIANY--A--Q--KF--Q---GRVTITA-D---E-S--TS----T-AYMELSSLRS-EDTAVYYCARGPRHGGS--------------------GSYYFLLNWG-QGTLVAVSS"/>
    <s v="EIV-MTQSPATLSVSPGERATLSCRASESV-----------SSDLA-WYQQ-K-P-G-Q--A-PR-LLIYGA----------------STR--A--T--GV--P---ARFSGSG-------S--GT----E-FTLTISSMQS-EDFAVYYCQQYNN----------------------------WPRTFG-QGTKLEIK-"/>
    <s v="hv1"/>
    <s v="kv3"/>
    <n v="0.99999994000000003"/>
    <n v="0.99999994000000003"/>
    <n v="0.32198262"/>
    <n v="1"/>
    <n v="1"/>
    <n v="0"/>
  </r>
  <r>
    <x v="124"/>
    <x v="2"/>
    <x v="0"/>
    <s v="-VQ-LQQSGA-EVMKPGASVKISCKASGYTF---------TDYYMN-WVKQ-S-H-G-K--S-LE-WIGYIDPYY----------GNGYAY--N--G--KF--TT--GTRFLTM-K---S-S--ST----S-EYMELRGLSSLGEVAGYYTYDYY-----------------------------AMDYWG-QGTSVTV--"/>
    <s v="DIQ-MTQSSSSLSASLGDRVTISCRASQDI-----------SNYLN-WYQQ-K-P-D-G--T-VK-LLIYYT----------------SSL--H--S--GV--P---SRFSGSG-------S--GT----D-YSLTISNLEP-EDIATYYCLQHNF----------------------------YLYTFG-PGGGVTV--"/>
    <s v="hv1"/>
    <s v="lv1"/>
    <n v="0.99457059999999997"/>
    <n v="8.2089905000000002E-8"/>
    <n v="4.1654106999999998E-15"/>
    <n v="1"/>
    <n v="0"/>
    <n v="0"/>
  </r>
  <r>
    <x v="125"/>
    <x v="2"/>
    <x v="0"/>
    <s v="QVQ-LVQSGA-EVKKPGSSVKVSCKASGGTFS--------NNYAIS-WVRQ-A-P-G-Q--G-LE-WMGRIIPY------------IYTSY-----Q--KF--Q---GRVTITA-D---E-----D----T-AYME------------YFCSKDTTI-------------------------TDTYDVWG-PGTLVTVSS"/>
    <s v="DIQ-LTQSPSSLSASVGDTVTITCQASQPI-----------SSYLA-WYQQ-K-P-G-K--A-PK-LLIYVA---------------ASSL--Q--S--GV--P---SRFSGSG-------S--GT----D-FTLTISSLQP-EDFATYYCQHYN-----------------------------APITFG-QGTKVEIK-"/>
    <s v="hv1"/>
    <s v="kv1"/>
    <n v="0.99999994000000003"/>
    <n v="0.99075930000000001"/>
    <n v="1.8786469999999998E-5"/>
    <n v="1"/>
    <n v="1"/>
    <n v="0"/>
  </r>
  <r>
    <x v="126"/>
    <x v="2"/>
    <x v="0"/>
    <s v="EVQ-LVESGG-GLVQPGGSLRLSCAASGYTV---------RRNYMS-WVRQ-A-P-G-K--G-LE-WVSSISSS------------GSTSY--A--D--SV--K---GRFTISA-D---T-S--KN----T-AYLQMNSLRA-EDTAVYYCARGGTSYGV--------------------SGYYAMDYWG-QGTLVTVSS"/>
    <s v="DIQ-MTQSPSSLSASVGDRVTITCRASQSI-----------SSYLN-WYQQ-K-P-G-K--A-PK-LLIYAA----------------SSL--Q--S--GV--P---SRFSGSG-------S--GT----D-FTLTISSLQP-EDFATYYCQQSYS---------------------------TLALTFG-GGTKVEIK-"/>
    <s v="hv3"/>
    <s v="kv1"/>
    <n v="0.99999979999999999"/>
    <n v="0.99999994000000003"/>
    <n v="0.14961131"/>
    <n v="1"/>
    <n v="1"/>
    <n v="0"/>
  </r>
  <r>
    <x v="127"/>
    <x v="2"/>
    <x v="0"/>
    <s v="EVQ-LVESGG-GLVQPGGSLRLSCAASGFTF---------SSYAMS-WVRQ-A-P-G-K--G-LE-WVSAISGS-----------GGSTYY--A--D--SV--K---GRFTISR-D---N-S--KN----T-LYLQMNSLRA-EDTAVYYCARRWYR-------------------------SLGLDVWG-QGTTVTVSS"/>
    <s v="DIQ-MTQSPSSLSASVGDRVTITCRASQSI-----------SNYLN-WYQQ-K-P-G-K--A-PK-LLIYAA----------------SSL--Q--S--GV--P---SRFSGSR-------S--GT----D-FTLTISSLQP-EDFATYYCQQSSK----------------------------TPPTFG-QGTKVEIK-"/>
    <s v="hv3"/>
    <s v="kv1"/>
    <n v="0.92670596000000005"/>
    <n v="0.99999994000000003"/>
    <n v="5.9299900000000003E-2"/>
    <n v="1"/>
    <n v="1"/>
    <n v="0"/>
  </r>
  <r>
    <x v="128"/>
    <x v="2"/>
    <x v="0"/>
    <s v="QVQ-LLESGG-GLVQPGGSLRLSCAASGFTF---------SSYAMS-WVRQ-A-P-G-K--G-LE-WVSAISGS-----------GGSTYY--A--D--SV--K---GRFTISR-D---N-S--KN----T-LYLQMNSLRA-EDTAVYYCVKDP-----------------------------VSSYWG-QGTLVTVSS"/>
    <s v="DIQ-MTQSPSSLSASVGDRVTITCRASQDV-----------NTAVA-WYQQ-K-P-G-K--A-PK-LLIYSA----------------SFL--Y--S--GV--P---SRFSGSG-------S--GT----D-FTLTISSLQP-EDFATYYCQQSYS----------------------------TLITFG-QGTKVEIK-"/>
    <s v="hv3"/>
    <s v="kv1"/>
    <n v="0.99999945999999995"/>
    <n v="0.99999994000000003"/>
    <n v="3.9941447999999999E-4"/>
    <n v="1"/>
    <n v="1"/>
    <n v="0"/>
  </r>
  <r>
    <x v="129"/>
    <x v="2"/>
    <x v="0"/>
    <s v="EVQ-LVQSGA-EVKKPGESLKISCKGSGYSF---------TSYWIH-WVRQ-M-P-G-K--G-LE-WMGIIYGD------------SDTSY--N--Q--KF--K---GRVTITA-D---K-S--TS----T-AYLELSSLRS-EDTAVYYCAREGGSGYY-------------------PNYNYWFDPWG-QGTLVTVSS"/>
    <s v="EIV-LTQSPGTLSLSPGERATLSCRASQSVS----------SSYLA-WYQQ-K-P-G-Q--A-PR-LLIYGA----------------SSR--A--T--GI--P---DRFSGSG-------S--GT----D-FTLTISRLEP-EDFAVYYCQQYGR----------------------------SPWTFG-QGTKVEIK-"/>
    <s v="hv5"/>
    <s v="kv3"/>
    <n v="0.71855265000000001"/>
    <n v="0.99999994000000003"/>
    <n v="0.99592583999999995"/>
    <n v="1"/>
    <n v="1"/>
    <n v="1"/>
  </r>
  <r>
    <x v="130"/>
    <x v="2"/>
    <x v="0"/>
    <s v="EVQ-LVESGG-GLVQPGGSLRLSCAASGFTF---------SDYYMA-WPVQ-A-R-G-R----VT-WVSGINNN-----------GGSTYY--A--D--SV--K---GRFTISR-D---N-A--KN----T-LYLQM---RA-EDTAVYYCARHVRGL-----------------------WGGFVDFWG-QGTLVTVSS"/>
    <s v="-IQ-MTQSPSSLSASVGDRVTITCRASQSV-----------SSAVA-WYQQ-K-P-G-K--A-PK-LLIYSA----------------SSL--Y--S--GV--P---SRFSGSR-------S--GT----D-FTLTISSLQP-EDFATYYCQQYKY----------------------------VPVTFG-QGTKVEIK-"/>
    <s v="hv3"/>
    <s v="kv1"/>
    <n v="0.55285569999999995"/>
    <n v="0.99977919999999998"/>
    <n v="6.7858945999999996E-6"/>
    <n v="1"/>
    <n v="1"/>
    <n v="0"/>
  </r>
  <r>
    <x v="131"/>
    <x v="2"/>
    <x v="0"/>
    <s v="EVK-LVESGG-GLVQPGGSLRLSCAASGFIV---------RSNYMS-WVRQ-A-P-G-K--G-LE-WVSGVYSG------------GSTSY--A--D--SV--K---GRFTISA-D---T-S--KN----T-AYLQMNSLRA-EDTAVYYCARGGQH-------------------------WSFLLIWG-QGTLVTVSS"/>
    <s v="DIQ-MTQSPASLSASVGETVTITCRASENI-----------YSYLA-WYQQ-K-Q-G-K--S-PQ-LLVYYT----------------TTL--A--D--GV--P---SRFSGSG-------S--GT----Q-YSLKINSLQP-EDFGSYYCQHFWS----------------------------TPYTFG-AGTKLELK-"/>
    <s v="hv3"/>
    <s v="kv1"/>
    <n v="0.99999970000000005"/>
    <n v="9.8013470000000003E-8"/>
    <n v="4.0727905000000003E-3"/>
    <n v="1"/>
    <n v="0"/>
    <n v="0"/>
  </r>
  <r>
    <x v="132"/>
    <x v="2"/>
    <x v="0"/>
    <s v="EVQ-LVQSGA-EVKKPGASVKVSCKASGYTF---------TSYAMH-WVRQ-A-P-G-Q--G-LE-WMGWINPN-----------SGGTNY--A--Q--KF--Q---GRVTMTR-D---T-S--TS----T-VYMELSSLRS-EDTAVYYCARGYF---------------------------VYFDVWG-QGTTVTVSS"/>
    <s v="DIV-MTQSPATLSVSPGERATLSCRASESV-----------SSDLA-WYQQ-K-P-G-Q--A-PR-LLIYGA----------------STR--A--T--GV--P---ARFSGSG-------S--GA----E-FTLTISSLQS-EDFAVYYCQQYNN---------------------------WPPWTFG-QGTKVEIK-"/>
    <s v="hv1"/>
    <s v="kv3"/>
    <n v="0.89831989999999995"/>
    <n v="0.99999994000000003"/>
    <n v="2.5631612000000002E-6"/>
    <n v="1"/>
    <n v="1"/>
    <n v="0"/>
  </r>
  <r>
    <x v="133"/>
    <x v="2"/>
    <x v="0"/>
    <s v="QLQ-LQESGP-GLLKPSETLSLTCTVSGGSIS--------SYYYWG-WIRQ-P-P-G-K--G-LE-WIGSVYHS------------GSTYY--N--P--SL--E---SRVIISVSD---A-S--KN----L--YLHMITRTT-EDTAVYYCARGLG---------------------------PDYDYWG-QGTLVVNS-"/>
    <s v="NIV-MTQSPKSMSMSVGERVTLSCKASENV-----------GTYVS-WYQQ-K-P-E-Q--S-PK-LLIYGA----------------SNR--Y--T--GV--P---DRFTGSG-------S--AT----D-FTLTISSVQA-EDLADYHCGQSYS----------------------------YPFTFG-GGTKLEIK-"/>
    <s v="hv4"/>
    <s v="kv3"/>
    <n v="0.99999994000000003"/>
    <n v="7.8962524999999995E-9"/>
    <n v="3.0664955E-6"/>
    <n v="1"/>
    <n v="0"/>
    <n v="0"/>
  </r>
  <r>
    <x v="134"/>
    <x v="2"/>
    <x v="0"/>
    <s v="-VQ-LQQSGA-ELVKPGASVKLSCTASGFNI---------KDTYMY-WVKQ-R-P-E-Q--G-LE-WIGRIDPA-----------NGDTKY--D--P--KF--Q---GKATITA-D---T-S--SN----T-AYLQLSSLTS-EDTAVYYCARGG------------------------------FDPWG-QGTLVTVSS"/>
    <s v="DIV-LTQSPASLAVSLGQRATISCRASESVDS-------YGNSFMH-WYQQ-K-P-G-Q--P-PK-LLIYLA----------------SNL--E--S--GV--P---ARFSGSG-------S--RT----D-FTLTINPVEA-DDVATYYCQQSNE----------------------------DPRTFG-GGTKLEIK-"/>
    <s v="hv1"/>
    <s v="kv7"/>
    <n v="3.1258837999999998E-4"/>
    <n v="4.7788170000000001E-7"/>
    <n v="1.8949403E-3"/>
    <n v="0"/>
    <n v="0"/>
    <n v="0"/>
  </r>
  <r>
    <x v="135"/>
    <x v="2"/>
    <x v="0"/>
    <s v="QVQ-LVQSGA-EVKKPGASVKVSCKASGYRF---------TSYFIH-WVRQ-A-P-G-Q--G-LE-WMGWINIA-----------GGTDSYT-N--E--KF--K---GRVTMTR-D---T-S--TS----T-VYMELSS-RS-EDTAVYYCARDYS----------------------------SRDYWG-QGTLVTVSS"/>
    <s v="DIQ-MTQSPSSLSASVGDRVTITCQASQDI-----------KTYLN-WYQQ-K-P-G-K--A-PK-VLIYDA----------------SSL--Q--S--GV--P---SRFSGSG-------S--GT----D-FTLTISSLQP-EDFATYYCQQGNT----------------------------LPLTFG-QGTRLEIK-"/>
    <s v="hv1"/>
    <s v="kv1"/>
    <n v="0.99937147000000004"/>
    <n v="0.99999994000000003"/>
    <n v="0.99737626000000001"/>
    <n v="1"/>
    <n v="1"/>
    <n v="1"/>
  </r>
  <r>
    <x v="136"/>
    <x v="2"/>
    <x v="0"/>
    <s v="QVQ-LQQSGP-ELVRPGASVKISCKASGYSF---------TSYWMH-WVKQ-R-P-G-Q--G-LE-WIGMIHPS-----------DSETRY--N--Q--KF--K---GKATLTV-D---K-S--ST----T-AYMQLSSLTS-EDSAVYYCARGGY---------------------------RDFDYWG-QGTTLTVSS"/>
    <s v="DIV-LTQSPASLAVSLGQRATISCRASKSVS---------ASMYMN-WFQQ-K-P-G-Q--P-PK-LLISAT----------------SNQ--G--S--GV--P---ARFTGSG-------S--GT----D-FSLNIHPVEE-DDTAMYFCQQSKE----------------------------VPYTFG-GGTKLEIK-"/>
    <s v="hv1"/>
    <s v="kv7"/>
    <n v="0.96221489999999998"/>
    <n v="8.256397E-7"/>
    <n v="1.6301380000000001E-6"/>
    <n v="1"/>
    <n v="0"/>
    <n v="0"/>
  </r>
  <r>
    <x v="137"/>
    <x v="2"/>
    <x v="0"/>
    <s v="EVQ-LVQSGA-EVKKPGSSVKVSCKASGGTF---------SSYAIS-WVRQ-A-P-G-Q--G-LE-WMGGIIIF------------GTANY--A--Q--KF--Q---GRVTITA-D---E-S--TS----T-AYMELSSLRS-EDTAVYYCAREGPQ--------------------------GAMDYWG-QGTTVTVSS"/>
    <s v="AIR-MTQSPSSLSASVGDRVTITCRASQSI-----------SSYLN-WYQQ-K-P-G-R--A-PK-LLIYDA----------------SSL--Q--S--GV--P---SRFSGSG-------S--GT----D-FTLTISSLQP-EDFAAYYCQQSYD----------------------------TPPTFG-QGTKVEIK-"/>
    <s v="hv1"/>
    <s v="kv1"/>
    <n v="0.99993580000000004"/>
    <n v="0.99999994000000003"/>
    <n v="9.1735026000000006E-5"/>
    <n v="1"/>
    <n v="1"/>
    <n v="0"/>
  </r>
  <r>
    <x v="138"/>
    <x v="2"/>
    <x v="0"/>
    <s v="EVQ-LVESGG-GLVKPGGSLKLSCAASGFTF---------SSYAMS-WVRQ-T-P-E-K--R-LE-WVAYWGGG------------SYTYY--P--D--TV--K---GRFTISR-D---N-A--KN----T-LYLQMSSLKS-EDTAMYYCTRDQY----------------------------WGKLWG-RGTLVTVSA"/>
    <s v="DIV-MSQSPSSLAVSVGEKVTMSCKSSQSL-----------LTYLA-WYQQ-K-P-G-Q--S-PK-LLIYWA----------------STR--E--S--GV--P---DRFTGSG-------S--GT----E-FTLTISSVKA-EDLAVYYCQQYYN----------------------------YPYTFG-GGTKLEIK-"/>
    <s v="hv3"/>
    <s v="kv4"/>
    <n v="1.5469955999999999E-5"/>
    <n v="2.2190538E-7"/>
    <n v="1.6575254000000001E-3"/>
    <n v="0"/>
    <n v="0"/>
    <n v="0"/>
  </r>
  <r>
    <x v="139"/>
    <x v="2"/>
    <x v="0"/>
    <s v="EVQ-LVESGG-GLVQPGGSLRLSCAASGFTF---------SSYAMS-WVRQ-A-P-G-K--G-LE-WVAYISYG-----------GGSTYY--A--D--SV--K---GRFTISR-D---N-A--KN----S-LYLQMNSLRA-EDTAVYYCARAPGV-------------------------YDSSPYWG-QGTLVTVSS"/>
    <s v="DIQ-MTQSPSSLSASVGDRVTITCRASQSI-----------SSYLG-WYQQ-K-P-G-K--A-PK-LLIYAA----------------SSL--Q--S--GV--P---SRFSGSG-------S--GT----D-FTLTISSLQP-EDFATYYCQQSYS----------------------------TLWTFG-QGTKVEIK-"/>
    <s v="hv3"/>
    <s v="kv1"/>
    <n v="0.99986887000000002"/>
    <n v="0.99999994000000003"/>
    <n v="0.99996454000000001"/>
    <n v="1"/>
    <n v="1"/>
    <n v="1"/>
  </r>
  <r>
    <x v="140"/>
    <x v="2"/>
    <x v="0"/>
    <s v="EVQ-LVESGG-GLVQPGGSLRLSCAASGFNF---------YSSYIH-WVRQ-A-P-G-K--G-LE-WVAYIYSS------------YYTSY--A--D--SV--K---GRFTISA-D---T-S--KN----T-AYLQMNSLRA-EDTAVYYCARHYGRR-----------------------VGWSFDYWG-QGTLVTVSS"/>
    <s v="DIQ-MTQSPSSLSASVGDRVTITCRASQDV-----------NTAVA-WYQQ-K-P-G-K--A-PK-LLIYSA----------------SSL--Q--S--GV--P---SRFSGSR-------S--GT----D-FTLTISSLQP-EDFATYYCQQSYS----------------------------TLWTFG-QGTKVEIK-"/>
    <s v="hv3"/>
    <s v="kv1"/>
    <n v="0.99999979999999999"/>
    <n v="0.99999970000000005"/>
    <n v="0.9649238"/>
    <n v="1"/>
    <n v="1"/>
    <n v="1"/>
  </r>
  <r>
    <x v="141"/>
    <x v="2"/>
    <x v="0"/>
    <s v="EVQ-LVESGG-GLVQPGGSLRLSCAASGFTF---------SSYAMS-WVRQ-A-P-G-K--G-LE-WVSTYSG-------------GSTYY--A--D--SV--K---GRFTISR-D---N-S--KN----T-LYLQM---RA-EDTAVYYCARGWG---------------------------PRLDYWG-QGTLVTVSS"/>
    <s v="DIQ-MTQSPSSLSASVGDRVTITCRASQSV-----------SSAVA-WYQQ-K-P-G-K--A-PK-LLIYSA----------------SSL--Y--S--GV--P---SRFSGSR-------S--GT----D-FTLTISSLQP-EDFATYYCQQYYV----------------------------YGLTFG-QGTKVEIK-"/>
    <s v="hv3"/>
    <s v="kv1"/>
    <n v="0.99999802999999998"/>
    <n v="0.99999970000000005"/>
    <n v="0.44834249999999998"/>
    <n v="1"/>
    <n v="1"/>
    <n v="0"/>
  </r>
  <r>
    <x v="142"/>
    <x v="2"/>
    <x v="0"/>
    <s v="QVQ-LQESGP-GLVKPSETLSLTCTVSGGSIS--------SGYYWS-WIRQ-P-P-G-K--G-LE-WIGYINNR------------RVTYY--N--P--SL--K---SRVTISK-D---T-S--KN----Q-FSLKLSSVTA-ADTARYYCARERV---------------------------SYFDYWG-QGTTLTVSS"/>
    <s v="EIV-MTQSPATLSVSPGERATLSCRASQSV-----------SSDLA-WYQQ-K-P-G-Q--A-PR-LLIYDA----------------SNR--A--T--GI--P---ARFSGSG-------S--GT----D-FTLTISSLEP-EDFAVYYCQQRGT---------------------------PPRWTFG-QGTKVEIK-"/>
    <s v="hv4"/>
    <s v="kv3"/>
    <n v="0.97515017000000004"/>
    <n v="0.99999994000000003"/>
    <n v="0.82858085999999997"/>
    <n v="1"/>
    <n v="1"/>
    <n v="1"/>
  </r>
  <r>
    <x v="143"/>
    <x v="2"/>
    <x v="0"/>
    <s v="-VK-LVESGG-GLVKPGGSLKLSCAASGFTF---------SNYAMS-WVRQ-T-P-E-K--R-LE-WVATISGD------------GYTHY--P--D--SV--K---GRFTISR-DT--N-A--EN----T-LYLQMSSLRS-EDTAMYYCNRNGYSG------------------------DYAMDYWG-QGTSVTVSS"/>
    <s v="DIV-MTQSPASLAVSLGQRATISCRASESVDS-------YGNSFLN-WFQQ-K-P-G-Q--P-PK-LLIYAA----------------SKL--E--S--GI--P---ARFSGSG-------S--RT----D-FTLTINPVEA-DDVATYYCQQSNE----------------------------DPYTFG-GGTKLEIK-"/>
    <s v="hv3"/>
    <s v="kv4"/>
    <n v="6.1962414E-3"/>
    <n v="3.3992572000000001E-5"/>
    <n v="8.6544863999999999E-2"/>
    <n v="0"/>
    <n v="0"/>
    <n v="0"/>
  </r>
  <r>
    <x v="144"/>
    <x v="2"/>
    <x v="0"/>
    <s v="QVQ-LVESGG-GVVQPGRSLRLSCAASGFTF---------SSYGMH-WVRQ-A-P-G-K--G-LE-WVAIIWDG------------SNKYY--A--D--SV--K---GRFTISR-D---N-S--KN----T-LYLQM---RA-EDTAVYYCARDL-----------------------------IYDVWG-QGTMVTVSS"/>
    <s v="DIQ-MTQSPSTLSASVGDRVTITCRASQSI-----------SSWLA-WYQQ-K-P-G-K--A-PK-LLIYKA----------------SSL--E--S--GV--P---SRFSGSG-------S--GT----E-FTLTISSLQP-DDFATYYCQQYNN----------------------------YPLTFG-QGTKVEIK-"/>
    <s v="hv3"/>
    <s v="kv1"/>
    <n v="0.99999910000000003"/>
    <n v="0.99999994000000003"/>
    <n v="0.99600120000000003"/>
    <n v="1"/>
    <n v="1"/>
    <n v="1"/>
  </r>
  <r>
    <x v="145"/>
    <x v="2"/>
    <x v="0"/>
    <s v="QVQ-LQQSGP-GLVKPSETLSLTCSVSGASV---------SSYYWS-WIRQ-P-P-G-K--G-LE-WIGYIYYN------------GRTYY--N--P--SL--K---SRVTISV-D---T-S--KD----Q-FSLKL---TA-ADTAVYYCARGGT---------------------------SVDDYWG-RGTLVTVSS"/>
    <s v="DIQ-MTQSPSSLSASVGDRVTITCRASQGI-----------SNYLN-WYQQ-K-P-G-K--A-PK-LLIYAA----------------STL--Q--S--GV--P---SRFSGSG-------S--GT----D-FTLTISSLQP-EDFATYYCQQANS----------------------------FPYTFG-QGTKVEIK-"/>
    <s v="hv4"/>
    <s v="kv1"/>
    <n v="0.99999994000000003"/>
    <n v="0.99999994000000003"/>
    <n v="0.51839219999999997"/>
    <n v="1"/>
    <n v="1"/>
    <n v="1"/>
  </r>
  <r>
    <x v="146"/>
    <x v="2"/>
    <x v="0"/>
    <e v="#NAME?"/>
    <s v="EIV-MTQSPATLSLSPGERATLSCRASQSV-----------SSYLA-WYQQ-K-P-G-Q--A-PR-LLIYDA----------------SNR--A--T--GI--P---ARFSGSG-------S--GT----D-FTLTISSLEP-EDFAVYYCQQRRN----------------------------WPLTFG-GGTKVEIK-"/>
    <s v="hv1"/>
    <s v="kv3"/>
    <n v="0.99999183000000003"/>
    <n v="0.99999959999999999"/>
    <n v="0.80711955000000002"/>
    <n v="1"/>
    <n v="1"/>
    <n v="1"/>
  </r>
  <r>
    <x v="147"/>
    <x v="2"/>
    <x v="0"/>
    <s v="QVQ-LQESGP-GLVKPSQSLSLTCTVTGFSIT--------SDYAWN-WIRQ-F-P-G-N--K-LE-WMGYISYS------------GTTYY--N--P--SL--K---SRISITR-D---T-S--KN----Q-FFLQL--LRA-EDTAIYYCANW-------------------------------GGVWG-QGTTVTVSS"/>
    <s v="DIV-MTQSPASLAVSLGERATL-CKSSQSV-----------LNDFA-WYQQ-K-P-G-Q--S-PK-LLIYWA----------------STR--E--S--GV--P---DRFSGSG-------S--GT----D-FTLTISSLQA-EDVAVYYCQYYS-----------------------------TLYTFG-QGTKVEIK-"/>
    <s v="hv4"/>
    <s v="kv4"/>
    <n v="4.4377756999999996E-6"/>
    <n v="0.99955850000000002"/>
    <n v="0.93789405000000003"/>
    <n v="0"/>
    <n v="1"/>
    <n v="1"/>
  </r>
  <r>
    <x v="148"/>
    <x v="2"/>
    <x v="0"/>
    <s v="EVQ-LVESGG-GLVQPGGSLRLSCAASGFNF---------SSSSIH-WVRQ-A-P-G-K--G-LE-WVASISPS-----------YGYTSY--A--D--SV--K---GRFTISA-D---T-S--KN----T-AYLQMNSLRA-EDTAVYYCARGSWNY-----------------------YSWWKDYWG-QGTLVTVSS"/>
    <s v="-IQ-MTQSPSSLSASVGDRVTITCRASQSV-----------SSAVA-WYQQ-K-P-G-K--A-PK-LLIYSA----------------SSL--Y--S--GV--P---SRFSGSR-------S--GT----D-FTLTISSLQP-EDFATYYCQQYKY----------------------------VPVTFG-QGTKVEIK-"/>
    <s v="hv3"/>
    <s v="kv1"/>
    <n v="0.99999660000000001"/>
    <n v="0.99977919999999998"/>
    <n v="0.95442099999999996"/>
    <n v="1"/>
    <n v="1"/>
    <n v="1"/>
  </r>
  <r>
    <x v="149"/>
    <x v="2"/>
    <x v="0"/>
    <s v="EVQ-LVQSGA-EVKKPGASVKVSCKASGYTF---------TDYYMY-WVRQ-A-P-G-Q--G-LE-WMGRIIPI-----------LGIANY--A--Q--NF--R---GRVTITA-D---E-S--TS----T-AYMELSSLRS-EDTAVYYCAREWSS--------------------------NAMDYWG-QGTLVTVSS"/>
    <s v="AIR-MTQSPSSLSASVGDRVTITCKASQNV-----------GTAVA-WYQQ-K-P-G-K--A-PK-LLIYSA----------------SYL--Y--S--GV--P---SRFSGSG-------S--GT----D-FTLTISSLQP-EDFATYYCQQSYS----------------------------TPYTFG-QGTKVEIK-"/>
    <s v="hv1"/>
    <s v="kv1"/>
    <n v="0.99999229999999995"/>
    <n v="0.99999979999999999"/>
    <n v="0.20644008"/>
    <n v="1"/>
    <n v="1"/>
    <n v="0"/>
  </r>
  <r>
    <x v="150"/>
    <x v="3"/>
    <x v="0"/>
    <s v="EVQ-LVESGG-GLVQPGGSLRLSCAASGFNV---------VDFSLH-WVRQ-A-P-G-K--G-LE-WVASIYPY-----------SGSTSY--A--D--SV--K---GRFTISA-D---T-S--KN----T-AYLQMNSLRA-EDTAVYYCARYWYYG------------------------YPYFDYWG-QGTLVTVSS"/>
    <s v="DIQ-MTQSPSSLSASVGDRVTITCRASQSV-----------SSAVA-WYQQ-K-P-G-K--A-PK-LLIYSA----------------SSL--Y--S--GV--P---SRFSGSR-------S--GT----D-FTLTISSLQP-EDFATYYCQQYLY---------------------------YSLVTFG-QGTKVEIK-"/>
    <s v="hv3"/>
    <s v="kv1"/>
    <n v="0.99999769999999999"/>
    <n v="0.99999875000000005"/>
    <n v="0.99383589999999999"/>
    <n v="1"/>
    <n v="1"/>
    <n v="1"/>
  </r>
  <r>
    <x v="151"/>
    <x v="3"/>
    <x v="0"/>
    <s v="EVQ-LQESGP-GLVKPSQSLSLTCTVTGYSIT--------SDYAWN-WIRQ-F-P-G-N--K-LE-WMGYISYS-----------GSTTYY--N--P--SL--K---SRISITR-D---T-S--KN----Q-FFLQLNSVTT-EDTATYYCARAGDP--------------------------TAFDYWG-QGTLVTVSA"/>
    <s v="DIV-MTQSPSSLSASVGDRVTITCRASQGI-----------RNDLG-WYQQ-K-P-G-K--A-PK-LLIYAA----------------SNL--Q--S--GV--P---SRFSGSG-------S--GT----D-FTLTISSLQP-EDFATYYCQQSYS----------------------------TPYTFG-QGTKVEIK-"/>
    <s v="hv6"/>
    <s v="kv1"/>
    <n v="1.2458911999999999E-10"/>
    <n v="0.99999994000000003"/>
    <n v="0.11917199000000001"/>
    <n v="0"/>
    <n v="1"/>
    <n v="0"/>
  </r>
  <r>
    <x v="152"/>
    <x v="3"/>
    <x v="0"/>
    <s v="-VQ-LVQSGA-EVKKPGSSVKVSCKASGGTF---------SSYAIS-WVRQ-A-P-G-Q--G-LE-WMGGIIPI-----------FGTANY--A--Q--KF--Q---GRVTITA-D---E-S--TS----T-AYMEL---RS-EDTAVYYCARSYN---------------------------SDYDVWG-QGTTVTV--"/>
    <s v="-LV-LTQSPGTLSLSPGERATLSCRASQSF-----------DSYIH-WYQQ-K-P-G-Q--A-PR-LLIYGA----------------SSR--A--T--GI--P---DRFSGSG-------S--GT----D-FTLTISRLEP-EDFAVYYCQHYGS----------------------------SPLTFG-QGTKVEIK-"/>
    <s v="hv1"/>
    <s v="kv3"/>
    <n v="0.99999802999999998"/>
    <n v="0.99999315"/>
    <n v="2.8057215999999999E-4"/>
    <n v="1"/>
    <n v="1"/>
    <n v="0"/>
  </r>
  <r>
    <x v="153"/>
    <x v="3"/>
    <x v="0"/>
    <s v="EVQ-LVESGG-GLVQPGGSLRLSCAASGFTF---------SSYAMS-WVRQ-A-P-G-K--G-LE-WVSSISSS-----------SSYIYY--A--D--SV--K---GRFTISR-D---N-A--RN----S-LYLQMNSLRA-EDTAVYYCARGGPGPIT--------------------FAYWAMDVWG-QGTTVTVSS"/>
    <s v="QSV-LTQPPS-VSAAPGQKVTISCSGSSSNI---------GNNYVS-WYQQ-L-P-G-T--A-PK-LLIYDN----------------NKR--P--S--GI--P---ERFRGSI----------SN----S-ASLIISGLKT-EDEADYYCQSYDSS--------------------------SSGVPFG-GGTKVTVL-"/>
    <s v="hv3"/>
    <s v="lv1"/>
    <n v="0.99999979999999999"/>
    <n v="0.99999934000000001"/>
    <n v="0.95182100000000003"/>
    <n v="1"/>
    <n v="1"/>
    <n v="1"/>
  </r>
  <r>
    <x v="154"/>
    <x v="3"/>
    <x v="0"/>
    <s v="QVQ-LKESGP-GLVAPSQSLSITCTVSGFSL---------TSYGVH-WVRQ-P-P-G-K--G-LE-WLGMIWGD------------GNTDY--N--S--AL--K---SRLSISK-D---N-S--KS----Q-VFLKMNNLQT-DDTARYYCARDPRN-------------------------YYGMDVWG-QGTSVTVSS"/>
    <s v="DIV-MTQSPSFLSASVGDRVTITCRASQGI-----------SSYLA-WYQQ-K-P-G-K--A-PK-LLIYAA----------------STL--Q--S--GV--P---SRFSGSG-------S--GT----E-FTLTISSLQP-EDFATYYCQQLNS----------------------------YPYTFG-PGTKVDIK-"/>
    <s v="hv3"/>
    <s v="kv1"/>
    <n v="3.1510076999999997E-4"/>
    <n v="0.99999994000000003"/>
    <n v="9.680123E-5"/>
    <n v="0"/>
    <n v="1"/>
    <n v="0"/>
  </r>
  <r>
    <x v="155"/>
    <x v="3"/>
    <x v="0"/>
    <s v="QVQ-LQESGP-GLVKPSETLSLTCAVSGASI---------SSYGVG-WIRQ-P-P-G-K--G-LE-WIGEIGTT-----------SYNISW--A--K--SR--I---SRITISR-D---T-S--KN----Q-VSLQM---TA-EDTATYYCARVQYRDL----------------------VYYGMDVWG-QGTMVTVSS"/>
    <s v="--E-LTQDPA-VSVALGQTVRVTPCQALLDY---------GNSFSG-WYQQ-R-P-G-Q--A-PR-LVIYED----------------NIR--P--S--GI--P---DRFSGST-------S--GN----T-ASLTISGLQA-EDEADYHCSYE-------------------------------VWVFG-GGTKLTVL-"/>
    <s v="hv4"/>
    <s v="lv3"/>
    <n v="2.1053844999999999E-7"/>
    <n v="0.99999769999999999"/>
    <n v="1.9559690000000002E-6"/>
    <n v="0"/>
    <n v="1"/>
    <n v="0"/>
  </r>
  <r>
    <x v="156"/>
    <x v="3"/>
    <x v="0"/>
    <s v="EVQ-LQQSGP-ELVKPGASVKISCKASGYTF---------ISYEMN-WVKQ-A-P-G-K--G-LE-WMGGIYPGD----------SDNTLY--N--Q--KF--K---DKATLTV-D---K-S--ST----T-AYMELSSLTS-EDSAVYYCARVGP----------------------------YFDYWG-QGTTLTVSS"/>
    <s v="DIV-MTQSPDSLAVSLGERATINCKSSQNN-----------KNYLA-WYQQ-K-P-G-Q--S-PK-LLIYWA----------------STR--E--S--GV--P---DRFSGSG-------S--GT----D-FTLTISSLQA-EDVAVYYCQQYYS----------------------------TPRTFG-GGTKLEIK-"/>
    <s v="hv1"/>
    <s v="kv4"/>
    <n v="0.97036029999999995"/>
    <n v="0.99999696000000005"/>
    <n v="2.3818560000000001E-4"/>
    <n v="1"/>
    <n v="1"/>
    <n v="0"/>
  </r>
  <r>
    <x v="157"/>
    <x v="3"/>
    <x v="0"/>
    <e v="#NAME?"/>
    <s v="DIQ-MTQTTSSLSASLGDRVTISCTQSSQS-----------IVYLN-WYQQ-K-P-D-G--T-VK-LLIYYT----------------SRL--H--S--GV--P---SRFSGSG-------S--GT----D-YSLTISNLEP-EDIATYFCQQGNT----------------------------LPFTFG-SGTKLEIK-"/>
    <s v="hv3"/>
    <s v="kv3"/>
    <n v="0.99999970000000005"/>
    <n v="9.6774303999999996E-11"/>
    <n v="2.6483840000000002E-4"/>
    <n v="1"/>
    <n v="0"/>
    <n v="0"/>
  </r>
  <r>
    <x v="158"/>
    <x v="3"/>
    <x v="0"/>
    <s v="-VQ-LQQSGA-ELMKPGASVKLSCTASGFNI---------KDYYIH-WVKQ-R-P-E-Q--G-LE-WIGRIDPA-----------NGNTKY--D--P--KF--Q---GKATITT-D---T-F--SN----T-AYLQLSSLTS-EDTAVYYCARKGLR--------------------------WAMDYWG-QGTSVTVS-"/>
    <s v="DVL-MTQTPLSLPVSLGDQASISCRSSQSLVYS------DGTHYLN-WLL--V-P-G-I--H-PK-WMGPV------------------NL--V-----TA--P---KRFSGSL-------I--ES--------SRVSHTQF-EDLAIYYCQQYNE----------------------------DPYTFG-GGTKLEIK-"/>
    <s v="hv1"/>
    <s v="kv4"/>
    <n v="7.7579559999999999E-3"/>
    <n v="1.0734183E-5"/>
    <n v="1.5305463000000001E-15"/>
    <n v="0"/>
    <n v="0"/>
    <n v="0"/>
  </r>
  <r>
    <x v="159"/>
    <x v="3"/>
    <x v="0"/>
    <s v="EVQ-LVESGG-GLVQPGGSLRLSCVTSGFTF---------SNYTMH-WVRQ-P-P-G-K--G-LE-WVTVISYS------------GYTSY--A--D--SV--K---GRFTISR-D---N-P--KN----T-LYLQMNSLRA-EDTAVYYCARGSLYGG----------------------YDYWYSYWG-QGTLVTVSS"/>
    <s v="DIQ-MTQSPSSLSASVGDRVTITCRASQSI-----------SSYLN-WYQQ-K-P-G-K--A-PK-LLIYAA----------------SSL--Q--S--GV--P---SRFSGSG-------S--GT----D-FTLTISSLQP-EDFATYYCQQSYS----------------------------TPRTFG-QGTKVEIK-"/>
    <s v="hv3"/>
    <s v="kv1"/>
    <n v="0.9992164"/>
    <n v="0.99999994000000003"/>
    <n v="0.99077970000000004"/>
    <n v="1"/>
    <n v="1"/>
    <n v="1"/>
  </r>
  <r>
    <x v="160"/>
    <x v="3"/>
    <x v="0"/>
    <s v="EVQ-LVQSGG-GLVQPGGSLRLSCAASGFTF---------SSYWMS-WVRQ-A-P-G-K--G-LE-WVANIKQD-----------GSEKYY--V--D--SV--K---GRFTISR-D---N-A--KN----S-LYLQMNSLRA-EDTAVYYCTGTYDA--------------------------GYFDYWG-QGTLVTVS-"/>
    <s v="QSV-LTQPPS-ASGTPGQRVTISCSGSSSNI---------GNNYVY-WYQQ-L-P-G-T--A-PK-LLIYKN----------------NQR--P--S--GV--P---DRFSGSK-------S--GT----S-ASLAISGLRS-EDEADYYCAAWDD----------------------------SLWVFG-GGTKLTVL-"/>
    <s v="hv3"/>
    <s v="lv1"/>
    <n v="0.99996229999999997"/>
    <n v="0.99999994000000003"/>
    <n v="0.99999979999999999"/>
    <n v="1"/>
    <n v="1"/>
    <n v="1"/>
  </r>
  <r>
    <x v="161"/>
    <x v="3"/>
    <x v="0"/>
    <s v="QVQ-LVQSGA-EVKKPGASVKVSCKASGYTF---------TTYAIH-WVRQ-A-P-G-Q--G-LE-WMGWINPT-----------NGATNY--N--E--KF--K---GRATITA-D---T-S--SN----T-AYMELRSLTS-EDTAVYYCARVW------------------------------FDYWG-QGTLVTVSS"/>
    <s v="-SA-LTQPAS-VSGSPGQSITISCTGTSSDVG--------GYNYVS-WYQQ-H-P-G-K--S-PK-LMIYDV----------------SKR--P--S--GV--S---NRFSGSK-------S--GN----T-ASLTISGLQA-EDEADYYCCSYAG---------------------------SSTYVFG-GGTKLTVL-"/>
    <s v="hv1"/>
    <s v="lv2"/>
    <n v="0.99402195000000004"/>
    <n v="0.99999994000000003"/>
    <n v="0.18205293"/>
    <n v="1"/>
    <n v="1"/>
    <n v="0"/>
  </r>
  <r>
    <x v="162"/>
    <x v="3"/>
    <x v="0"/>
    <s v="QVQ-LVQSGA-EVKKPGSSVKVSCKASGYTF---------TDYVIS-WVRQ-A-P-G-Q--G-LE-WMGWVNTN------------GNPNY--K--P--SL--Q---ARISITR-D---T-T--SN----T-AYMEL---KS-DDTAVYYCARLGRG-------------------------DAVDDYWG-QGTLVAV--"/>
    <s v="DIQ-MTQSPSSLSASVGDRVTITCRASQGI-----------SSDLA-WYQQ-K-P-G-K--A-PK-LLIYYA----------------STL--Q--S--GV--P---SRFSGSG-------S--GT----D-FTLTISSLQP-EDFATYYCQHSIY----------------------------TPFTFG-PGTKVDIK-"/>
    <s v="hv1"/>
    <s v="kv1"/>
    <n v="0.99999850000000001"/>
    <n v="0.98377919999999996"/>
    <n v="0.20257412999999999"/>
    <n v="1"/>
    <n v="1"/>
    <n v="0"/>
  </r>
  <r>
    <x v="163"/>
    <x v="3"/>
    <x v="0"/>
    <s v="EVQ-LVESGG-GLVQPGGSLRLSCAASGFNF---------SSSSIH-WVRQ-A-P-G-K--G-LE-WVASIYSY-----------SGYTSY--A--D--SV--K---GRFTISA-D---T-S--KN----T-AYLQMNSLRA-EDTAVYYCARGWSYYIW-------------------SGYSYALDVWG-QGTTVTVSS"/>
    <s v="DIQ-MTQSPSSLSASVGDRVTITCRASQSV-----------SSAVA-WYQQ-K-P-G-K--A-PK-LLIYSA----------------SSL--Y--S--GV--P---SRFSGSR-------S--GT----D-FTLTISSLQP-EDFATYYCQQYY-----------------------------SSPTFG-QGTKVEIK-"/>
    <s v="hv3"/>
    <s v="kv1"/>
    <n v="0.99999660000000001"/>
    <n v="0.99995904999999996"/>
    <n v="0.98368745999999996"/>
    <n v="1"/>
    <n v="1"/>
    <n v="1"/>
  </r>
  <r>
    <x v="164"/>
    <x v="3"/>
    <x v="0"/>
    <e v="#NAME?"/>
    <s v="DIQ-MTQSPSSLSASVGDRVTITCRASQGI-----------SNYLN-WYQQ-K-P-G-K--A-PK-LLIYAA----------------SSL--Q--S--GV--P---SRFSGSG-------S--GT----D-FTLTISSLQP-EDFATYYCQQSYS----------------------------TPRTFG-GGTKVEIK-"/>
    <s v="hv1"/>
    <s v="kv1"/>
    <n v="0.99999300000000002"/>
    <n v="0.99999994000000003"/>
    <n v="0.76821459999999997"/>
    <n v="1"/>
    <n v="1"/>
    <n v="1"/>
  </r>
  <r>
    <x v="165"/>
    <x v="3"/>
    <x v="0"/>
    <s v="EVQ-LLESGG-GLVQPGGSLRLSCAASGFTF---------SSYAMS-WVRQ-A-P-G-K--G-LE-WVSAISSG------------GSTYY--A--D--SV--K---GRFTISR-D---N-S--KN----T-LYLQMNSLRA-EDTAVYYCARSD-----------------------------LEQHWG-QGTLVTVSS"/>
    <s v="DIQ-MTQSPASLSASVGETVTITCRASGNI-----------HNYLA-WYQQ-K-Q-G-K--S-PQ-LLVYSA----------------TGL--A--D--GV--P---SRFSGSG-------S--GT----Q-YSLKINSLQP-EDFGSYYCQHFWS----------------------------TPWTFG-AGTKLELK-"/>
    <s v="hv3"/>
    <s v="kv1"/>
    <n v="0.99999919999999998"/>
    <n v="5.442384E-8"/>
    <n v="2.1472026999999998E-11"/>
    <n v="1"/>
    <n v="0"/>
    <n v="0"/>
  </r>
  <r>
    <x v="166"/>
    <x v="3"/>
    <x v="0"/>
    <s v="EVQ-LVESGG-GLVQPGGSLRLSCAASGFNF---------SSSSIH-WVRQ-A-P-G-K--G-LE-WVASIYSY-----------YGSTSY--A--D--SV--K---GRFTISA-D---T-S--KN----T-AYLQMNSLRA-EDTAVYYCARGSYYSWSY------------------SYSPLA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59999999999"/>
    <n v="0.9999903"/>
    <n v="0.73613625999999999"/>
    <n v="1"/>
    <n v="1"/>
    <n v="1"/>
  </r>
  <r>
    <x v="167"/>
    <x v="3"/>
    <x v="0"/>
    <s v="QVQ-LQESGP-GLVKPSETLSLTCTVSGASI---------SGDYWS-WIRQ-P-P-G-K--G-LE-WIGRIYS-------------GSTNY--N--P--SL--K---SRVTISM-D---T-S--KN----Q-FSLKL---TA-ADTAVYYCARGPGS-------------------------SNYYDAWG-QGTLVTVSS"/>
    <s v="DIQ-MTQSPSSLSASVGDRVTITCQASQDI-----------SNYLN-WYQQ-K-P-G-K--A-PK-LLIYE-----------------TSL--E--S--GV--P---SRFSGSR-------S--GT----D-YTLTISSLQP-EDFAAYYCQQYGT----------------------------SPLTFG-GGTKVEIK-"/>
    <s v="hv4"/>
    <s v="kv1"/>
    <n v="0.99999994000000003"/>
    <n v="0.99797619999999998"/>
    <n v="0.99410456000000003"/>
    <n v="1"/>
    <n v="1"/>
    <n v="1"/>
  </r>
  <r>
    <x v="168"/>
    <x v="3"/>
    <x v="0"/>
    <s v="EVQ-LVQSGA-EVKKPGESLKISCKGSGYSF---------TSYWIG-WVRQ-M-P-G-K--G-LE-WMGIIYPG-----------DSDTRY--S--P--SF--Q---GQVTISA-D---K-S--IS----T-AYLQWSSLKA-SDTAMYYCARGPGY--------------------------YSSDFWG-QGTLVTVSS"/>
    <s v="-IQ-MTQSPSSLSASVGDRVTITCRASQSV-----------SSAVA-WYQQ-K-P-G-K--A-PK-LLIYSA----------------SSL--Y--S--GV--P---SRFSGSR-------S--GT----D-FTLTISSLQP-EDFATYYCQQYKY----------------------------VPVTFG-QGTKVEIK-"/>
    <s v="hv5"/>
    <s v="kv1"/>
    <n v="0.99789053000000005"/>
    <n v="0.99977919999999998"/>
    <n v="1.1672386E-2"/>
    <n v="1"/>
    <n v="1"/>
    <n v="0"/>
  </r>
  <r>
    <x v="169"/>
    <x v="3"/>
    <x v="0"/>
    <s v="QVQ-LQQSGA-ELARPGASVKMSCKASGYTF---------TRYAMH-WVKQ-R-P-G-Q--G-LE-WIGYINPYN---------GDSYTNY--N--E--KF--K---GKATLTV-D---R-S--SS----T-AYMQLSSLTS-EDSAVYYCARPYGYC-----------------------YYYGMDVWG-QGTTVTVSS"/>
    <s v="DIQ-MTQSPSSLSASVGDRVTITCRASQSI-----------SSYLN-WYQQ-K-P-G-K--A-PK-LLIYAA----------------SSL--Q--S--GV--P---SRFSGSG-------S--GT----D-FTLTISSLQP-EDFATYYCQQSYN----------------------------LPITFG-QGTRLEIK-"/>
    <s v="hv1"/>
    <s v="kv1"/>
    <n v="4.6095476000000003E-2"/>
    <n v="0.99999994000000003"/>
    <n v="6.7426149999999998E-5"/>
    <n v="0"/>
    <n v="1"/>
    <n v="0"/>
  </r>
  <r>
    <x v="170"/>
    <x v="3"/>
    <x v="0"/>
    <s v="QVQ-LQESGP-GLVKPSGTLSLTCAVSGGSF---------SSGGIH-WVRQ-S-P-G-Q--G-PE-WVGRINTWD---------NAKSRYY--A--D--SL--K---GRVSISR-D---T-S--K-----T-AYLQLSSLTA-EDTAVYYCARAA-----------------------------YYDGWG-QGTLVTVSS"/>
    <s v="DIQ-MTQSPSSLSASVGDRVTITCRASQGI-----------RNDLG-WYQQ-K-P-G-R--A-PK-LLIYAA----------------SSL--Q--S--GV--P---SRFSGSG-------S--GT----D-FTLTISSLQP-EDFATYYCQQSYS----------------------------TPYTFG-QGTKVEIK-"/>
    <s v="hv6"/>
    <s v="kv1"/>
    <n v="3.0850337E-4"/>
    <n v="0.99999994000000003"/>
    <n v="1.7909023999999999E-2"/>
    <n v="0"/>
    <n v="1"/>
    <n v="0"/>
  </r>
  <r>
    <x v="171"/>
    <x v="3"/>
    <x v="0"/>
    <s v="EVQ-LVESGG-GLVQPGRSLRLSCAASGFTF---------DDYAMH-WVRQ-A-P-G-K--G-LE-WVSGIDWN-----------SGSIGY--A--D--SV--K---GRFTISR-D---N-A--KN----S-LYLQMNSLRA-EDTALYYCVKGD-----------------------------GFDLWG-RGTLVTVSS"/>
    <s v="DIQ-MTQSPSSLSASVGDRVTITCRASQSV-----------SSAVA-WYQQ-K-P-G-K--A-PK-LLIYSA----------------SSL--Y--S--GV--P---SRFSGSR-------S--GT----D-FTLTISSLQP-EDFATYYCQQYSS----------------------------YPLTFG-GGTKVEIK-"/>
    <s v="hv3"/>
    <s v="kv1"/>
    <n v="0.9989498"/>
    <n v="0.99872214000000004"/>
    <n v="0.7146015"/>
    <n v="1"/>
    <n v="1"/>
    <n v="1"/>
  </r>
  <r>
    <x v="172"/>
    <x v="3"/>
    <x v="0"/>
    <s v="QVQ-LVESGG-GVVQPGRSLRLSCAASGFTF---------SNYGMH-WVRQ-A-P-G-K--G-LE-WVAVIWDG------------SNKYY--A--D--SV--K---GRFTISR-D---N-S--KN----T-LYLQM---RA-EDTAVYYCAKDR-----------------------------YFAYWG-QGTLVTVSS"/>
    <s v="-IQ-MTQSPSTLSASVGDRVTITCRASQSI-----------SSWLA-WYQQ-K-P-G-K--A-PK-LLIYKA----------------SSL--E--S--GV--P---SRFSGSG-------S--GT----E-FTLTISSLQP-EDFATYYCQQYKY----------------------------SPLTFG-QGTKVEIK-"/>
    <s v="hv3"/>
    <s v="kv1"/>
    <n v="0.99999755999999995"/>
    <n v="0.99999959999999999"/>
    <n v="0.98263012999999999"/>
    <n v="1"/>
    <n v="1"/>
    <n v="1"/>
  </r>
  <r>
    <x v="173"/>
    <x v="3"/>
    <x v="0"/>
    <e v="#NAME?"/>
    <s v="DIQ-MTQSPSSLSASVGDRVTITCRASQSI-----------SSYLN-WYQQ-K-P-G-K--A-PK-LLIYAA----------------SSL--Q--S--GV--P---SRFSGSG-------S--GT----D-FTLTISSLQP-EDFATYYCQQHYS---------------------------TPPYTFG-QGTKVEIK-"/>
    <s v="hv3"/>
    <s v="kv1"/>
    <n v="0.99999994000000003"/>
    <n v="0.99999899999999997"/>
    <n v="0.31106060000000002"/>
    <n v="1"/>
    <n v="1"/>
    <n v="0"/>
  </r>
  <r>
    <x v="174"/>
    <x v="3"/>
    <x v="0"/>
    <s v="EVQ-LVESGG-GLVQPGGSLRLSCAASGFTF---------SSYWMS-WVRQ-A-P-G-K--G-LE-WVANIKDD------------GGTNY--A--A--SV--K---GRFTISR-D---N-A--KN----T-LYLQMNSLRA-EDTAVYYCARDQ------------------------------VDIWG-QGTLVTVSS"/>
    <s v="DIQ-MTQSPSSLSASVGDRVTITCRASQGI-----------SSYLA-WYQQ-K-P-G-K--A-PK-LLIYQA----------------STL--Y--S--GV--P---SRFSGSG-------S--GT----D-FTLTISSLQP-EDFATYYCQQSV-----------------------------DLITFG-QGTKVEIK-"/>
    <s v="hv3"/>
    <s v="kv1"/>
    <n v="0.99994044999999998"/>
    <n v="0.96509319999999998"/>
    <n v="0.78847619999999996"/>
    <n v="1"/>
    <n v="1"/>
    <n v="1"/>
  </r>
  <r>
    <x v="175"/>
    <x v="3"/>
    <x v="0"/>
    <s v="EVQ-LQQSGA-ELVKPGASVKLSCTASGFNI---------KDTYVH-WVKQ-R-P-E-Q--G-LE-WIGRIDPA-----------NGYTKY--D--P--KF--Q---GKATITA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7.1641316E-6"/>
    <n v="1.5476132000000001E-8"/>
    <n v="0.55569725999999997"/>
    <n v="0"/>
    <n v="0"/>
    <n v="1"/>
  </r>
  <r>
    <x v="176"/>
    <x v="3"/>
    <x v="0"/>
    <s v="QVQ-LVQSGA-EVKKPGASVKVSCKASGYTF---------ISYEMH-WVKQ-A-P-G-Q--S-LE-WIGYIDPS-----------SRYTSY--N--Q--KF--K---GKATLTA-D---K-S--SS----T-AYMQLSSLTS-EDSAVYYCARYYD---------------------------VYFDYWG-QGTTLTVSS"/>
    <s v="DIV-MTQSPSSLAMSVGQKVTMSCKSSQSLLNS-----NNQKNYLA-WYQQ-K-P-G-Q--S-PK-LLIYWA----------------STR--E--S--GV--P---DRFTGSG-------S--GT----D-FTLTISSVQA-EDLAVYYCQQHYT----------------------------YPYTFG-GGTKLEIK-"/>
    <s v="hv1"/>
    <s v="kv4"/>
    <n v="0.99703779999999997"/>
    <n v="1.6553304999999999E-6"/>
    <n v="7.2500879999999994E-5"/>
    <n v="1"/>
    <n v="0"/>
    <n v="0"/>
  </r>
  <r>
    <x v="177"/>
    <x v="3"/>
    <x v="0"/>
    <s v="-VK-LVESGG-GLVKPGGSLKLSCAASGFTF---------SSYTMS-WVRQ-T-P-E-K--R-LE-WVATISGG-----------GTYTYY--P--D--TV--K---GRFTISR-D---N-A--KN----T-LYLQMSSLKS-EDTAMYYCARQVF---------------------------DYFDYWG-QGTTVTVSS"/>
    <s v="DIV-MTQTPDSLAVSLGERATINCKSSQNN-----------KNYLA-WYQQ-K-P-G-Q--P-PK-LLIYWA----------------STR--E--S--GV--P---DRFSGSG-------S--GT----D-FTLTISSLQA-EDVAVYYCQQHD-----------------------------TPLTFG-QGTKLEIK-"/>
    <s v="hv3"/>
    <s v="kv4"/>
    <n v="0.2946918"/>
    <n v="0.99999994000000003"/>
    <n v="3.0563112E-2"/>
    <n v="0"/>
    <n v="1"/>
    <n v="0"/>
  </r>
  <r>
    <x v="178"/>
    <x v="3"/>
    <x v="0"/>
    <e v="#NAME?"/>
    <s v="DIQ-MTQSPSSLSASVGDRVTITCRASQSV-----------SSAVA-WYQQ-K-P-G-K--A-PK-LLIYSA----------------SSL--Y--S--GV--P---SRFSGSR-------S--GT----D-FTLTISSLQP-EDFATYYCQQSSY----------------------------IPYTFG-QGTKVEIK-"/>
    <s v="hv3"/>
    <s v="kv1"/>
    <n v="0.99999802999999998"/>
    <n v="0.99997309999999995"/>
    <n v="0.98395043999999998"/>
    <n v="1"/>
    <n v="1"/>
    <n v="1"/>
  </r>
  <r>
    <x v="179"/>
    <x v="3"/>
    <x v="0"/>
    <s v="-VQ-LVQSGA-EVKKPGASVKVSCKASGYTF---------TSYAMH-WVRQ-A-P-G-Q--R-LE-WMGWINAG-----------NGNTKY--S--Q--KF--Q---DRVTITR-D---T-S--AS----T-AYMELSSLRS-EDTAVYYCARPPR---------------------------NWDDVWG-QGTTVTVSS"/>
    <s v="DIQ-MTQSPSSLSASVGDTVTITCRASQSI-----------SSYLN-WYQQ-K-P-G-K--A-PK-LLIYAA----------------SSL--Q--S--GV--P---SRFSGSG-------S--GT----D-FTLTISSLQP-EDFATYYCQQSYS----------------------------TPYTFG-PGTKVEIK-"/>
    <s v="hv1"/>
    <s v="kv1"/>
    <n v="0.99830675000000002"/>
    <n v="0.99999994000000003"/>
    <n v="0.10383773"/>
    <n v="1"/>
    <n v="1"/>
    <n v="0"/>
  </r>
  <r>
    <x v="180"/>
    <x v="3"/>
    <x v="0"/>
    <s v="EVQ-LVESGG-GLVQPGGSLRLSCAASGFDF---------SSYAMS-WVRQ-A-P-G-K--G-LE-WVSAIISD-----------GGATYY--A--D--SV--K---GRFTISR-D---N-S--KN----T-LFLQMNSLRA-EDTAVYYCARGTQ---------------------------SYSDYWG-QGTLVTVS-"/>
    <s v="DIQ-LTQSPSSLSASVGDRVTITCQASQDI-----------SNYLN-WYQQ-K-P-G-K--A-PK-LLIYDA----------------SNL--E--T--GV--P---SRFSGSG-------S--GT----D-FTFTISSLQP-EDIATYYCQQYDN----------------------------LPLTFG-GGTKVEIK-"/>
    <s v="hv3"/>
    <s v="kv1"/>
    <n v="0.99995655000000006"/>
    <n v="0.99999994000000003"/>
    <n v="2.1776396000000001E-3"/>
    <n v="1"/>
    <n v="1"/>
    <n v="0"/>
  </r>
  <r>
    <x v="181"/>
    <x v="3"/>
    <x v="0"/>
    <e v="#NAME?"/>
    <s v="DIV-MTQSPDSLAVSLGERATINCKSSQSVLYS-----SNNKNYLA-WYQQ-K-P-G-Q--P-PK-LLIYWA----------------STR--E--S--GV--P---DRFSGSG-------S--GT----D-FTLTISSLQA-EDVAVYYCQQYYS----------------------------TPRTFG-GGTKVEIK-"/>
    <s v="hv4"/>
    <s v="kv4"/>
    <n v="0.89390749999999997"/>
    <n v="0.99999994000000003"/>
    <n v="8.2640825000000005E-3"/>
    <n v="1"/>
    <n v="1"/>
    <n v="0"/>
  </r>
  <r>
    <x v="182"/>
    <x v="3"/>
    <x v="0"/>
    <s v="QVQ-LQQSGP-ELVKPGASVKISCKASGYSF---------TDYNMN-WVKQ-S-H-G-K--S-LE-WIGDITYD-----------GATYNY--N--L--KF--K---DKATLTV-D---K-S--SS----T-AYMQLNSLTS-EDSAVYYCARSVR----------------------------PGAYWG-QGTLVTVSA"/>
    <s v="DIQ-MTQSPSSLSASVGDRVTITCRASQDI-----------TNYVA-WYQQ-K-P-E-K--A-PK-LLIYWA----------------STR--H--T--GV--P---VRFSGSG-------S--GT----D-FTLTISNLEP-EDFAVYYCQHFWN----------------------------TPYTFG-QGTKLEIK-"/>
    <s v="hv1"/>
    <s v="kv1"/>
    <n v="1.9127673000000001E-2"/>
    <n v="0.60220724000000003"/>
    <n v="0.98628000000000005"/>
    <n v="0"/>
    <n v="1"/>
    <n v="1"/>
  </r>
  <r>
    <x v="183"/>
    <x v="3"/>
    <x v="0"/>
    <e v="#NAME?"/>
    <s v="DIV-MTQSPDSLAVSLGERATINCKSSQSVLYS-----SNNKNYLA-WYQQ-K-P-G-Q--P-PK-LLIYWA----------------STR--E--S--GV--P---DRFSGSG-------S--GT----D-FTLTISSLQA-EDVAVYYCQQYYS----------------------------TPYTFG-QGTKVEIK-"/>
    <s v="hv1"/>
    <s v="kv4"/>
    <n v="0.9918013"/>
    <n v="0.99999994000000003"/>
    <n v="1.1760252000000001E-2"/>
    <n v="1"/>
    <n v="1"/>
    <n v="0"/>
  </r>
  <r>
    <x v="184"/>
    <x v="3"/>
    <x v="0"/>
    <s v="EVQ-LVESGG-GLVKPGGSLRLSCAASGFNF---------SSSSIH-WVRQ-A-P-G-K--G-LE-WVASISSS-----------YGSTYY--A--D--SV--K---GRFTISA-D---T-S--KN----T-AYLQMNSLRA-EDTAVYYCARAHGSS------------------------ADAFDIWG-QGTMVTVSS"/>
    <s v="DIQ-MTQSPSSLSASVGDRVTITCRASQNI-----------SKYLA-WYQQ-K-P-G-K--A-PK-LLIYDA----------------SNL--Q--S--GV--P---SRFSGSG-------S--GT----D-FTLTISSLQP-EDFATYYCQQYS-----------------------------SYWTFG-QGTKVEIK-"/>
    <s v="hv3"/>
    <s v="kv1"/>
    <n v="0.99999830000000001"/>
    <n v="0.99997526000000003"/>
    <n v="0.37604868000000002"/>
    <n v="1"/>
    <n v="1"/>
    <n v="0"/>
  </r>
  <r>
    <x v="185"/>
    <x v="3"/>
    <x v="0"/>
    <s v="QVQ-LQQSGP-ELVKPGASMKISCKASGYSF---------TGYTMN-WVKQ-S-H-G-K--N-LE-WIGLINPY-----------NGGTSY--N--Q--KF--K---GKATLTV-D---K-S--SS----T-AYMELLSLTS-EDSAVYYCARDGDYYR----------------------YGRYFDYWG-QGTTLTVSS"/>
    <s v="DIV-LTQSPASLAVSLGQRATISCRASESVEY--------GNSFIH-WYQQ-K-P-G-Q--P-PK-LLIYAA----------------SNL--E--S--GI--P---ARFSGSG-------S--RT----D-FTLTINPVEA-DDVATYYCQQSNE----------------------------DPRTFG-GGTKLEIK-"/>
    <s v="hv1"/>
    <s v="kv7"/>
    <n v="0.27735340000000003"/>
    <n v="3.0777505E-6"/>
    <n v="1.6136235E-6"/>
    <n v="0"/>
    <n v="0"/>
    <n v="0"/>
  </r>
  <r>
    <x v="186"/>
    <x v="3"/>
    <x v="0"/>
    <s v="QVQ-LVESGG-GVVQPGRSLRLSCAASGFTF---------SSYAMH-WVRQ-A-P-G-K--G-LE-WVAVISYD-----------GSNKYY--A--D--SV--K---GRFTISR-D---N-S--KN----T-LYLQMNSLRA-EDTAVYYCARSRGW--------------------------SALDYWG-QGTLVTVSS"/>
    <s v="DIQ-MTQSPSSLSASVGDRVTITCRASQSI-----------SSYLN-WYQQ-K-P-G-K--A-PK-LLIYAA----------------SSL--Q--S--GV--P---SRFSGSG-------S--GT----D-FTLTISSLQP-EDFATYYCQQSYS----------------------------TPRTFG-QGTKVEIK-"/>
    <s v="hv3"/>
    <s v="kv1"/>
    <n v="0.99999720000000003"/>
    <n v="0.99999994000000003"/>
    <n v="0.99999910000000003"/>
    <n v="1"/>
    <n v="1"/>
    <n v="1"/>
  </r>
  <r>
    <x v="187"/>
    <x v="3"/>
    <x v="0"/>
    <s v="-VQ-LQQSGP-ELVKPGASVKISCKASGYAF---------SSYWIV-WVKQ-R-P-G-Q--G-LE-WIGEINPT-----------SGYTNY--N--E--KF--K---GKATLTA-D---K-S--SS----T-AYMQLSSLTS-EDSAVYYCARERGD--------------------------YYFDYWG-QGTTLTVSS"/>
    <s v="DIQ-MTQTTSSLSASLGDRVTISCRASQDI-----------SNYLN-WYQQ-K-P-D-G--T-VK-LLIYYT----------------SRL--H--S--GV--P---SRFSGSG-------S--GT----D-YSLTISNLEQ-EDIATYFCQQDSK----------------------------LPWTFG-GGTKLEIK-"/>
    <s v="hv1"/>
    <s v="kv1"/>
    <n v="0.88657147000000003"/>
    <n v="1.9434486999999999E-9"/>
    <n v="1.2651387999999999E-5"/>
    <n v="1"/>
    <n v="0"/>
    <n v="0"/>
  </r>
  <r>
    <x v="188"/>
    <x v="3"/>
    <x v="0"/>
    <s v="EVQ-LQQSGA-ELVKPGASVKLSCTASGFNI---------KDTYVH-WVKQ-R-P-E-Q--G-LE-WIGRIDPA-----------NGYTKY--D--P--KF--Q---GKATITA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7.1641316E-6"/>
    <n v="1.5476132000000001E-8"/>
    <n v="0.55569725999999997"/>
    <n v="0"/>
    <n v="0"/>
    <n v="1"/>
  </r>
  <r>
    <x v="189"/>
    <x v="3"/>
    <x v="0"/>
    <s v="QIQ-LVQSGR-EVKNPGETVKISCKASGYTF---------TEYPML-WVKQ-A-P-G-K--G-FR-WMGLIYTN-----------TGEPTY--A--E--EF--K---GRFVFSL-E---I-S--AS----T-AYLQINNLTN-EDTATYFCVRDYF---------------------------ISLDYWG-QGTTLTVSS"/>
    <s v="QAV-VTQESA-LTTSPGETVTLTCRSNIGAVT--------SSNCAN-WVQE-K-P-D-H--F-FT-GLIGDT----------------NNR--R--S--GV--P---ARFSGSL-------I--GD----K-AALTITGAQT-EDEAIYFCALWYN----------------------------NLWVFG-GGTKLTVL-"/>
    <s v="hv7"/>
    <s v="lv7"/>
    <n v="0.94473885999999996"/>
    <n v="4.8687340000000002E-6"/>
    <n v="0.95380836999999996"/>
    <n v="1"/>
    <n v="0"/>
    <n v="1"/>
  </r>
  <r>
    <x v="190"/>
    <x v="3"/>
    <x v="0"/>
    <s v="EVQ-LVESGG-GLVQPGGSLRLSCAASGFNF---------SSSSIH-WVRQ-A-P-G-K--G-LE-WVAYIYSS------------GYTSY--A--D--SV--K---GRFTISA-D---T-S--KN----T-AYLQMNSLRA-EDTAVYYCARHTYTSVY--------------------AYFGGFDYWG-QGTLVTVSS"/>
    <s v="DIQ-MTQSPSSLSASVGDRVTITCRASQSV-----------SSAVA-WYQQ-K-P-G-K--A-PK-LLIYSA----------------SSL--Y--S--GV--P---SRFSGSR-------S--GT----D-FTLTISSLQP-EDFATYYCQQSYF---------------------------SPPLTFG-QGTKVEIK-"/>
    <s v="hv3"/>
    <s v="kv1"/>
    <n v="0.99999979999999999"/>
    <n v="0.99999945999999995"/>
    <n v="0.73551564999999997"/>
    <n v="1"/>
    <n v="1"/>
    <n v="1"/>
  </r>
  <r>
    <x v="191"/>
    <x v="3"/>
    <x v="0"/>
    <s v="EVQ-LVESGG-GLVQPGGSLRLSCAASGFTF---------SDYWMS-WVRQ-A-P-G-K--G-LE-WVANIKDG------------GSTYY--A--D--SV--K---GRFTISR-D---N-S--KN----T-LYLQMNSLRA-EDTAVYYCARDLS---------------------------SGVDYWG-QGTLVTVSS"/>
    <s v="DIQ-MTQSPSSLSASVGDRVTITCRASQDV-----------STAVA-WYQQ-K-P-G-K--A-PK-LLIYSA----------------SFL--Y--S--GV--P---SRFSGSG-------S--GT----D-FTLTISSLQP-EDFATYYCQQFYS----------------------------SLITFG-QGTKVEIK-"/>
    <s v="hv3"/>
    <s v="kv1"/>
    <n v="0.98735280000000003"/>
    <n v="0.99980899999999995"/>
    <n v="4.9062359999999999E-2"/>
    <n v="1"/>
    <n v="1"/>
    <n v="0"/>
  </r>
  <r>
    <x v="192"/>
    <x v="3"/>
    <x v="0"/>
    <s v="EVQ-LQQSGA-ELVKPGASVKLSCTASGFNI---------KDTYVH-WVKQ-R-P-E-Q--G-LE-WIGRIDPA-----------NGYTKY--D--P--KF--Q---GKATITA-D---T-S--SN----T-AYLQLSSLTS-EDTAVYYCVRPLYD-------------------------YYAMDYWG-QGTSVTVSS"/>
    <s v="DIV-MTQSHKFMSTSVGDRVSITCKASQDV-----------SSAVA-WYQQ-K-P-G-Q--S-PK-LLIYSA----------------SYR--Y--T--GV--P---DRFTGSG-------S--GT----D-FTLTISNVQS-EDLADYFCQQYSS----------------------------YPLTFG-SGTKLEIK-"/>
    <s v="hv1"/>
    <s v="lv5"/>
    <n v="7.1641316E-6"/>
    <n v="9.666698999999999E-10"/>
    <n v="4.9399159999999998E-2"/>
    <n v="0"/>
    <n v="0"/>
    <n v="0"/>
  </r>
  <r>
    <x v="193"/>
    <x v="3"/>
    <x v="0"/>
    <s v="EVQ-LVQSGA-E-MKPGASVKVSCRTSGYTF---------TEYTIH-WVRQ-A-P-G-Q--G-LE-WIGDIYPG-----------NGDTNY--N--G--KF--Q---GKATMTA-D---T-S--SN----T-AYMELSSLRS-EDTAVYYCVRNTAFV-----------------------TKGYYAYWG-QGTLVTVSS"/>
    <s v="DIQ-MTQSPSSLSASVGDRVTITCRASQDI-----------TNYLN-WYQQ-K-P-G-K--A-PK-LLIYAA----------------STL--Q--S--GV--P---SRFSGSG-------S--GT----D-FTLTISSLQP-EDFATYYCQQSSS----------------------------SPRTFG-QGTKVEIK-"/>
    <s v="hv1"/>
    <s v="kv1"/>
    <n v="0.1608242"/>
    <n v="0.99999994000000003"/>
    <n v="0.99996894999999997"/>
    <n v="0"/>
    <n v="1"/>
    <n v="1"/>
  </r>
  <r>
    <x v="194"/>
    <x v="3"/>
    <x v="0"/>
    <s v="QVQ-LVESGG-GVVQPGGSLRLSCAASGFTF---------SSYAMS-WVRQ-A-P-G-K--G-LE-WVAFIRYD-----------GGNKYY--A--D--SV--K---GRFTISR-D---N-S--KN----T-LYLQMNRLRA-EDTAVYYCVRMGS----------------------------GSDYWG-QGTLVTVSS"/>
    <s v="DIQ-MTQSPSSLSASVGDRVTITCRASQSV-----------SSAVA-WYQQ-K-P-G-K--A-PK-LLIYSA----------------SSL--Y--S--GV--P---SRFSGSR-------S--GT----D-FTLTISSLQP-EDFATYYCQQSSS---------------------------YSLITFG-QGTKVEIK-"/>
    <s v="hv3"/>
    <s v="kv1"/>
    <n v="0.99999994000000003"/>
    <n v="0.99999839999999995"/>
    <n v="2.3776100000000001E-2"/>
    <n v="1"/>
    <n v="1"/>
    <n v="0"/>
  </r>
  <r>
    <x v="195"/>
    <x v="3"/>
    <x v="0"/>
    <s v="EVQ-LVESGG-GLVQPGGSLRLSCAASGFNV---------VDFSLH-WVRQ-A-P-G-K--G-LE-WVASISSS-----------SGSTSY--A--D--SV--K---GRFTISA-D---T-S--KN----T-AYLQMNSLRA-EDTAVYYCARYGWAWG---------------------PGWSAMDYWG-QGTLVTVSS"/>
    <s v="DIQ-MTQSPSSLSASVGDRVTITCRASQSV-----------SSAVA-WYQQ-K-P-G-K--A-PK-LLIYSA----------------SSL--Y--S--GV--P---SRFSGSR-------S--GT----D-FTLTISSLQP-EDFATYYCQQSSS----------------------------SLITFG-QGTRLEIK-"/>
    <s v="hv3"/>
    <s v="kv1"/>
    <n v="0.99999994000000003"/>
    <n v="0.99999994000000003"/>
    <n v="0.98198510000000006"/>
    <n v="1"/>
    <n v="1"/>
    <n v="1"/>
  </r>
  <r>
    <x v="196"/>
    <x v="3"/>
    <x v="0"/>
    <s v="QVT-LRESGP-TLVKPKQTLTLTCTFSGFS-----------RYYHS-WVRQ-P-P-G-K--A-LE-WIGIIYHS-----------GSTNYH--A--A--KV--K---GRLTV-R-D---K-S--KN----T-VFMELSSLTP-ADTADYFCLRGKAT-------------------------YDFFAYWG-QGTLVTVSA"/>
    <s v="DIV-LTQSPASLAVSLGQRATISCKASQDG-----------YSFMN-WFQQ-K-P-G-Q--P-PK-LLIYAA----------------SNL--D--S--GI--P---ARFSGSG-------S--RT----D-FTLTINPVEA-DDFATYYCQQSHE----------------------------FPYTFG-GGTKLEIK-"/>
    <s v="hv4"/>
    <s v="lv3"/>
    <n v="8.8231594000000001E-5"/>
    <n v="1.3162122E-6"/>
    <n v="1.3975456000000001E-2"/>
    <n v="0"/>
    <n v="0"/>
    <n v="0"/>
  </r>
  <r>
    <x v="197"/>
    <x v="3"/>
    <x v="0"/>
    <e v="#NAME?"/>
    <s v="DIV-MTQSPDSLAVSLGERATINCKSSQSVLYS-----SNNKNYLA-WYQQ-K-P-G-Q--P-PK-LLIYWA----------------STR--E--S--GV--P---DRFSGSG-------S--GT----D-FTLTISSLQA-EDVAVYYCQQYYS----------------------------TPLTFG-GGTKVEIK-"/>
    <s v="hv3"/>
    <s v="kv4"/>
    <n v="0.99998253999999998"/>
    <n v="0.99999994000000003"/>
    <n v="0.99976516000000004"/>
    <n v="1"/>
    <n v="1"/>
    <n v="1"/>
  </r>
  <r>
    <x v="198"/>
    <x v="3"/>
    <x v="0"/>
    <s v="EVQ-LVESGG-GLVQPGGSLRLSCAASGFTF---------SSYWMS-WVRQ-A-P-G-K--G-LE-WVGRIKSK-----------TDKMYA--A--D--SV--K---GRFTISR-D---N-A--KN----S-LYLQM---RV-EDTAVYYCAR---------------------------------QYWG-QGTLVTVSS"/>
    <s v="QSV-LTQPPS-VSAAPGQKVTISCSGSSIG-----------NNYVS-WYQQ-L-P-G-T--A-PK-LLIYDN----------------NKR--P--S--GI--P---DRFSGSK-------S--GT----S-ATLGITGLQT-GDEADYYCGTWDS----------------------------RLYVFG-TGTKVTVL-"/>
    <s v="hv3"/>
    <s v="lv1"/>
    <n v="0.99993973999999997"/>
    <n v="0.99999994000000003"/>
    <n v="2.1672443999999999E-2"/>
    <n v="1"/>
    <n v="1"/>
    <n v="0"/>
  </r>
  <r>
    <x v="199"/>
    <x v="3"/>
    <x v="0"/>
    <s v="---------G-HLVKPGLTASLSLSCVGSDIL-------SGYDQWG-WIRQ-P-P-G-K--G-LE-WLGIIYS-------------GSTYY--S--P--SF--Q---GQVTISA-D---R-S--TT----T-AYMELSSLRS-EDTATYFCARPDSRY------------------------YYGLDVWG-QGTTVTVSS"/>
    <s v="DIQ-MTQSPASLSVSVGETVTITCRASGNI-----------HNYLA-WYQQ-K-Q-G-K--S-PQ-LLVYYT----------------TNL--A--D--GV--P---SRFSGSG-------S--GT----Q-YSLKINSLQP-EDFGSYYCQHFWG----------------------------TPWTFG-GGTKLEIK-"/>
    <s v="hv4"/>
    <s v="kv1"/>
    <n v="0.99995213999999999"/>
    <n v="9.1157966E-7"/>
    <n v="0.33194216999999998"/>
    <n v="1"/>
    <n v="0"/>
    <n v="0"/>
  </r>
  <r>
    <x v="200"/>
    <x v="4"/>
    <x v="0"/>
    <s v="QVQ-LVQSGA-EVKKPGASVKVSCKASGYTF---------THYAMH-WVRQ-A-P-G-Q--R-LE-WMGWINAG-----------NGNTKY--A--Q--KF--Q---GRVTMTR-D---M-S--ID----T-AFME---LRS-EDTAVYYCARAVY---------------------------YGSDYWG-QGTLVTVSS"/>
    <s v="DIV-MTQSPDSLAVSLGERATINCKSSQNN-----------KNYLA-WYQQ-K-P-G-Q--P-PK-LLIYWA----------------STR--E--S--GV--P---DRFSGSG-------S--GS----D-FTLTINRVEP-EDVGVYYCQQYDN----------------------------LPLTFG-AGTKLELR-"/>
    <s v="hv1"/>
    <s v="kv4"/>
    <n v="0.99999945999999995"/>
    <n v="0.99514765000000005"/>
    <n v="0.18926807000000001"/>
    <n v="1"/>
    <n v="1"/>
    <n v="0"/>
  </r>
  <r>
    <x v="201"/>
    <x v="4"/>
    <x v="0"/>
    <s v="QVQ-LVESGG-GVVQPGRSLRLSCAASGFTF---------SSYGMH-WVRQ-A-P-G-K--G-LE-WVAVISYD-----------GSNKYY--A--D--SV--K---GRFTISR-D---N-S--KN----T-LYLQMNSLRA-EDTAVYYCARGWG----------------------------YVDYWG-QGTLVTVSS"/>
    <s v="DIQ-MTQSPSSLSASVGDRVTITCRASQSI-----------SSYLN-WYQQ-K-P-G-K--A-PK-LLIYAA----------------SSL--Q--S--GV--P---SRFSGSG-------S--GT----D-FTLTISSLQP-EDFATYYCQQSYS----------------------------TPRTFG-QGTKVEIK-"/>
    <s v="hv3"/>
    <s v="kv1"/>
    <n v="0.99470709999999996"/>
    <n v="0.99999994000000003"/>
    <n v="0.99998944999999995"/>
    <n v="1"/>
    <n v="1"/>
    <n v="1"/>
  </r>
  <r>
    <x v="202"/>
    <x v="4"/>
    <x v="0"/>
    <s v="EVQ-LVESGG-GLVQPGGSLRLSCAASGFNV---------SYSSIH-WVRQ-A-P-G-K--G-LE-WVASIYSY-----------SGYTSY--A--D--SV--K---GRFTISA-D---T-S--KN----T-AYLQMNSLRA-EDTAVYYCARYSYYG------------------------NSYYVYWG-QGTLVTVSS"/>
    <s v="DIQ-MTQSPSSLSASVGDRVTITCRASQSV-----------SSAVA-WYQQ-K-P-G-K--A-PK-LLIYSA----------------SFL--Y--S--GV--P---SRFSGSR-------S--GT----D-FTLTISSLQP-EDFATYYCQQSYS----------------------------FPFTFG-QGTKVEIK-"/>
    <s v="hv3"/>
    <s v="kv1"/>
    <n v="0.99999959999999999"/>
    <n v="0.99999979999999999"/>
    <n v="0.99914133999999999"/>
    <n v="1"/>
    <n v="1"/>
    <n v="1"/>
  </r>
  <r>
    <x v="203"/>
    <x v="4"/>
    <x v="0"/>
    <s v="QVQ-LQQPGE--LVRPGASVKLSCKASGYTF---------TNYWMH-WVKQ-R-T-G-Q--G-LE-WIGDIYPG------------SGSNF--N--E--KF--K---GKATLTR-D---V-S--SS----T-AYMQLSSLTS-EDSAVYYCAGGT-----------------------------SDDYWG-QGTSVTVSS"/>
    <s v="DIV-MTQSPDSLAVSLGERATINCKSSQNN-----------KNYLA-WYQQ-K-P-G-Q--P-PK-LLIYWA----------------STR--E--S--GV--P---DRFSGSG-------S--GT----D-FTLTISSLQA-EDVAVYYCQQYYS----------------------------TPRTFG-GGTKLEIK-"/>
    <s v="hv1"/>
    <s v="kv4"/>
    <n v="0.97728139999999997"/>
    <n v="0.99999994000000003"/>
    <n v="3.1975790000000002E-6"/>
    <n v="1"/>
    <n v="1"/>
    <n v="0"/>
  </r>
  <r>
    <x v="204"/>
    <x v="4"/>
    <x v="0"/>
    <e v="#NAME?"/>
    <s v="-IQ-MTQSPSSLSASVGDRVTITCRASQSV-----------SSAVA-WYQQ-K-P-G-K--A-PK-LLIYSA----------------SSL--Y--S--GV--P---SRFSGSR-------S--GT----D-FTLTISSLQP-EDFATYYCQQYSGS--------------------------SPPALFG-GGTKVDIK-"/>
    <s v="hv3"/>
    <s v="kv1"/>
    <n v="0.99999576999999995"/>
    <n v="0.99996490000000005"/>
    <n v="0.96152420000000005"/>
    <n v="1"/>
    <n v="1"/>
    <n v="1"/>
  </r>
  <r>
    <x v="205"/>
    <x v="4"/>
    <x v="0"/>
    <s v="QVQ-LVQSGAEVMKKPGASVRVSCKASGYTF---------TDHYIH-WVRQ-A-P-G-Q--G-LE-WMGGIFPN-----------SGTISY--A--Q--KF--Q---GRVIITA-D---E-S--TN----T-AYMELSSLRS-EDTAVYYCAREG-----------------------------GFAYWG-QGTLVTVSS"/>
    <s v="DIQ-MTQSPSSLSASVGDRVTITCRASQSI-----------SSYLN-WYQQ-K-P-G-K--A-PK-LLIYAA----------------SSL--Q--S--GV--P---SRFSGSG-------S--GT----D-FTLTISSLQP-EDFATYYCQQSYS----------------------------TPVTFG-QGTKVEIK-"/>
    <s v="hv1"/>
    <s v="kv1"/>
    <n v="0.99999994000000003"/>
    <n v="0.99999994000000003"/>
    <n v="1.7109416E-5"/>
    <n v="1"/>
    <n v="1"/>
    <n v="0"/>
  </r>
  <r>
    <x v="206"/>
    <x v="4"/>
    <x v="0"/>
    <s v="QIQ-LVQSGP-ELKKPGETVKISCKASGYTF---------TDYSMH-WL-Q-A-P-G-K--G-LK-WMGWINTYD----------GGEPTY--A--D--DF--K---GRFAFSL-E---T-S--AS----T-AYL--VNLTS-ADTAVYYCAREGQG-------------------------ADYFDFWG-QGTLVTVSS"/>
    <s v="QSV-LTQPPS-VSEAP--RVTISCSGSSIGS----------YNYVS-WYQQ-L-P-G-T--A-PK-LLIYDN----------------NKR--P--S--GI--P---DRFSGSK-------S--GT----S-ATLGITGLQT-GDEADYYCGTWDS----------------------------SLSVFG-GGTKLTVL-"/>
    <s v="hv7"/>
    <s v="lv1"/>
    <n v="0.44175199999999998"/>
    <n v="0.99999994000000003"/>
    <n v="2.0008970000000001E-8"/>
    <n v="0"/>
    <n v="1"/>
    <n v="0"/>
  </r>
  <r>
    <x v="207"/>
    <x v="4"/>
    <x v="0"/>
    <s v="EVQ-LLESGG-GLVQPGGSLRLSCAASGFTF---------STYAMN-WVRQ-A-P-G-K--G-LE-WVSSIGS--------------RGYY--A--D--SV--K---GRFTISR-D---N-S--KN----T-LYLQMNSLRA-EDTAVYYCAKDRYR--------------------------DYFDYWG-QGTLVTVSS"/>
    <s v="DIQ-MTQSPSSLSASVGDRVTITCRASQDV-----------NTAVA-WYQQ-K-P-G-K--A-PK-LLIYDA----------------SNL--Q--S--GV--P---SRFSGSG-------S--GT----D-FTLTISSLQP-EDFATYYCQQSYS----------------------------TPYTFG-QGTKLEIK-"/>
    <s v="hv3"/>
    <s v="kv1"/>
    <n v="0.99999994000000003"/>
    <n v="0.99999994000000003"/>
    <n v="0.99952490000000005"/>
    <n v="1"/>
    <n v="1"/>
    <n v="1"/>
  </r>
  <r>
    <x v="208"/>
    <x v="4"/>
    <x v="0"/>
    <e v="#NAME?"/>
    <s v="DIQ-MTQSPSSLSASVGDRVTITCRASQSV-----------SSAVA-WYQQ-K-P-G-K--A-PK-LLIYSA----------------SSL--Y--S--GV--P---SRFSGSR-------S--GT----D-FTLTISSLQP-EDFATYYCQQSSW----------------------------YPFTFG-QGTKVEIK-"/>
    <s v="hv3"/>
    <s v="kv1"/>
    <n v="0.99997276000000002"/>
    <n v="0.99994439999999996"/>
    <n v="0.96020490000000003"/>
    <n v="1"/>
    <n v="1"/>
    <n v="1"/>
  </r>
  <r>
    <x v="209"/>
    <x v="4"/>
    <x v="0"/>
    <s v="EVQ-LLESGG-GLVQPGGSLRLSCAASGFTF---------SSYAMS-WVRQ-A-P-G-K--G-LE-WVSAISGS-----------GGSTYY--A--D--SV--K---GRFTISR-D---N-S--KN----T-LYLQMNSLRA-EDTAVYYCARDLGPYSG-------------------SYYSGSFDYWG-QGTLVTVSS"/>
    <s v="DIQ-MTQSPSSLSASVGDRVTITCRASQSI-----------SSYLN-WYQQ-K-P-G-K--A-PK-LLIYAA----------------SSL--Q--S--GV--P---SRFSGSG-------S--GT----D-FTLTISSLQP-EDFATYYCQQSYY----------------------------LPLTFG-GGTKVEIK-"/>
    <s v="hv3"/>
    <s v="kv1"/>
    <n v="0.99999994000000003"/>
    <n v="0.99999994000000003"/>
    <n v="0.99996286999999995"/>
    <n v="1"/>
    <n v="1"/>
    <n v="1"/>
  </r>
  <r>
    <x v="210"/>
    <x v="4"/>
    <x v="0"/>
    <s v="QVQ-LVQSGA-EVKKPGASVKVSCKASGYTF---------TDYWIG-WVRQ-A-P-G-Q--G-LE-WMGRIMPS-----------RDRTNY--A--Q--KF--Q---GRVTMTS-D---T-S---S----T-AYMELSSLRS-EDTAVYYCARAGGAY-----------------------YFYGMDVWG-QGTTVTVSS"/>
    <s v="DIV-MTQSPSSLAVSVGEKVTMSCKSSQNLLHT------NQKNYLA-WYQQ-K-P-G-Q--S-PK-LLIYWA----------------STR--E--S--GV--P---DRFTGSG-------S--GT----D-FTLTISSVKA-EDLAVYYCQHFF-----------------------------YPYTFG-GGTKLEIK-"/>
    <s v="hv1"/>
    <s v="kv4"/>
    <n v="0.99979969999999996"/>
    <n v="1.0258856000000001E-6"/>
    <n v="6.9916469999999997E-4"/>
    <n v="1"/>
    <n v="0"/>
    <n v="0"/>
  </r>
  <r>
    <x v="211"/>
    <x v="4"/>
    <x v="0"/>
    <s v="QVQ-LVESGG-GVVQPGRSLRLSCAASGFLF---------SNYGMH-WVRQ-A-P-G-K--G-LE-WVALIWDG------------SNKYY--A--D--SV--K---GRFTISR-D---N-S--KN----T-LYLQM---RA-EDTAVYYCARDPVV--------------------------GPFDYWG-QGTLVTVSS"/>
    <s v="DIQ-MTQSPSTLSASVGDRVTITCRASQSI-----------SSWLA-WYQQ-K-P-G-K--A-PK-LLIYKA----------------SSL--E--S--GV--P---SRFSGSG-------S--GT----E-FTLTISSLQP-DDFATYYCQQYN------------------------------SYSFG-PGTKVDI--"/>
    <s v="hv3"/>
    <s v="kv1"/>
    <n v="0.99999919999999998"/>
    <n v="0.99999994000000003"/>
    <n v="0.95728135000000003"/>
    <n v="1"/>
    <n v="1"/>
    <n v="1"/>
  </r>
  <r>
    <x v="212"/>
    <x v="4"/>
    <x v="0"/>
    <s v="QVQ-LVQSGA-EVKKPGSSVKVSCKASGGTF---------SSYAIS-WVRQ-A-P-G-Q--G-LE-WMGGIIIF------------GTANY--A--Q--KF--Q---GRVTITA-D---K-S--TS----T-AYMELSRLRS-DDTAVYYCAREGT---------------------------TGWDYWG-QGTLVTVSS"/>
    <s v="DIQ-MTQSPSTLSASVGDRVTITCRASQSI-----------SSWLA-WYQQ-K-P-G-K--A-PK-LLIYKA----------------SSL--E--S--GV--P---SRFSGSG-------S--GT----E-FTLTISSLQP-DDFATYYCQQYN-----------------------------SYWTFG-QGTKVEIK-"/>
    <s v="hv1"/>
    <s v="kv1"/>
    <n v="0.99999959999999999"/>
    <n v="0.99999994000000003"/>
    <n v="0.99754982999999997"/>
    <n v="1"/>
    <n v="1"/>
    <n v="1"/>
  </r>
  <r>
    <x v="213"/>
    <x v="4"/>
    <x v="0"/>
    <s v="QVQ-LVQSGA-EVKKPGSSVKVSCKSSGGTF---------SNYGIS-WVRQ-A-P-G-Q--G-LE-WMGRVSNI-----------AGDTRY--S--Q--KF--Q---GRVTMTE-D---T-S--TD----T-AYMEMTGLKS-EDTAVYYCARGVYRYV----------------------YVDAFDIWG-QGTMVTVSS"/>
    <s v="DIQ-MTQSPSSLSASVGDRVTITCRASQDI-----------NSFLN-WYQQ-K-P-G-K--A-PK-LLIYYA----------------STL--Q--S--GV--P---SRFSGSG-------S--GT----D-FTLTISSLQP-EDFATYYCQQGG-----------------------------RYPTFG-QGTKVEIK-"/>
    <s v="hv1"/>
    <s v="kv1"/>
    <n v="0.99999994000000003"/>
    <n v="0.99619550000000001"/>
    <n v="0.99893529999999997"/>
    <n v="1"/>
    <n v="1"/>
    <n v="1"/>
  </r>
  <r>
    <x v="214"/>
    <x v="4"/>
    <x v="0"/>
    <s v="EVQ-LVESGG-GLVQPGGSLRLSCAASGFNV---------SYSSIH-WVRQ-A-P-G-K--G-LE-WVASIYPY-----------SGSTSY--A--D--SV--K---GRFTISA-D---T-S--KN----T-AYLQMNSLRA-EDTAVYYCARYWSD--------------------------YAMDYWG-QGTLVTVSS"/>
    <s v="DIQ-MTQSPSSLSASVGDRVTITCQASQDI-----------SNYLN-WYQQ-K-P-G-K--A-PK-LLIYDA----------------SNL--E--T--GV--P---SRFSGSG-------S--GT----D-FTFTISSLQP-EDIATYYCQQYDN----------------------------LPRTFG-QGTKVEIK-"/>
    <s v="hv3"/>
    <s v="kv1"/>
    <n v="0.99999519999999997"/>
    <n v="0.99999994000000003"/>
    <n v="7.1548009999999995E-2"/>
    <n v="1"/>
    <n v="1"/>
    <n v="0"/>
  </r>
  <r>
    <x v="215"/>
    <x v="4"/>
    <x v="0"/>
    <s v="QVQ-LVQSGA-EVKKPGASVKVSCKASGYTF---------TSYGIS-WVRQ-A-P-G-Q--G-LE-WMGWISAY-----------NGNTNY--A--Q--KL--Q---GRVTMTT-D---T-S--TS----T-AYMELRSLRS-DDTAVYYCARDKVSG------------------------YYAMDYWG-QGTTVTVSS"/>
    <s v="-SA-LTQPRS-VSGSLGQSVTISCTGISSDVG--------GDNYVS-WYQQ-H-P-G-K--A-PK-LMIYDV----------------SKR--P--S--GV--S-----FSGSK-------S--GN----T-ASLTISGLQA-EDEADYYCSSYAF----------------------------SSDVFG-TGTKLTVL-"/>
    <s v="hv1"/>
    <s v="lv2"/>
    <n v="0.97388476000000002"/>
    <n v="0.99615675000000004"/>
    <n v="2.3968939000000002E-2"/>
    <n v="1"/>
    <n v="1"/>
    <n v="0"/>
  </r>
  <r>
    <x v="216"/>
    <x v="4"/>
    <x v="0"/>
    <s v="QVQ-LQESGP-GLVKPSETLSLTCTVSGGSI---------SSHYWS-WIRQ-P-P-G-K--G-LE-WIGYIYYS------------GSTYY--N--P--SL--K---SRVTISV-D---T-S--KN----Q-FSLKLSSVTA-ADTAVYYCAREGLYSSS--------------------SVWGTGFDWG-QGTLVTVSS"/>
    <s v="DIQ-MTQSPSSLSASVGDRVTITCRASQSV-----------SSAVA-WYQQ-K-P-G-K--A-PK-LLIYSA----------------SSL--Y--S--GV--P---SRFSGSR-------S--GT----D-FTLTISSLQP-EDFATYYCQQYNN----------------------------YPLTFG-QGTKVEIK-"/>
    <s v="hv4"/>
    <s v="kv1"/>
    <n v="0.99999979999999999"/>
    <n v="0.99980999999999998"/>
    <n v="2.6927156000000001E-2"/>
    <n v="1"/>
    <n v="1"/>
    <n v="0"/>
  </r>
  <r>
    <x v="217"/>
    <x v="4"/>
    <x v="0"/>
    <s v="QVQ-LQESGP-GLVKPSGTLSLTCAVSGGSI---------SSSNWG-WIRQ-P-P-G-K--G-LE-WIGYIYYS------------GSTDY--N--P--SL--K---SRVSISV-D---R-S--KN----Q-FSLKLRSVTA-ADTAVYYCARGGY----------------------------RWDYWG-QGTLVTVSS"/>
    <s v="EIV-LTQSPGTLSLSPGERATLSCRASQSI-----------SSYLA-WYQQ-K-P-G-Q--A-PR-LLIYGA----------------SSR--A--T--GI--P---DRFSGSG-------S--GT----D-FTLTISRLEP-EDFAVYYCQQYGS----------------------------SPWTFG-QGTKVEIK-"/>
    <s v="hv4"/>
    <s v="kv3"/>
    <n v="0.99999769999999999"/>
    <n v="0.99999994000000003"/>
    <n v="0.99993736"/>
    <n v="1"/>
    <n v="1"/>
    <n v="1"/>
  </r>
  <r>
    <x v="218"/>
    <x v="4"/>
    <x v="0"/>
    <s v="QVQ-LVQSGA-EVKKPGESLKISCKGSGYSF---------TSYWIG-WVRQ-M-P-G-K--G-LE-WMGIIYPD-----------DSDTRY--S--P--SF--Q---GQVTISA-D---K-S--IS----T-AYLQWSSLKA-SDTAMYYCARGYVYT-----------------------QDYFFDVWG-QGTLVTVSS"/>
    <s v="DIV-MTQSPATLSVSPGERATLSCRASQSV-----------SSNLA-WYQQ-K-P-G-Q--A-PR-LLIYGA----------------STR--A--T--GI--P---ARFSGSG-------S--GT----E-FTLTISSLEP-EDFAVYYCQQHNE---------------------------WPPWTFG-QGTKVEIK-"/>
    <s v="hv5"/>
    <s v="kv3"/>
    <n v="0.99879456"/>
    <n v="0.99999769999999999"/>
    <n v="0.85024140000000004"/>
    <n v="1"/>
    <n v="1"/>
    <n v="1"/>
  </r>
  <r>
    <x v="219"/>
    <x v="4"/>
    <x v="0"/>
    <s v="EVQ-LVQSGA-EVKKPGASVKVSCKASGYTF---------TGYYMH-WVRQ-A-P-G-Q--G-LE-WMGWINPN-----------SGGTNY--A--Q--KF--Q---GRVTMTR-D---T-S--IS----T-AYMELSRLRS-DDTAVYYCARGWSRS------------------------GGFPDYWG-QGTLVTVS-"/>
    <s v="DIQ-MTQSPSSLSASVGDRVTITCRASQSI-----------SSYLN-WYQQ-K-P-G-K--A-PK-LLIYAA----------------SSL--Q--S--GV--P---SRFSGSG-------S--GT----D-FTLTISSLQP-EDFATYYCQQSYS----------------------------TPYTFG-QGTKVEIK-"/>
    <s v="hv1"/>
    <s v="kv1"/>
    <n v="0.99999850000000001"/>
    <n v="0.99999994000000003"/>
    <n v="0.99999859999999996"/>
    <n v="1"/>
    <n v="1"/>
    <n v="1"/>
  </r>
  <r>
    <x v="220"/>
    <x v="4"/>
    <x v="0"/>
    <s v="QVQ-LQQSGA-ELVRPGTSVKLSCKASGYTF---------TSYWMH-WVKQ-R-P-G-Q--G-LE-WIGEILDG-----------SGNTNY--N--E--KF--K---GKATLTA-D---K-S--SS----T-AYMQLSSLTS-DDSAVYFCARSA-----------------------------YGAYWG-QGTLVTVSS"/>
    <s v="DIV-LTQSPASLAVSLGQRATISCRASKSVST-------SGYSYMH-WFQQ-K-P-G-Q--P-PK-LLIYLA----------------SNL--D--S--GV--P---DRFSGSG-------S--GT----D-FTLNIHPVEE-EDAATYYCQQSKE----------------------------FPYTFG-GGTKLEIK-"/>
    <s v="hv1"/>
    <s v="kv7"/>
    <n v="2.7199986999999998E-2"/>
    <n v="1.0563697000000001E-7"/>
    <n v="4.7294360000000003E-5"/>
    <n v="0"/>
    <n v="0"/>
    <n v="0"/>
  </r>
  <r>
    <x v="221"/>
    <x v="4"/>
    <x v="0"/>
    <s v="EVQ-LVESGG-GLVQPGGSLRLSCAASGFTF---------SSYAMS-WVRQ-A-P-G-K--G-LE-WVSAISGS-----------GGSTYY--A--D--SV--K---GRFTISR-D---N-S--KN----T-LYLQMNSLRA-EDTAVYYCARDLWF--------------------------GDLDVWG-QGTTVTVSS"/>
    <s v="DIQ-MTQSPSSLSASVGDRVTITCRASQGI-----------SSYLA-WYQQ-K-P-G-K--A-PK-LLIYAA----------------STL--Q--S--GV--P---SRFSGSG-------S--GT----D-FTLTISSLQP-EDFATYYCQQWSS----------------------------YPLTFG-QGTKVEIK-"/>
    <s v="hv3"/>
    <s v="kv1"/>
    <n v="0.85362905"/>
    <n v="0.99999769999999999"/>
    <n v="0.99999994000000003"/>
    <n v="1"/>
    <n v="1"/>
    <n v="1"/>
  </r>
  <r>
    <x v="222"/>
    <x v="4"/>
    <x v="0"/>
    <s v="QLQ-LQESGP-SLVKPSQTLSLTCSVTGDSI---------TSDYWS-WIRK-F-P-G-N--R-LE-YMGYVTSF------------GTAKY--N--P--VR--G----RILISR-D---M-S--KN----Q-FSLKLTSVTA-ADTALYYCARDLY---------------------------RYDLYWG-QGTSVTVSS"/>
    <s v="DIV-MTQSPSSLAMSVGQKVTMSCKSSQSLLNS-----GNQKNYLT-WYQQ-I-P-G-Q--P-PK-LLIYWA----------------STR--E--S--GV--P---DRFTGSG-------S--GT----D-FTLTISSVQA-EDLAVYYCQQSY-----------------------------YPLTFG-AGTKLELK-"/>
    <s v="hv4"/>
    <s v="kv4"/>
    <n v="6.7769815000000005E-7"/>
    <n v="1.1159494E-6"/>
    <n v="4.8747662E-4"/>
    <n v="0"/>
    <n v="0"/>
    <n v="0"/>
  </r>
  <r>
    <x v="223"/>
    <x v="4"/>
    <x v="0"/>
    <s v="QVQ-LVQSGA-EVKKPGSSVKVSCKASGGTF---------SSYAIS-WVRQ-A-P-G-Q--G-LE-WMGGIIIF------------GTANY--A--Q--KF--Q---GRVTITA-D---E-S--TS----T-AYMEL---RS-EDTAVYYCARED-----------------------------DGAYWG-QGTLVTVSS"/>
    <s v="DIQ-MTQSPSTLSASVGDRVTITCRASQSI-----------SSWLA-WYQQ-K-P-G-K--A-PK-LLIYKA----------------SSL--E--S--GV--P---SRFSGSG-------S--GT----E-FTLTISSLQP-DDFATYYCQQYSS----------------------------YPLTFG-GGTKVEIK-"/>
    <s v="hv1"/>
    <s v="kv1"/>
    <n v="0.99999979999999999"/>
    <n v="0.99999994000000003"/>
    <n v="7.0053850000000001E-2"/>
    <n v="1"/>
    <n v="1"/>
    <n v="0"/>
  </r>
  <r>
    <x v="224"/>
    <x v="4"/>
    <x v="0"/>
    <s v="EVQ-LVESGG-GLVQPGGSLRLSCAASGFNI---------SSYSIH-WVRQ-A-P-G-K--G-LE-WVASISPY-----------SGSTSY--A--D--SV--K---GRFTISA-D---T-S--KN----T-AYLQMNSLRA-EDTAVYYCARDLQGSSG-------------------YVSGYALDYWG-QGTLVTVSS"/>
    <s v="DIQ-MTQSPSSLSASVGDRVTITCRASQSV-----------SSAVA-WYQQ-K-P-G-K--A-PK-LLIYSA----------------SSL--Y--S--GV--P---SRFSGSR-------S--GT----D-FTLTISSLQP-EDFATYYCQQSSY----------------------------SLITFG-QGTKVEIK-"/>
    <s v="hv3"/>
    <s v="kv1"/>
    <n v="0.99999994000000003"/>
    <n v="0.99999110000000002"/>
    <n v="0.95854413999999999"/>
    <n v="1"/>
    <n v="1"/>
    <n v="1"/>
  </r>
  <r>
    <x v="225"/>
    <x v="4"/>
    <x v="0"/>
    <e v="#NAME?"/>
    <s v="DIQ-MTQSPSSLSASVGDRVTITCRASQDI-----------NKYLN-WYQQ-K-P-G-K--A-PK-LLIYAA----------------SSL--Q--S--GV--P---SRFSGSG-------S--GT----D-FTLTISSLQP-EDFATYYCQQSYS----------------------------TPWTFG-QGTKVEIK-"/>
    <s v="hv3"/>
    <s v="kv1"/>
    <n v="0.99998540000000002"/>
    <n v="0.99999994000000003"/>
    <n v="0.99489459999999996"/>
    <n v="1"/>
    <n v="1"/>
    <n v="1"/>
  </r>
  <r>
    <x v="226"/>
    <x v="4"/>
    <x v="0"/>
    <s v="EVQ-LVQSGA-EVKKPGASVKVSCKASGYTF---------TSYYMY-WVRQ-A-P-G-Q--G-LE-WMGWINNS------------GGTNY--A--Q--KF--Q---GRVTMTR-D---T-S--IS----T-AYMELSRLRS-DDTAVYYCARGQRG-------------------------SSPMDYWG-QGTLVTVSS"/>
    <s v="DIQ-MTQSPSSLSASVGDRVTITCQASQDI-----------SNYLN-WYQQ-K-P-G-K--A-PK-LLIYDA----------------SNL--E--T--GV--P---SRFSGSG-------S--GT----D-FTFTISSLQP-EDIATYYCQQYDN----------------------------LPITFG-QGTKVEIK-"/>
    <s v="hv1"/>
    <s v="kv1"/>
    <n v="0.99993390000000004"/>
    <n v="0.99999994000000003"/>
    <n v="0.99998609999999999"/>
    <n v="1"/>
    <n v="1"/>
    <n v="1"/>
  </r>
  <r>
    <x v="227"/>
    <x v="4"/>
    <x v="0"/>
    <s v="QVQ-LQQSGA-ELVRPGASVKLSCKASGYTF---------TSDWIH-WVKQ-R-P-G-Q--G-LE-WIGVIYPG-----------DGDTNY--N--G--KF--K---GKATLTA-D---K-S--SS----T-AYMQLSSLTS-EDSAVYFCARSAYG--------------------------SSSTYWG-QGTLVTVSA"/>
    <s v="DIV-LTQSPASLAVSLGQRATISCRASESVDN-------YGISFLN-WFQQ-K-P-G-Q--P-PK-LLIYAA----------------SNL--Q--S--GV--P---ARFSGSG-------S--GT----D-FSLNIHPMEE-DDTAMYFCQQSKE----------------------------VPWTFG-GGTKLEIK-"/>
    <s v="hv1"/>
    <s v="lv3"/>
    <n v="2.1767115000000001E-5"/>
    <n v="3.4565409999999997E-8"/>
    <n v="1.4829407000000001E-6"/>
    <n v="0"/>
    <n v="0"/>
    <n v="0"/>
  </r>
  <r>
    <x v="228"/>
    <x v="4"/>
    <x v="0"/>
    <s v="QVQ-LVESGG-GVVQPGKSLRLSCAASGFTF---------SSYDMH-WVRQ-A-P-G-K--G-LE-WVSAISSG-----------GGSTYY--A--D--SV--K---GRFTISR-D---N-S--KN----T-LYLQMNSLRA-EDTAVYYCARDRG---------------------------NYFDYWG-QGTLVTVSS"/>
    <s v="DIQ-MTQSPSSLSASVGDRVTITCRASQSI-----------SSYLN-WYQQ-K-P-G-K--A-PK-LLIYAA----------------SSL--Q--S--GV--P---SRFSGSG-------S--GT----D-FTLTISSLQP-EDFATYYCQQAKL----------------------------LPFTFG-QGTKVEIK-"/>
    <s v="hv3"/>
    <s v="kv1"/>
    <n v="0.99989220000000001"/>
    <n v="0.99999994000000003"/>
    <n v="0.9448278"/>
    <n v="1"/>
    <n v="1"/>
    <n v="1"/>
  </r>
  <r>
    <x v="229"/>
    <x v="4"/>
    <x v="0"/>
    <s v="QVQ-LVQSGA-EVKKPGASVKVSCKASGYTF---------TSYGIS-WVRQ-A-P-G-Q--G-LE-WMGWISYN------------GNTNY--A--Q--KF--Q---GRVTMTT-D---T-S--TS----T-AYMELRSLRS-DDTAVYYCARDPA----------------------------IYDPWG-QGTLVTVSS"/>
    <s v="DIQ-MTQSPSTLSASVGDRVTITCRASQSI-----------SSWLA-WYQQ-K-P-G-K--A-PK-LLIYKA----------------SSL--E--S--GV--P---SRFSGSG-------S--GT----E-FTLTISSLQP-DDFATYYCQQYN-----------------------------SYWTFG-QGTKVEIK-"/>
    <s v="hv1"/>
    <s v="kv1"/>
    <n v="0.99870323999999999"/>
    <n v="0.99999994000000003"/>
    <n v="0.99999934000000001"/>
    <n v="1"/>
    <n v="1"/>
    <n v="1"/>
  </r>
  <r>
    <x v="230"/>
    <x v="4"/>
    <x v="0"/>
    <s v="QVQ-LVQSGA-EVKKPGASVKVSCKASGYTF---------SSYEMH-WVRQ-A-P-G-Q--G-LE-WMGWISYN------------GNTNY--A--Q--KF--Q---GRVTMTT-D---T-S--TS----T-AYMELRSLRS-DDTAVYYCARAYGWI-----------------------SGYAMDYWG-QGTLVTVSS"/>
    <s v="DIQ-MTQSPASLSVSVGETVTITCRASENI-----------YSNLA-WYQQ-K-Q-G-K--S-PQ-LLVYAA----------------TNL--A--D--GV--P---SRFSGSG-------S--GT----Q-YSLKINSLQS-EDFGSYYCQHFWD---------------------------SIPYTFG-GGTKLEIK-"/>
    <s v="hv1"/>
    <s v="lv9"/>
    <n v="0.99993900000000002"/>
    <n v="1.2718317E-10"/>
    <n v="1.2745527E-8"/>
    <n v="1"/>
    <n v="0"/>
    <n v="0"/>
  </r>
  <r>
    <x v="231"/>
    <x v="4"/>
    <x v="0"/>
    <s v="EVQ-LQQSGP-ELVKPGASMKLSCKASGYTF---------TEYTMN-WVKQ-R-P-G-Q--G-LE-WIGWIDYS-----------NGNTGY--N--Q--KF--K---GKATLTA-D---K-S--SS----T-AYMQLSSLTS-EDSAVYFCARDPYYG------------------------NYGFDYWG-QGTTLTVSS"/>
    <s v="DIV-MTQSPLSLPVTPGEPASISCRSSQSLLHS------NGYNYLD-WYLQ-K-P-G-Q--S-PQ-LLIYLG----------------SNR--A--S--GV--P---DRFSGSG-------S--GT----D-FTLKISRVEA-EDVGVYYCMQALQ----------------------------TPGTFG-QGTRLEIK-"/>
    <s v="hv1"/>
    <s v="kv2"/>
    <n v="1.0679409000000001E-2"/>
    <n v="0.99999994000000003"/>
    <n v="1.6580097999999999E-5"/>
    <n v="0"/>
    <n v="1"/>
    <n v="0"/>
  </r>
  <r>
    <x v="232"/>
    <x v="4"/>
    <x v="0"/>
    <s v="QVQ-LVQSGA-EVKKPGASVKVSCKASGYTF---------SSYGIH-WVRQ-A-P-G-Q--G-LE-WMGWISYT------------GNSNY--A--Q--KL--Q---GRVTMTT-D---T-S--TS----T-AYMELRSLRS-DDTAVYYCARSYYGS------------------------YDFFDYWG-QGTLVTVSS"/>
    <s v="DIQ-MTQSPSSLSASVGDRVTITCRASQSI-----------SNWLA-WYQQ-K-P-G-K--A-PK-LLIYV-----------------SSL--E--S--GV--P---SRFSGSG-------S--GT----D-FTLTISSLQP-EDFATYYCQQSHT----------------------------FPRTFG-QGTRLEIK-"/>
    <s v="hv1"/>
    <s v="kv1"/>
    <n v="0.99756129999999998"/>
    <n v="0.99999994000000003"/>
    <n v="0.98060166999999998"/>
    <n v="1"/>
    <n v="1"/>
    <n v="1"/>
  </r>
  <r>
    <x v="233"/>
    <x v="4"/>
    <x v="0"/>
    <s v="QVQ-LQESGP-GLVKPSQTLSLTCTVSGGSIS--------SGDYWT-WIRQ-P-P-G-K--G-LE-WIGYIYYS------------GSTNY--N--P--SL--K---SRVTISV-D---T-S--KN----Q-FSLKLSSVTA-ADTAVYYCAR---------------------------------QLWG-QGTLVTVSG"/>
    <s v="DIV-LTQSPASLAVSLGQRATISCRASESVDN-------YGISSMN-WFQQ-K-A-G-Q--P-PK-FLIYAA----------------SKQ--G--S--GV--P---ARFSGSG-------S--GT----D-FSLNIHPMEE-DDIAMYFCQQSKE----------------------------VPYTFG-GGTKLEIK-"/>
    <s v="hv4"/>
    <s v="kv7"/>
    <n v="0.99999979999999999"/>
    <n v="2.4620169999999999E-7"/>
    <n v="7.5449064E-10"/>
    <n v="1"/>
    <n v="0"/>
    <n v="0"/>
  </r>
  <r>
    <x v="234"/>
    <x v="4"/>
    <x v="0"/>
    <s v="EVQ-LLESGG-GLVQPGGSLRLSCAASGFTF---------SSYAMS-WVRQ-A-P-G-K--G-LE-WVSAISGG------------GSTYY--A--D--SV--K---GRFTISR-D---N-S--KN----T-LYLQMNSLRA-EDTAVYYCARVAV---------------------------SIFGYWG-QGTLVTVSS"/>
    <s v="DIV-MTQSPATLSVSPGERATLSCRASQSV-----------SSNLA-WYQQ-K-P-G-Q--A-PR-LLIYGA----------------STR--A--T--GI--P---ARFSGSG-------S--GT----E-FTLTISSLQS-EDFAVYYCQHYNN---------------------------WPPITFG-QGTRLEIK-"/>
    <s v="hv3"/>
    <s v="kv3"/>
    <n v="0.99999886999999998"/>
    <n v="0.99999994000000003"/>
    <n v="0.62039"/>
    <n v="1"/>
    <n v="1"/>
    <n v="1"/>
  </r>
  <r>
    <x v="235"/>
    <x v="4"/>
    <x v="0"/>
    <s v="EVQ-LVESGG-GLVRPGGSLRLSCAASGFKSS-------GGYYWIV-WVRQ-M-P-G-K--G-LE-WMGGII---------------YD----S--D--SV--K---GRFTISR-D---N-S--KN----T-LYLEM---RA-EDTAVYYCARDT-----------------------------AWDYWG-QGTLVTVSS"/>
    <s v="DIQ-MTQSPSSLSASVGDRVTITCRASQDI-----------SNYLN-WYQQ-K-P-G-K--A-PK-LLIYAA----------------SSL--Q--S--GV--P---SRFSGSG-------S--GT----D-FTLTISSLQP-EDFATYYCQQSYS----------------------------TPYTFG-QGTKVEIK-"/>
    <s v="hv3"/>
    <s v="kv1"/>
    <n v="0.99999289999999996"/>
    <n v="0.99999994000000003"/>
    <n v="7.7239535999999998E-2"/>
    <n v="1"/>
    <n v="1"/>
    <n v="0"/>
  </r>
  <r>
    <x v="236"/>
    <x v="4"/>
    <x v="0"/>
    <s v="QVQ-LVQSGA-EVKKPGASVKVSCKASGYTF---------TSYGIS-WVRQ-A-P-G-Q--G-LE-WMGWISYN------------GNTNY--A--Q--KL--Q---GRVTMTT-D---T-S--TS----T-AYMELRSLRS-DDTAVYYCAREGAYGYR-------------------SPYHNWFDPWG-QGTLVTVSS"/>
    <s v="EIV-LTQSPGTLSLSPGERATLSCRASQSVS----------SSYLA-WYQQ-K-P-G-Q--A-PR-LLIYGA----------------SSR--A--T--GI--P---DRFSGSG-------S--GT----D-FTLTISRLEP-EDFAVYYCQQYGN----------------------------SPWTFG-QGTKVEIK-"/>
    <s v="hv1"/>
    <s v="kv3"/>
    <n v="0.99991660000000004"/>
    <n v="0.99999994000000003"/>
    <n v="0.99999875000000005"/>
    <n v="1"/>
    <n v="1"/>
    <n v="1"/>
  </r>
  <r>
    <x v="237"/>
    <x v="4"/>
    <x v="0"/>
    <s v="-VQ-LQQSGA-ELVRPGASVKLSCKASGYTF---------TDYWMH-WVKQ-R-P-G-Q--G-LE-WIGAIYPG-----------SGSTNY--N--E--KF--K---GKATLTL-D---T-S--SS----T-AYMQLSSVTS-EDSAVYYCARERG---------------------------DYFAYWG-QGTLVTVSA"/>
    <s v="DIQ-LTQSPSFLSASVGDRVTITCRASQGI-----------SSYLA-WYQQ-K-P-G-K--A-PK-LLIYAA----------------SSL--E--S--GV--P---SRFSGSG-------S--GT----E-FTLTISSLQP-EDFATYYCQQYNN----------------------------YPWTFG-QGTKVEIK-"/>
    <s v="hv1"/>
    <s v="kv1"/>
    <n v="1.7388903E-4"/>
    <n v="0.99999979999999999"/>
    <n v="6.0327543000000002E-10"/>
    <n v="0"/>
    <n v="1"/>
    <n v="0"/>
  </r>
  <r>
    <x v="238"/>
    <x v="4"/>
    <x v="0"/>
    <s v="QVQ-LVESGG-GVVPPGRLLRLSCG-SGFGF---------SIYGMH-WVRQ-A-P-G-K--G-LE-WVAIIWDG-----------SRNFYY--A--D--SV--K---GRFTISR-D---N-S--KN----T-LYLQM---RA-EDTAVYYCARAGSG--------------------------SFDDYWG-QGTLVTVSS"/>
    <s v="DIQ-MTQSPSSLSASVGDRVTITCRASQDV-----------STAVA-WYQQ-K-P-G-K--A-PK-LLIYSA----------------SDL--Y--S--GV--P---SRFSGSR-------S--GT----D-FTLTISSLQP-EDFATYYCQQSYS----------------------------TPRTFG-QGTKVEIK-"/>
    <s v="hv3"/>
    <s v="kv1"/>
    <n v="0.99999979999999999"/>
    <n v="0.99998860000000001"/>
    <n v="0.99877464999999999"/>
    <n v="1"/>
    <n v="1"/>
    <n v="1"/>
  </r>
  <r>
    <x v="239"/>
    <x v="4"/>
    <x v="0"/>
    <s v="QVQ-LQESGP-GLVKPSETLSLTCSVSGDSM---------NNYYWS-WIRQ-S-P-G-K--G-LE-WIGYISYS------------GSTYY--N--P--SL--K---SRVTISV-D---T-S--KN----Q-FSLKLSSVTA-ADTAVYYCARVQSY-------------------------GNWFAYWG-QGTLVTVSA"/>
    <s v="DIQ-MTQSPSTLSASVGDRVTITCRASQSI-----------SSWLA-WYQQ-K-P-G-K--A-PK-LLIYKA----------------SSL--E--S--GV--P---SRFSGSG-------S--GT----E-FTLTISSLQP-DDFATYYCQQYSS----------------------------YPLTFG-QGTKVEIK-"/>
    <s v="hv4"/>
    <s v="kv1"/>
    <n v="0.99999934000000001"/>
    <n v="0.99999994000000003"/>
    <n v="0.99858283999999997"/>
    <n v="1"/>
    <n v="1"/>
    <n v="1"/>
  </r>
  <r>
    <x v="240"/>
    <x v="4"/>
    <x v="0"/>
    <s v="EVQ-LVESGG-GLVKPGGSLRLSCAASGFTF---------SSTAMS-WVRQ-A-P-G-K--G-LE-WVSYISN-------------GSTIY--A--D--SV--K---GRFTISR-D---N-S--KN----T-LYLQMNSLRA-EDTAVYYCARYRGGYDNY-----------------GLTLYYAMDYWG-QGTLVTVSS"/>
    <s v="DIQ-MTQSPSSLSASVGDRVTITCRASQSS------------YSVA-WYQQ-K-P-G-K--A-PK-LLIYSA----------------SSL--Q--S--GV--P---SRFSGSG-------S--GT----D-FTLTISSLQP-EDFATYYCQQYSY----------------------------YSHTFG-QGTKVEIK-"/>
    <s v="hv3"/>
    <s v="kv1"/>
    <n v="0.99999959999999999"/>
    <n v="0.99994070000000002"/>
    <n v="0.12559539"/>
    <n v="1"/>
    <n v="1"/>
    <n v="0"/>
  </r>
  <r>
    <x v="241"/>
    <x v="4"/>
    <x v="0"/>
    <s v="EVQ-LVESGG-GLVQPGGSLRLSCAASGFTF---------SSYAMS-WVRQ-A-P-G-K--G-LE-WVSSISSS------------SYIHY--A--D--SV--K---GRFTISR-D---N-A--KN----S-LYLQM---RA-EDTAVYYCAREGLS--------------------------SALDYWG-QGTLVTVSS"/>
    <s v="DIQ-MTQSPSSLSASVGDRVTITCRASQSV-----------SSAVA-WYQQ-K-P-G-K--A-PK-LLIYSA----------------SSL--Y--S--GV--P---SRFSGSR-------S--GT----D-FTLTISSLQP-EDFATYYCQQYNN----------------------------YPLTFG-QGTKVEIK-"/>
    <s v="hv3"/>
    <s v="kv1"/>
    <n v="0.99999979999999999"/>
    <n v="0.99980999999999998"/>
    <n v="0.78140723999999995"/>
    <n v="1"/>
    <n v="1"/>
    <n v="1"/>
  </r>
  <r>
    <x v="242"/>
    <x v="4"/>
    <x v="0"/>
    <s v="QVQ-LVQSGA-EVKKPGSSVKVSCKASGGTF---------SSYAIS-WVRQ-A-P-G-Q--G-LE-WMGGIIIF------------GTANY--A--Q--KF--Q---GRVTITA-D---K-S--TS----T-AYMEL---RS-EDTAVYYCAREGT---------------------------TGWDYWG-QGTLVTVSS"/>
    <s v="EIV-LTQSPGTLSLSPGERATLSCRASQVS-----------SSYLA-WYQQ-K-P-G-Q--A-PR-LLIYGA----------------SSR--A--T--GI--P---DRFSGSG-------S--GT----D-FTLTISRLEP-EDFAVYYCQQYG-----------------------------SSSTFG-QGTKVEIK-"/>
    <s v="hv1"/>
    <s v="kv3"/>
    <n v="0.99999970000000005"/>
    <n v="0.99999994000000003"/>
    <n v="1.4525812000000001E-4"/>
    <n v="1"/>
    <n v="1"/>
    <n v="0"/>
  </r>
  <r>
    <x v="243"/>
    <x v="4"/>
    <x v="0"/>
    <s v="EVQ-LVESGG-GLVQPGGSLRLSCAASGFNV---------SSSYIH-WVRQ-A-P-G-K--G-LE-WVASISSY-----------YGYTYY--A--D--SV--K---GRFTISA-D---T-S--KN----T-AYLQMNSLRA-EDTAVYYCARSRQFW------------------------YSGLDYWG-QGTLVTVSS"/>
    <s v="DIQ-MTQSPSSLSASVGDRVTITCRASQSV-----------SSAVA-WYQQ-K-P-G-K--A-PK-LLIYSA----------------SSL--Y--S--GV--P---SRFSGSR-------S--GT----D-FTLTISSLQP-EDFATYYCQQSYW---------------------------SYPITFG-QGTKVEIK-"/>
    <s v="hv3"/>
    <s v="kv1"/>
    <n v="0.99998359999999997"/>
    <n v="0.99999979999999999"/>
    <n v="0.97911893999999999"/>
    <n v="1"/>
    <n v="1"/>
    <n v="1"/>
  </r>
  <r>
    <x v="244"/>
    <x v="4"/>
    <x v="0"/>
    <s v="QVQ-LVQSGA-EVKKPGASVKVSCKASGYTF---------TSYYIH-WVRQ-A-P-G-Q--G-LE-WMGWINNR------------GTIGY--A--Q--KF--Q---GRVTMTR-D---T-S--IS----T-AYMEL---RS-DDTAVYYCARGGW---------------------------GTTDYWG-QGTLVTVSS"/>
    <s v="DIV-MTQSPDSLAVSLGERATINCKSSQKLYSS------NNKNYLA-WYQQ-K-P-G-Q--P-PK-LLIYWA----------------STR--E--S--GV--P---DRFSGSG-------S--GT----D-FTLTISSLQA-EDVAVYYCQQYYS----------------------------APWTFG-QGTKVEIK-"/>
    <s v="hv1"/>
    <s v="kv4"/>
    <n v="0.99983069999999996"/>
    <n v="0.99999994000000003"/>
    <n v="0.98535322999999997"/>
    <n v="1"/>
    <n v="1"/>
    <n v="1"/>
  </r>
  <r>
    <x v="245"/>
    <x v="4"/>
    <x v="0"/>
    <s v="QVQ-LQQSGA-ELVKPGASVKLSCKASGYTF---------TSYWIE-WVKQ-R-P-G-Q--G-LE-WIGRFDFG-----------SDKTTY--N--Q--KF--K---DKATLTV-D---K-S--ST----T-AYMEKSSSRVYMDVWTSGLTSGGAYI------------------------ETRGAYWG-QGTLVTVSA"/>
    <s v="DIQ-MTQSPSSLSASVGDRVTITCRASQDI-----------SNYLN-WYQQ-K-P-G-K--A-PK-LLIYDA----------------SNL--E--T--GV--P---SRFSGSG-------S--GT----D-FTLTISSLQP-EDAASYYCQQSSG---------------------------QALFTFG-PGTKVEIK-"/>
    <s v="hv1"/>
    <s v="kv1"/>
    <n v="4.6958520000000003E-5"/>
    <n v="0.99999945999999995"/>
    <n v="9.3721570000000002E-15"/>
    <n v="0"/>
    <n v="1"/>
    <n v="0"/>
  </r>
  <r>
    <x v="246"/>
    <x v="4"/>
    <x v="0"/>
    <s v="QVQ-LVQSGA-EVKKPGSSVKVSCKASGGTFS--------SSYGIS-WVRQ-A-P-G-Q--G-LE-WMGGIIPI-----------LGIANY--A--Q--KF--Q---GRVTITA-D---K-S--TS----T-AYMEL---RS-EDTAVYYCALRDF---------------------------RGGDYWG-QGTLVTVSS"/>
    <s v="QSV-LTQPPS-ASGTPGQRVTISCSGSSIG-----------SNYVY-WYQQ-L-P-G-T--A-PK-LLIYRN----------------NRR--P--S--GV--P---DRFSGSK-------S--GT----S-ASLAISGLQS-EDEADYYCAAWDD----------------------------SLWVFG-GGTKLTVL-"/>
    <s v="hv1"/>
    <s v="lv1"/>
    <n v="0.99999994000000003"/>
    <n v="0.99999994000000003"/>
    <n v="4.8136595000000003E-3"/>
    <n v="1"/>
    <n v="1"/>
    <n v="0"/>
  </r>
  <r>
    <x v="247"/>
    <x v="4"/>
    <x v="0"/>
    <s v="EVQ-LVESGG-GLVQPGGSLRLSCAASGFNI---------SSSSIH-WVRQ-A-P-G-K--G-LE-WVASIYSY-----------YGSTSY--A--D--SV--K---GRFTISA-D---T-S--KN----T-AYLQMNSLRA-EDTAVYYCARGYFAYW----------------------YGYAMDYWG-QGTLVTVSS"/>
    <s v="DIQ-MTQSPSSLSASVGDRVTITCRASQSV-----------SSAVA-WYQQ-K-P-G-K--A-PK-LLIYSA----------------SSL--Y--S--GV--P---SRFSGSR-------S--GT----D-FTLTISSLQP-EDFATYYCQQYYR---------------------------YVPFTFG-QGTKVEIK-"/>
    <s v="hv3"/>
    <s v="kv1"/>
    <n v="0.99999875000000005"/>
    <n v="0.9997895"/>
    <n v="0.73754275000000002"/>
    <n v="1"/>
    <n v="1"/>
    <n v="1"/>
  </r>
  <r>
    <x v="248"/>
    <x v="4"/>
    <x v="0"/>
    <s v="QVQ-LVESGG-GVVQPGRSLRLSCAASGFTF---------SKYGMH-WVRQ-A-P-G-K--G-LE-WVAIIWDG------------SNKYY--A--D--SV--K---GRFTISR-D---N-S--KN----T-LYLQM---RA-EDTAVYYCAKLSG----------------------------PRDYWG-QGTLVTVSS"/>
    <s v="-YE-LTQPPS-VSVAPGQTARITCGGNNIG-----------SKSVH-WYQQ-K-P-G-Q--A-PV-LVVYDD----------------SDR--P--S--GI--P---ERFSGSN-------S--GN----T-ATLTISRVEA-GDEADYYCQVWDSS--------------------------SDHVLFG-GGTKLTVL-"/>
    <s v="hv3"/>
    <s v="lv3"/>
    <n v="0.99999994000000003"/>
    <n v="0.99999994000000003"/>
    <n v="0.82926840000000002"/>
    <n v="1"/>
    <n v="1"/>
    <n v="1"/>
  </r>
  <r>
    <x v="249"/>
    <x v="4"/>
    <x v="0"/>
    <s v="QVQ-LQESGP-GLVKPSQTLSLTCTVTGFSIT--------SDYAWN-WIRQ-F-P-G-N--K-LE-WMGYINFD------------GGTTY--N--P--SL--R---GRISITR-D---T-S--KN----Q-FSLQLTSLTA--DTAVYYCARRVS----------------------------YFDYWG-QGTLVTVSS"/>
    <s v="DIV-MTQSPSSLSASVGDRVTITCRASQSI-----------SSYLN-WYQQ-K-P-G-K--A-PK-LLIYAA----------------SSL--Q--S--GV--P---SRFSGSG-------S--GT----D-FTLTISSLQP-EDFATYYCQQSS-----------------------------SSLTFG-GGTKVEIK-"/>
    <s v="hv4"/>
    <s v="kv1"/>
    <n v="4.7968330000000002E-5"/>
    <n v="0.99999994000000003"/>
    <n v="1.1298845499999999E-4"/>
    <n v="0"/>
    <n v="1"/>
    <n v="0"/>
  </r>
  <r>
    <x v="250"/>
    <x v="5"/>
    <x v="0"/>
    <s v="EVQ-LVESGG-GLVQPGGSLRLSCAASGFTF---------SSYDMG-WVRQ-A-P-G-K--G-LE-WVSSISSS-----------GGTIYY--A--D--SV--K---GRFTISR-D---N-S--KN----T-LYLQMNSLRA-EDTAVYYCARHGYN--------------------------YAMDYWG-QGTLVTVSS"/>
    <s v="DIQ-MTQSPSSLSASVGDRVTITCRASQDV-----------STAVA-WYQQ-K-P-G-K--A-PK-LLIYSA----------------SFL--Y--S--GV--P---SRFSGSG-------S--GT----D-FTLTISSLQP-EDFATYYCQQSFS----------------------------TPLTFG-GGTKVEIK-"/>
    <s v="hv3"/>
    <s v="kv1"/>
    <n v="0.99663913000000004"/>
    <n v="0.99999875000000005"/>
    <n v="0.36306924000000002"/>
    <n v="1"/>
    <n v="1"/>
    <n v="0"/>
  </r>
  <r>
    <x v="251"/>
    <x v="5"/>
    <x v="0"/>
    <s v="EVQ-LVESGG-GLVKPGGSLRLSCAASGFTF---------SSYWMN-WVRQ-A-P-G-K--G-LE-WVSSISSS-----------SSYIYY--A--D--SV--K---GRFTISR-D---N-A--KN----S-LYLQMNSLRA-EDTAVYYCARDYG---------------------------YGFDYWG-QGTLVTVSS"/>
    <s v="DIQ-MTQSPSSLSASVGDRVTITCQASQDI-----------SDYLN-WYQQ-K-P-G-K--A-PK-LLIYAA----------------SSL--Q--S--GV--P---SRFSGSG-------S--GT----D-FTLTISSLQP-EDFATYYCQQSYS----------------------------TPYTFG-QGTKVEIK-"/>
    <s v="hv3"/>
    <s v="kv1"/>
    <n v="0.73338099999999995"/>
    <n v="0.99999994000000003"/>
    <n v="0.92758404999999999"/>
    <n v="1"/>
    <n v="1"/>
    <n v="1"/>
  </r>
  <r>
    <x v="252"/>
    <x v="5"/>
    <x v="0"/>
    <s v="EVQ-LVQSGA-EVKKPGASVKVSCKASGYTF----------TNYIN-WVRQ-A-P-G-Q--G-LE-WMGWISYS-----------GDITNY--A--Q--KF--Q---GRVSMTR-D---T-S--IS----T-AYMELSRLRS-DDTAVYYCVKQTFSLR----------------------ILTLFDYWG-QGTLVTVSS"/>
    <s v="DIQ-MTQSPSSLSASVGDRVTITCRASQSI-----------GTSLA-WYQQ-K-P-G-K--A-PK-LLIYAA----------------SSL--Q--S--GV--P---SRFSGSG-------S--GT----D-FTLTISSLQP-EDFATYYCQQYNN----------------------------YPLTFG-GGTKVEIK-"/>
    <s v="hv1"/>
    <s v="kv1"/>
    <n v="0.9999538"/>
    <n v="0.99999959999999999"/>
    <n v="0.99999886999999998"/>
    <n v="1"/>
    <n v="1"/>
    <n v="1"/>
  </r>
  <r>
    <x v="253"/>
    <x v="5"/>
    <x v="0"/>
    <s v="EVQ-LLESGG-GLVQPGGSLRLSCAASGFTF---------SDYYMT-WIRQ-A-P-G-K--G-LE-WVSYISGS-----------SGDIYY--A--D--SV--K---GRFTISR-D---N-S--KN----T-LYLQM---KS-EDTAMYYCAKGYRSDSA--------------------YSGYDYDYWG-QGTLVTVSS"/>
    <s v="SYV-LTQPPS-VSVAPGQTARITCGGNNIG-----------SKSVH-WYQQ-K-P-G-Q--A-PV-LVVYDD----------------SDR--P--S--GI--P---ERFSGSN-------S--GN----T-ATLTISRVEA-GDEADYYCQVWDSS--------------------------SDHVVFG-GGTKLTVL-"/>
    <s v="hv3"/>
    <s v="lv3"/>
    <n v="0.99999979999999999"/>
    <n v="0.99999994000000003"/>
    <n v="0.58050109999999999"/>
    <n v="1"/>
    <n v="1"/>
    <n v="1"/>
  </r>
  <r>
    <x v="254"/>
    <x v="5"/>
    <x v="0"/>
    <s v="QVQ-LVQSGA-EVKKPGSSVKVSCKASGYTF---------TNYWIG-WVRQ-A-P-G-Q--G-LE-WMGGIIPIF----------GGTANY--A--Q--KF--Q---GRVTITA-D---E-S--TS----T-AYMELSSLRS-EDTAVYYCARGW------------------------------LSYWG-QGTLVTVSS"/>
    <s v="SYE-LTQPPS-VSVAPGQTARITCGGNNIG-----------SKGVH-WYQQ-K-P-G-Q--A-PV-LVVYDD----------------SDR--P--S--GI--P---ERFSGSN-------S--GN----T-ATLTISRVEA-GDEADYYCQVWDS----------------------------GSVVFG-GGTKLTVG-"/>
    <s v="hv1"/>
    <s v="lv3"/>
    <n v="0.99998679999999995"/>
    <n v="0.99999994000000003"/>
    <n v="3.5364180000000002E-2"/>
    <n v="1"/>
    <n v="1"/>
    <n v="0"/>
  </r>
  <r>
    <x v="255"/>
    <x v="5"/>
    <x v="0"/>
    <e v="#NAME?"/>
    <s v="QSV-LTQPPS-ASGTPGQRVTISCSGSSSNI---------GSNTVN-WYQH-L-P-G-T--A-PK-LLIYGN----------------SNR--P--S--GV--P---DRFSGSK-------S--GT----S-ASLAISGLQS-EDEADYYCATWDD----------------------------SLWVFG-GGTQLTVL-"/>
    <s v="hv3"/>
    <s v="lv1"/>
    <n v="0.99999994000000003"/>
    <n v="0.99999994000000003"/>
    <n v="0.99999744000000002"/>
    <n v="1"/>
    <n v="1"/>
    <n v="1"/>
  </r>
  <r>
    <x v="256"/>
    <x v="5"/>
    <x v="0"/>
    <s v="EVQ-LVESGG-GLVQPGGSLKLSCAASGFTF---------SSYAMS-WVRQ-A-P-G-K--G-LE-WVSAISGG------------GATYY--A--D--SV--K---GRFTISR-D---N-S--KN----T-LYLQMNSLRA-EDTAVYYCAKAWSYSGY--------------------SGYDAFDIWG-QGTMVTVSS"/>
    <s v="DIQ-MTQSPSSLSASVGDRVTITCQASQDI-----------SNYLN-WYQQ-K-P-G-K--A-PK-LLIYDA----------------SNL--E--T--GV--P---SRFSGSG-------S--GT----D-FTFTISSLQP-EDIATYYCQQYDN----------------------------LPITFG-QGTRLEIK-"/>
    <s v="hv3"/>
    <s v="kv1"/>
    <n v="0.99167240000000001"/>
    <n v="0.99999994000000003"/>
    <n v="0.97786830000000002"/>
    <n v="1"/>
    <n v="1"/>
    <n v="1"/>
  </r>
  <r>
    <x v="257"/>
    <x v="5"/>
    <x v="0"/>
    <s v="EVQ-LVESGG-GLVQPGGSLRLSCVTSGFTF----------NNYIH-WVRQ-A-P-G-K--G-LE-WVSVIYSG------------GSTYY--A--D--SV--K---GRFTISR-D---N-S--KN----T-LFLQMNSLRA-EDTAVYYCAREVVQF------------------------YYGLDVWG-QGTTVTVSS"/>
    <s v="DIQ-MTQSPSSLSASVGDRVTITCRASQDV-----------NTAVA-WYQQ-K-P-G-K--A-PK-LLIYSA----------------SDL--Y--S--GV--P---SRFSGSG-------S--GT----D-FTLTISSLQP-EDFATYYCQQYNN----------------------------YPLTFG-GGTKVEIK-"/>
    <s v="hv3"/>
    <s v="kv1"/>
    <n v="0.99957686999999995"/>
    <n v="0.98922840000000001"/>
    <n v="0.99925419999999998"/>
    <n v="1"/>
    <n v="1"/>
    <n v="1"/>
  </r>
  <r>
    <x v="258"/>
    <x v="5"/>
    <x v="0"/>
    <s v="EVQ-LVESGG-GLVQPGGSLRLSCAASGFTF---------SSYGMH-WVRQ-A-P-G-K--G-LE-WVAFIRYD-----------GGNNYY--A--D--SV--K---GRFTISR-D---N-S--KN----T-LYLQMNSLRA-EDTAVYYCARDPRV-------------------------WSSDGYWG-QGTLVTVSS"/>
    <s v="DIQ-MTQSPSSLSASVGDRVTITCRASQSI-----------GSYLN-WYQQ-K-P-G-K--A-PK-LLIYAA----------------SSL--Q--S--GV--P---SRFSGSG-------S--GT----D-FTLTISSLQP-EDFATYYCQQSYS----------------------------TPRTFG-QGTKVEIK-"/>
    <s v="hv3"/>
    <s v="kv1"/>
    <n v="0.99984145000000002"/>
    <n v="0.99999994000000003"/>
    <n v="0.98228579999999999"/>
    <n v="1"/>
    <n v="1"/>
    <n v="1"/>
  </r>
  <r>
    <x v="259"/>
    <x v="5"/>
    <x v="0"/>
    <s v="EVQ-LVESGG-GLVQPGGSLRLSCAASGFTF---------SNYAMS-WVRQ-A-P-G-K--G-LE-WVSIIYSS-----------SGSTSY--A--D--SV--K---GRFTISR-D---NNS--KN----T-LYLQM---RV-EDTAVYYCARGDY----------------------------GIDYWG-QGTLVTVSS"/>
    <s v="-YE-LTQPPS-VSVSPGQTARITCSGDALP-----------KQYAY-WYQQ-K-P-G-Q--A-PV-LMIYYT----------------SDR--P--S--GI--P---ERFSGSN-------S--GN----T-ATLTISGTQA-MDEADYYCQAWD-----------------------------SSTVFG-GGTKLTVL-"/>
    <s v="hv3"/>
    <s v="lv3"/>
    <n v="0.99999970000000005"/>
    <n v="0.99999994000000003"/>
    <n v="7.3260773000000004E-4"/>
    <n v="1"/>
    <n v="1"/>
    <n v="0"/>
  </r>
  <r>
    <x v="260"/>
    <x v="5"/>
    <x v="0"/>
    <s v="EVQ-LVESGG-GLVQPGGSLRLSCAASGFNV---------YSSSIH-WVRQ-A-P-G-K--G-LE-WVASISSY-----------YGYTYY--A--D--SV--K---GRFTISA-D---T-S--KN----T-AYLQMNSLRA-EDTAVYYCARSRQFW------------------------ASWFAYWG-QGTLVTVSS"/>
    <s v="-IQ-MTQSPSSLSASVGDRVTITCRASQSV-----------SSAVA-WYQQ-K-P-G-K--A-PK-LLIYSA----------------SSL--Y--S--GV--P---SRFSGSR-------S--GT----D-FTLTISSLQP-EDFATYYCQQSSS----------------------------SLITFG-QGTKVEIK-"/>
    <s v="hv3"/>
    <s v="kv1"/>
    <n v="0.999942"/>
    <n v="0.99999590000000005"/>
    <n v="0.80555295999999998"/>
    <n v="1"/>
    <n v="1"/>
    <n v="1"/>
  </r>
  <r>
    <x v="261"/>
    <x v="5"/>
    <x v="0"/>
    <s v="EVQ-LVESGG-GLVQPGGSLRLSCSASGFSL---------SSYWMS-WVRQ-A-P-G-K--G-LE-WIGTVYFS-----------GNIAHY--A--D--SV--K---GRFTISA-D---T-S--KN----T-AYLQMNSLRA-EDTAVYYCARGSRISVA--------------------GSLFWFDYWG-QGTLVTVSS"/>
    <s v="-SV-LTQPPS-VSGAPGQRVTISCTGSSSNIG--------AGYDVH-WYQQ-L-P-G-T--A-PK-LLIYDN----------------NKR--P--S--GV--P---DRFSGSK-------S--GT----S-ASLAITGLQS-EDEADYYCQSYDSS--------------------------LSGSVFG-GGTKLTVL-"/>
    <s v="hv3"/>
    <s v="lv1"/>
    <n v="0.99999959999999999"/>
    <n v="0.99999994000000003"/>
    <n v="0.19609926999999999"/>
    <n v="1"/>
    <n v="1"/>
    <n v="0"/>
  </r>
  <r>
    <x v="262"/>
    <x v="5"/>
    <x v="0"/>
    <s v="EVQ-LQQSGP-ELVKPGASVKMSCKASGYSF---------TSYWMH-WVKQ-R-P-G-Q--G-LE-WIGDIYPG-----------SGKTNY--N--E--KF--K---DKATLTA-D---K-S--SS----T-VYMQLSSLTS-EDSAVYFCARFDGS-------------------------SYDFFVWG-PGTVVDFST"/>
    <s v="DVL-MTQTPLSLPVSLGDQASISCRSSQSIVHS------NGNTYLE-WYLQ-K-P-G-Q--S-PK-LLIYKV----------------SNR--F--S--GV--P---DRFSGSG-------S--GT----D-FTLKISRVEA-EDLGVYYCFQGSH----------------------------VPLTFG-AGTKLELK-"/>
    <s v="hv1"/>
    <s v="kv2"/>
    <n v="3.2147179999999999E-4"/>
    <n v="3.6500343999999998E-7"/>
    <n v="2.1857612000000001E-3"/>
    <n v="0"/>
    <n v="0"/>
    <n v="0"/>
  </r>
  <r>
    <x v="263"/>
    <x v="5"/>
    <x v="0"/>
    <s v="EVQ-LVESGG-GLVQPGGSLRLSCAASGFNI---------KDTYIH-WVRQ-A-P-G-K--G-LE-WVASISPY-----------SGSTSY--A--D--SV--K---GRFTISA-D---T-S--KN----T-AYLQMNSLRA-EDTAVYYCARGYFSLRTF------------------VLSPSWFDYWG-QGTLVTVSS"/>
    <s v="QSV-LTQPPS-VSAAPGQKVTISCSGSSSNI---------GNNYVS-WYQQ-L-P-G-T--A-PK-LLIYDN----------------NKR--P--S--GI--P---DRFSGSK-------S--GT----S-ATLGITGLQT-GDEADYHCQYNSD---------------------------SSGAVFG-GGTKLTVL-"/>
    <s v="hv3"/>
    <s v="lv1"/>
    <n v="0.9999979"/>
    <n v="0.99999994000000003"/>
    <n v="0.99388653000000005"/>
    <n v="1"/>
    <n v="1"/>
    <n v="1"/>
  </r>
  <r>
    <x v="264"/>
    <x v="5"/>
    <x v="0"/>
    <s v="QVQ-LVQSGA-EVKKPGASVKVSCKASGYTF---------TSYGIS-WVRQ-A-P-G-Q--G-LE-WMGWISYT-----------NGNTRY--S--Q--KF--Q---GRVSMTR-D---T-S--IS----T-AYMELRSLRS-DDTAVYYCASLGQS-------------------------VGFFDYWG-QGTLVTVSS"/>
    <s v="DIQ-MTQSPSSLSASVGDRVTLTCQASQDI-----------RKFLN-WYQQ-K-P-G-K--A-PK-LLIYDA----------------SNL--E--T--GV--P---SRFSGSG-------S--GT----D-YSLTISNLEQ-EDIATYFCQQGFT----------------------------LPWTFG-GGTKLEIK-"/>
    <s v="hv1"/>
    <s v="kv1"/>
    <n v="0.99984240000000002"/>
    <n v="0.92287779999999997"/>
    <n v="5.3801155000000002E-3"/>
    <n v="1"/>
    <n v="1"/>
    <n v="0"/>
  </r>
  <r>
    <x v="265"/>
    <x v="5"/>
    <x v="0"/>
    <s v="EVQ-LVESGG-GLVQPGGSLRLSCAASGFTF---------SSYDMS-WVRQ-T-T-G-K--G-LE-WVSAVPSG------------NTIYY--A--D--SV--K---GRFTISR-D---N-S--KN----T-LYLQMNSLRA-EDTAVYYCARGSYSGG----------------------SSYYFDYWG-QGTLVTVSS"/>
    <s v="-IV-MTQSPSSLSASVGDRVTITCRASQGIGS--------RADYLN-WYQQ-K-P-G-K--A-PK-LLIYAA----------------SSL--Q--S--GV--P---SRFSGSG-------S--GT----D-FTLTISSLQP-EDFATYYCQQYD-----------------------------LPITFG-QGTRLEIK-"/>
    <s v="hv3"/>
    <s v="kv1"/>
    <n v="0.99996775000000004"/>
    <n v="0.99999994000000003"/>
    <n v="0.41730030000000001"/>
    <n v="1"/>
    <n v="1"/>
    <n v="0"/>
  </r>
  <r>
    <x v="266"/>
    <x v="5"/>
    <x v="0"/>
    <s v="EVQ-LVESGG-GLVQPGGSLRLSCAASGFTF---------SSYWMN-WVRQ-P-P-G-K--G-LE-WVSGISGS-----------GGSTYY--A--D--SV--K---GRFTISR-D---N-S--KN----T-LYLQMNSLRA-EDTAVYYCAKGSAT-------------------------YGNHDYWG-QGTLVTVSS"/>
    <s v="DIQ-MTQSPSSLSASVGDRVTITCRASQSV-----------SSAVA-WYQQ-K-P-G-K--A-PK-LLIYSA----------------SDL--Y--S--GV--P---SRFSGSR-------S--GT----D-FTLTISSLQP-EDFATYYCQQAKV---------------------------QIPVTFG-QGTKVEIK-"/>
    <s v="hv3"/>
    <s v="kv1"/>
    <n v="0.99760574000000002"/>
    <n v="0.99999492999999995"/>
    <n v="1.0086286E-2"/>
    <n v="1"/>
    <n v="1"/>
    <n v="0"/>
  </r>
  <r>
    <x v="267"/>
    <x v="5"/>
    <x v="0"/>
    <s v="EVQ-LLESGG-GLVQPGGSLRLSCAASGFTF---------SSYAMS-WVRQ-A-P-G-K--G-LE-WVSYITSG------------GTTYY--A--D--SV--K---GRFTISR-D---N-S--KN----T-LYLQMNSLRA-EDTAVYYCAKAWAG-------------------------WELSTYWG-QGTLVTVSS"/>
    <s v="DIQ-MTQSPSSLSASVGDRVTITCRASQSV-----------SSAVA-WYQQ-K-P-G-K--A-PK-LLIYSA----------------SSL--Y--S--GV--P---SRFSGSR-------S--GT----D-FTLTISSLQP-EDFATYYCQQYS-----------------------------SPYTFG-QGTKVEIK-"/>
    <s v="hv3"/>
    <s v="kv1"/>
    <n v="0.99999994000000003"/>
    <n v="0.9942571"/>
    <n v="0.80931229999999998"/>
    <n v="1"/>
    <n v="1"/>
    <n v="1"/>
  </r>
  <r>
    <x v="268"/>
    <x v="5"/>
    <x v="0"/>
    <s v="EVQ-LQQSGA-ELVRPGSSVKISCKGSGYVF---------SNYWIH-WVKQ-R-P-G-Q--G-LE-WIGVYPYN-----------DDDTNY--N--Q--NF--K---DKAKLTA-S---V-D--TT----S-YNMQLTSVSS-ATSATYFCTRY-------------------------------FDYWG-QGTTLTVSS"/>
    <s v="DIV-LTQSPSSLSASVGDRVTITCRASSSVYH-------SDGNIYY-WYQQ-K-P-G-S--A-PK-LLIYEA----------------SSL--E--S--GV--P---SRFSGSG-------S--GT----D-FTLTISSLQA-EDVATYYCQKYNS----------------------------APWTFG-QGTKVEIK-"/>
    <s v="hv1"/>
    <s v="kv1"/>
    <n v="8.8308655E-2"/>
    <n v="0.99983120000000003"/>
    <n v="9.2915190000000002E-13"/>
    <n v="0"/>
    <n v="1"/>
    <n v="0"/>
  </r>
  <r>
    <x v="269"/>
    <x v="5"/>
    <x v="0"/>
    <s v="EVQ-LVESGG-GLVQPGGSLRLSCAASGFNF---------SSSSIH-WVRQ-A-P-G-K--G-LE-WVASISSS-----------YGSTYY--A--D--SV--K---GRFTISA-D---T-S--KN----T-AYLQMNSLRA-EDTAVYYCARHVS---------------------------PWYDVWG-QGTLVTVSS"/>
    <s v="DIQ-MTQSPSSLSASVGDRVTITCRASQSV-----------SSAVA-WYQQ-K-P-G-K--A-PK-LLIYSA----------------SSL--Y--S--GV--P---SRFSGSR-------S--GT----D-FTLTISSLQP-EDFATYYCQQYNT----------------------------YPLTFG-QGTKVEIK-"/>
    <s v="hv3"/>
    <s v="kv1"/>
    <n v="0.99999660000000001"/>
    <n v="0.99987389999999998"/>
    <n v="0.9892145"/>
    <n v="1"/>
    <n v="1"/>
    <n v="1"/>
  </r>
  <r>
    <x v="270"/>
    <x v="5"/>
    <x v="0"/>
    <s v="EVQ-LLESGG-GLVQPGGSLRLSCAASGFTF---------SSYAMS-WVRQ-A-P-G-K--G-LE-WVSAISSG------------GSTYY--A--D--SV--K---GRFTISR-D---N-S--KN----T-LYLQM---RA-EDTAVYYCAKSG-----------------------------AFDVWG-QGTLVTVSS"/>
    <s v="-IQ-MTQSPSSLSASVGDRVTITCRASQSV-----------SSAVA-WYQQ-K-P-G-K--A-PK-LLIYSA----------------SSL--Y--S--GV--P---SRFSGSR-------S--GT----D-FTLTISSLQP-EDFATYYCQQSSS----------------------------SLITFG-QGTKVEIK-"/>
    <s v="hv3"/>
    <s v="kv1"/>
    <n v="0.99999959999999999"/>
    <n v="0.99999590000000005"/>
    <n v="6.1214900000000003E-3"/>
    <n v="1"/>
    <n v="1"/>
    <n v="0"/>
  </r>
  <r>
    <x v="271"/>
    <x v="5"/>
    <x v="0"/>
    <s v="EVQ-LVESGG-GLVQPGGSLRLSCAASGFIV---------SRNYMS-WVRQ-A-P-G-K--G-LE-WVAYISSS-----------SGSTSY--A--D--SV--K---GRFTISA-D---T-S--KN----T-AYLQMNSLRA-EDTAVYYCARGGG----------------------------YFDYWG-QGTLVTVSS"/>
    <s v="DIQ-MTQSPSSLSASVGDRVTITCRASQSV-----------SSAVA-WYQQ-K-P-G-K--A-PK-LLIYSA----------------SSL--Y--S--GV--P---SRFSGSR-------S--GT----D-FTLTISSLQP-EDFATYYCQQYYWS--------------------------WPPFTFG-QGTKVEIK-"/>
    <s v="hv3"/>
    <s v="kv1"/>
    <n v="0.99999934000000001"/>
    <n v="0.99966763999999997"/>
    <n v="0.90100559999999996"/>
    <n v="1"/>
    <n v="1"/>
    <n v="1"/>
  </r>
  <r>
    <x v="272"/>
    <x v="5"/>
    <x v="0"/>
    <s v="QVQ-LQQSGP-ELVRPGVSVKISCKGSGYTF---------TDYAIH-WVKQ-S-H-A-K--S-LE-WIGVFSYY------------GNTNY--N--Q--KF--K---GKATMTV-D---K-S--SS----T-AYMEL---TS-EDSAIYYCARKSY---------------------------YVDDYWG-QGTSVT---"/>
    <s v="QIV-LTQSPAIMSASPGEKVTMTCSASSSV------------SYMH-WYQQ-K-S-G-T--S-PK-RWIYDT----------------SKL--A--S--GV--P---ARFSGSG-------S--GT----S-YSLTISSMEA-EDAATYYCQQWSS----------------------------HPPTFG-GGTKLEI--"/>
    <s v="hv1"/>
    <s v="kv6"/>
    <n v="0.118690476"/>
    <n v="1.0053540000000001E-9"/>
    <n v="2.2966955000000001E-13"/>
    <n v="0"/>
    <n v="0"/>
    <n v="0"/>
  </r>
  <r>
    <x v="273"/>
    <x v="5"/>
    <x v="0"/>
    <s v="QVQ-LQQSGA-ELVKPGASVKLSCTASGFNI---------KDTYIH-WVKQ-R-P-E-Q--G-LE-WIGRIDPAN----------GNYTKY--D--P--KF--Q---GKATITA-D---T-S--SN----T-AYLQLSSLTS-EDTAVYYCARKAYYYGA-------------------PTYGNAMDYWG-QGTSVTVSS"/>
    <s v="DIV-MTQSPDSLAVSLGERATINCKSSQNN-----------KNYLA-WYQQ-K-P-G-Q--P-PK-LLIYWA----------------STR--E--S--GV--P---DRFSGSG-------S--GT----D-FTLTISSLQA-EDVAVYYCQQYYS----------------------------IPRTFG-GGTKLEIK-"/>
    <s v="hv1"/>
    <s v="kv4"/>
    <n v="6.4085539999999996E-2"/>
    <n v="0.99999994000000003"/>
    <n v="1.30211385E-2"/>
    <n v="0"/>
    <n v="1"/>
    <n v="0"/>
  </r>
  <r>
    <x v="274"/>
    <x v="5"/>
    <x v="0"/>
    <s v="EVQ-LLESGG-GLVQPGGSLRLSCAASGFTF---------SSYAMS-WVRQ-A-P-G-K--G-LE-WVSAISGA------------TGSDY--A--D--SV--K---GRFTISR-D---N-S--KN----T-LYLQMNSLRA-EDTAVYYCARGGYWS------------------------PYALDYWG-QGTLVTVSS"/>
    <s v="-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590000000005"/>
    <n v="0.55729777000000003"/>
    <n v="1"/>
    <n v="1"/>
    <n v="1"/>
  </r>
  <r>
    <x v="275"/>
    <x v="5"/>
    <x v="0"/>
    <s v="EVQ-LQQSGP-ELVRPGASMKISCKASGYSF---------TGYTMN-WVKQ-S-H-G-K--N-LE-WIGLINPY-----------NGGTSY--N--Q--KF--K---GKATLTV-D---K-S--SS----T-AYMELLSLTS-EDSAVYYCARS--------------------------------DYWG-QGTLVTVSA"/>
    <s v="DIV-LTQSPASLAVSLGQRATISCRASES-------------VE---IY---A-G-Q-Q--T-PR-LLIKYA----------------SQS--I--S--GI--P---SRFSGSG-------S--GT----D-FTLTINSVES-EDIADYFCQQSTV----------------------------FPWTFG-AGTKLELK-"/>
    <s v="hv1"/>
    <s v="kv6"/>
    <n v="6.7503159999999996E-7"/>
    <n v="1.2797891E-3"/>
    <n v="1.2595205E-5"/>
    <n v="0"/>
    <n v="0"/>
    <n v="0"/>
  </r>
  <r>
    <x v="276"/>
    <x v="5"/>
    <x v="0"/>
    <s v="QVQ-LVQSGA-EVKKPGASVKVSCKASGYTF---------TNYGIS-WVRQ-A-P-G-Q--G-LE-WMGWIKLPV----------DGGTNY--A--Q--KF--Q---GRVTMTR-D---T-S--TS----T-AYMELSSLRS-EDTAVYYCARGQGYD------------------------DYTMDVWG-KGTTVTVSS"/>
    <s v="DIL-LTQSPAILSVSPGERVSFSCRASQSI-----------GTDIH-WYQQ-R-T-N-G--S-PR-LLIKYA----------------SES--I--S--GI--P---SRFSGSG-------S--GT----D-FTLSINSVES-EDIANYYCQQSN-----------------------------WPLTFG-AGTKLELK-"/>
    <s v="hv1"/>
    <s v="kv6"/>
    <n v="0.99999994000000003"/>
    <n v="7.0080639999999997E-6"/>
    <n v="2.9770320000000001E-8"/>
    <n v="1"/>
    <n v="0"/>
    <n v="0"/>
  </r>
  <r>
    <x v="277"/>
    <x v="5"/>
    <x v="0"/>
    <s v="EVQ-LVESGG-GLVQPGGSLRLSCAASGFTF---------SSYWMH-WVRQ-A-P-G-K--G-LE-WVSGIGS-------------GGTIY--A--D--SV--K---GRFTISR-D---N-S--KN----T-LYLQMNSLRA-EDTAVYYCARGFWYH------------------------YHGLDYWG-QGTLVTVSS"/>
    <s v="DIQ-MTQSPSSLSASVGDRVTITCRASQGI-----------SSYLA-WYQQ-K-P-G-K--A-PK-LLIYAV---------------ASTL--Q--S--GV--P---SRFSGSG-------S--GT----D-FTLTISSLQP-EDFATYYCQQSSS----------------------------SLITFG-QGTKVEIK-"/>
    <s v="hv3"/>
    <s v="kv1"/>
    <n v="0.99992376999999999"/>
    <n v="0.99999979999999999"/>
    <n v="0.41235536"/>
    <n v="1"/>
    <n v="1"/>
    <n v="0"/>
  </r>
  <r>
    <x v="278"/>
    <x v="5"/>
    <x v="0"/>
    <s v="-VQ-LQQSGA-ELVQPGASVKLSCKASGYTF---------TSYWMH-WVKQ-R-P-G-Q--G-LE-WIGAFIYP-----------GNGDNY--N--G--KF--K---GKATLTA-D---K-S--SS----T-AYMQLSSLTS-EDSAVYYCARLGL---------------------------GYFDYWG-QGTTLTVSS"/>
    <s v="DIV-MTQSHKFMSTSVGDRVSITCKASQNV------------RTIS-WYRQ-K-P-G-Q--S-PK-LLIYWA----------------STR--H--T--GV--P---DRFTGSG-------Y--GT----D-FTFTISSLQP-EDIATYYCQQYDN----------------------------LQFTFG-PGTKVDIR-"/>
    <s v="hv1"/>
    <s v="kv4"/>
    <n v="0.21518765000000001"/>
    <n v="1.3990079E-4"/>
    <n v="1.8411575E-7"/>
    <n v="0"/>
    <n v="0"/>
    <n v="0"/>
  </r>
  <r>
    <x v="279"/>
    <x v="5"/>
    <x v="0"/>
    <s v="EVQ-LVESGG-GLVQPGGSLRLSCAASGFNV---------SYYSIH-WVRQ-A-P-G-K--G-LE-WVASIYY--------------YYSY--A--D--SV--K---GRFTISA-D---T-S--KN----T-AYLQM---RA-EDTAVYYCARGYRG-------------------------SGYYDYWG-QGTLVTVSS"/>
    <s v="DIQ-MTQSPSSLSASVGDRVTITCRASQSV-----------SSAVA-WYQQ-K-P-G-K--A-PK-LLIYSA----------------SSL--Y--S--GV--P---SRFSGSR-------S--GT----D-FTLTISSLQP-EDFATYYCQQANS----------------------------FPITFG-QGTRLEIK-"/>
    <s v="hv3"/>
    <s v="kv1"/>
    <n v="0.99999945999999995"/>
    <n v="0.99999994000000003"/>
    <n v="0.99834259999999997"/>
    <n v="1"/>
    <n v="1"/>
    <n v="1"/>
  </r>
  <r>
    <x v="280"/>
    <x v="5"/>
    <x v="0"/>
    <s v="QVQ-LQQSGP-GLVKPSQTLSLTCAISGDSV---------SSNSAAWWIRQ-P-P-G-K--G-LE-WIGCIYKS------------GSTNY--N--P--SL--K---SRVTISV-D---T-S--KN----Q-FSLKLSSVTA-ADTAVYYCARDYY----------------------------GSDVWG-QGLV-----"/>
    <s v="DIV-MTQSPSFLSASVGDRVTITCRASQGI-----------SSYLA-WYQQ-K-P-G-Q--A-PR-LLIYDA----------------SNR--A--T--GI--P---ARFSGSG-------S--GT----E-FTLTISSLQP-EDFATYYCQHLT-----------------------------SSYTFG-QGTRVEIK-"/>
    <s v="hv4"/>
    <s v="kv3"/>
    <n v="0.97212356"/>
    <n v="0.9796473"/>
    <n v="0.85420119999999999"/>
    <n v="1"/>
    <n v="1"/>
    <n v="1"/>
  </r>
  <r>
    <x v="281"/>
    <x v="5"/>
    <x v="0"/>
    <s v="QVQ-LVESGG-GVVQPGRSLRLSCAASGFIF---------SSYGMA-WVRQ-A-P-G-K--G-LE-WVAVISYD-----------GSNKYY--A--D--SV--K---GRFTISR-D---N-S--KN----T-LYLQMNSLRA-EDTAVYYCARDPLLDGG--------------------FVTVSSDYWG-QGTLVTVSS"/>
    <s v="DIQ-MTQSPSSLSASVGDRVTITCRASQSI-----------SSYLN-WYQQ-K-P-G-K--A-PK-LLIYAA----------------SSL--Q--S--GV--P---SRFSGSG-------S--GT----D-FTLTISSLQP-EDFATYYCQQSYS----------------------------TPRTFG-QGTKVEIK-"/>
    <s v="hv3"/>
    <s v="kv1"/>
    <n v="0.99999994000000003"/>
    <n v="0.99999994000000003"/>
    <n v="0.96817726000000004"/>
    <n v="1"/>
    <n v="1"/>
    <n v="1"/>
  </r>
  <r>
    <x v="282"/>
    <x v="5"/>
    <x v="0"/>
    <s v="EVQ-LLESGG-GLVQPGGSLRLSCAASGFTF---------SSYAMS-WVRQ-A-P-G-K--G-LE-WVSSIGGS------------GYIHY--A--D--SV--K---GRFTISR-D---N-S--KS----T-LYLQMTSLRS-EDTALYYCVSGGFG-------------------------DDIFMHWG-QGTLVTVSS"/>
    <s v="-IV-LTQSPF-QSVSPKEKVTMTCRASSV-------------SYMS-WYQQ-K-P-G-Q--P-PK-LLIYAAS--------------NQGV--S--S--GI--P---SRFSGSG-------S--GT----D-FTLTINSLQP-EDFATYYCQQHYS----------------------------GPLTFG-GGTKVEIK-"/>
    <s v="hv3"/>
    <s v="kv6"/>
    <n v="0.99999994000000003"/>
    <n v="3.7290000000000001E-4"/>
    <n v="7.3745824000000001E-2"/>
    <n v="1"/>
    <n v="0"/>
    <n v="0"/>
  </r>
  <r>
    <x v="283"/>
    <x v="5"/>
    <x v="0"/>
    <s v="EVQ-LVESGG-GLVQPGGSLRLSCAASGFTF---------SDHWID-WVRQ-A-P-G-K--G-LE-WIGEINPT-----------GEPTYY--N--Q--KF--K---GRFTISR-D---N-S--KN----T-LFLQMNSLRA-EDTAVYYCARGI-----------------------------TGDIWG-QGTMVTVS-"/>
    <s v="DIQ-MTQSPSSLSASVGDRVTITCRASQGI-----------SNYLA-WYQQ-K-P-G-K--A-PK-LLIYYA----------------SNL--E--S--GV--P---SRFSGSG-------S--GT----D-FTLTISSLQP-EDFATYYCQQSYY----------------------------PPFTFG-PGTKVDIK-"/>
    <s v="hv3"/>
    <s v="kv1"/>
    <n v="0.81745833000000001"/>
    <n v="0.9992974"/>
    <n v="0.99082999999999999"/>
    <n v="1"/>
    <n v="1"/>
    <n v="1"/>
  </r>
  <r>
    <x v="284"/>
    <x v="5"/>
    <x v="0"/>
    <s v="EVQ-LVESGG-GLVQPGGSLKLSCTASGFTF----------SDSIH-WVRQ-A-P-G-K--G-LE-WVAFISYD-----------GSNKYY--A--D--SV--K---GRFTISR-D---N-S--KN----T-LYLQMNSLRA-EDTAVYYCANWGSIS-----------------------VSYALDYWG-QGTLVTVSS"/>
    <s v="DIQ-MTQSPSSLSASVGDRVTITCRASQSV-----------SSAVA-WYQQ-K-P-G-K--A-PK-LLIYSA----------------SSL--Y--S--GV--P---SRFSGSR-------S--GT----D-FTLTISSLQP-EDFATYYCQQFNN----------------------------YPLTFG-QGTKVEIK-"/>
    <s v="hv3"/>
    <s v="kv1"/>
    <n v="0.99999420000000006"/>
    <n v="0.99987939999999997"/>
    <n v="0.99552446999999999"/>
    <n v="1"/>
    <n v="1"/>
    <n v="1"/>
  </r>
  <r>
    <x v="285"/>
    <x v="5"/>
    <x v="0"/>
    <s v="QVQ-LVQSGA-EVKKPGASVKVSCKASGYTF---------TSYGLS-WVRQ-A-P-G-Q--G-LE-WMGWISAY-----------NGNTNY--A--Q--KL--Q---GRVTMTT-D---T-S--TS----T-AYMELRSLRS-DDTAVYYCAIDDTSAG----------------------GYYGFDYWG-QGTLVTVSS"/>
    <s v="DIE-LTQSPATLSLSPGERATLSCRASQSV-----------SSYLA-WYQQ-K-P-G-Q--A-PR-LLIYDA----------------SNR--A--T--GI--P---ARFSGSG-------S--GT----D-FTLTISSLEP-EDFAVYYCQQRSN----------------------------WPLTFG-GGTKVEIK-"/>
    <s v="hv1"/>
    <s v="kv3"/>
    <n v="0.99981120000000001"/>
    <n v="0.99999994000000003"/>
    <n v="0.10496663000000001"/>
    <n v="1"/>
    <n v="1"/>
    <n v="0"/>
  </r>
  <r>
    <x v="286"/>
    <x v="5"/>
    <x v="0"/>
    <s v="EVQ-LVESGG-GLVQPGGSLRLSCAASGFTF---------SSYAMT-WVRQ-A-P-G-K--G-LE-WVSAIGSG------------GATYY--A--D--SV--K---GRFTISR-D---N-S--KN----T-LYLQMNSLRA-EDTAVYYCARDLGD-------------------------WQAFDYWG-QGTLVTVSS"/>
    <s v="DIQ-MTQSPSSLSASVGDRVTITCRASQSV-----------SSAVA-WYQQ-K-P-G-K--A-PK-LLIYSA----------------SSL--Y--S--GV--P---SRFSGSR-------S--GT----D-FTLTISSLQP-EDFATYYCQQYS-----------------------------SYWTFG-QGTKVEIK-"/>
    <s v="hv3"/>
    <s v="kv1"/>
    <n v="0.99920386000000005"/>
    <n v="0.99995860000000003"/>
    <n v="0.83244865999999995"/>
    <n v="1"/>
    <n v="1"/>
    <n v="1"/>
  </r>
  <r>
    <x v="287"/>
    <x v="5"/>
    <x v="0"/>
    <s v="QVQ-LVQSGA-EVKKPGASVKVSCKASGYTF---------TNYGIS-WVRQ-A-P-G-Q--G-LE-WMGWISID------------GPKKY--P--S--KF--RQ--GRATITR-D---T-S--TS----T-AYLEL---RS-DDTAVYYCVGSSYQ-------------------------GVYFAFWG-QGTLVTVSS"/>
    <s v="DIQ-MTQSPSSLSASVGDRVTITCRASQDI-----------SSYLN-WYQQ-K-P-G-K--A-PK-LLIYDA----------------SSL--Q--S--GV--P---SRFSGSG-------S--GT----D-FTLTISSLQP-EDFATYYCQQASY----------------------------APYTFG-QGTKVEIK-"/>
    <s v="hv1"/>
    <s v="kv1"/>
    <n v="0.99999755999999995"/>
    <n v="0.99999446000000003"/>
    <n v="2.4980353E-2"/>
    <n v="1"/>
    <n v="1"/>
    <n v="0"/>
  </r>
  <r>
    <x v="288"/>
    <x v="5"/>
    <x v="0"/>
    <s v="EVQ-LVESGG-GLVQPGGSLRLSCAASGFTF---------SDYYIH-WVRQ-A-P-G-K--G-LE-WVANIKQD-----------GSEKYY--V--D--SV--K---GRFTISR-D---N-A--KN----S-LYLQMNSLRA-GDTAVYYCARVDRG--------------------------YYLDYWG-QGTLVTVSS"/>
    <s v="DIQ-MTQSPSSLSASVGDRVTITCRASQSI-----------SSYLN-WYQQ-K-P-G-K--A-PK-LLIYAA----------------SSL--Q--S--GV--P---SRFSGSG-------S--GT----D-FTLTISSLQP-EDFATYYCQQIY-----------------------------TPPTFG-QGTKVEIK-"/>
    <s v="hv3"/>
    <s v="kv1"/>
    <n v="0.99990860000000004"/>
    <n v="0.99999994000000003"/>
    <n v="0.99952629999999998"/>
    <n v="1"/>
    <n v="1"/>
    <n v="1"/>
  </r>
  <r>
    <x v="289"/>
    <x v="5"/>
    <x v="0"/>
    <s v="EVQ-LQQSGP-ELVKPGASMKISCKASGYSF---------TGYTMN-WVKQ-S-H-G-K--N-LE-WIGLINPY-----------NGGTSY--N--Q--KF--K---GKATLTV-D---K-S--SS----T-AYMELLSLTS-EDSAVYYCARSD-----------------------------GSSYWG-QGTLVTVSA"/>
    <s v="DIV-MTQSPSSLTVTAGEKVTMSCKSSQSLLNS-----GNQKNYLT-WYQQ-K-P-G-Q--S-PK-LLIYWA----------------STR--D--S--GV--P---DRFTGSG-------S--GT----D-FTLTISSVQA-EDLAVYYCQNDYT----------------------------YPLTFG-AGTKLELK-"/>
    <s v="hv1"/>
    <s v="lv5"/>
    <n v="3.8738903999999999E-7"/>
    <n v="1.9365033999999999E-9"/>
    <n v="3.5459863000000002E-3"/>
    <n v="0"/>
    <n v="0"/>
    <n v="0"/>
  </r>
  <r>
    <x v="290"/>
    <x v="5"/>
    <x v="0"/>
    <s v="EVQ-LQQSGP-ELVRPGASMKISCKASGYSF---------TGYTMN-WVKQ-S-H-G-K--N-LE-WIGLINPY-----------NGGTSY--N--Q--KF--K---GKATLTV-D---K-S--SS----T-AYMELLSLTS-EDSAVYYCARSGNYRYS--------------------GSYFAMDYWG-QGTSVTVSS"/>
    <s v="DIV-MTQSHKFMSTSVGDRVSITCKASQVS------------SNLA-WYQQ-K-P-G-Q--S-PN-LLIYSA----------------SNR--Y--T--GV--P---DRFTGSG-------S--GT----D-FTFTISSVQA-EDLAVYYCQQHYS----------------------------YPFTFG-SGTKLEIK-"/>
    <s v="hv1"/>
    <s v="kv4"/>
    <n v="4.6119359999999996E-3"/>
    <n v="5.8628724E-9"/>
    <n v="4.4006157000000002E-7"/>
    <n v="0"/>
    <n v="0"/>
    <n v="0"/>
  </r>
  <r>
    <x v="291"/>
    <x v="5"/>
    <x v="0"/>
    <s v="EVQ-LVESGG-GLVQPGGSLRLSCAASGFTF---------SSYWMS-WVRQ-A-P-G-K--G-LE-WVAYITDG------------SEKYY--A--D--SV--K---GRFTISR-D---N-S--KN----T-LYLQMNSLRA-EDTAVYYCVKDRI----------------------------GSKRWG-QGTLVTVSS"/>
    <s v="DIQ-MTQSPSSLSASVGDRVTVTCRASQITGD--------INNYLS-WYQQ-K-P-G-K--A-PK-LLIYDA----------------SNL--E--T--GV--P---SRFSGSG-------S--GT----D-FTLTISSLQP-EDFATYYCQQYSS----------------------------YPLTFG-QGTKVEIK-"/>
    <s v="hv3"/>
    <s v="kv1"/>
    <n v="0.99999970000000005"/>
    <n v="0.25477139999999998"/>
    <n v="3.2459040000000002E-2"/>
    <n v="1"/>
    <n v="0"/>
    <n v="0"/>
  </r>
  <r>
    <x v="292"/>
    <x v="5"/>
    <x v="0"/>
    <s v="EVQ-LVESGG-GLVQPGGSLRLSCAASGFNF---------SSSSIH-WVRQ-A-P-G-K--G-LE-WVASISPYS----------SSYADY--A--D--SV--K---GRFTISA-D---T-S--KN----T-AYLQMNSLRA-EDTAVYYCARGGW----------------------------ALDYWG-QGTLVTVSS"/>
    <s v="DIQ-MTQSPSSLSASVGDRVTITCRASQSV-----------SSAVA-WYQQ-K-P-G-K--A-PK-LLIYSA----------------SSL--Y--S--GV--P---SRFSGSR-------S--GT----D-FTLTISSLQP-EDFATYYCQQYNS----------------------------YPITFG-QGTKVEIK-"/>
    <s v="hv3"/>
    <s v="kv1"/>
    <n v="0.99998909999999996"/>
    <n v="0.99987530000000002"/>
    <n v="0.9983455"/>
    <n v="1"/>
    <n v="1"/>
    <n v="1"/>
  </r>
  <r>
    <x v="293"/>
    <x v="5"/>
    <x v="0"/>
    <s v="QVQ-LVQSGA-EVKKPGASVKVSCKASGYTF---------TSYAIH-WVRQ-A-P-G-Q--G-LE-WMGWISHS-----------NGNTGY--A--Q--KL--Q---GRVTMTR-D---T-S--TS----T-VYMELRSLRS-DDTAVYYCARGGSAQ------------------------YYDFFHWG-PGTLVTVSS"/>
    <s v="DIQ-MTQSPSSLSASVGDRVTITCKASQDV-----------STAVA-WYQQ-K-P-G-K--A-PK-LLIYSA----------------SFL--Y--S--GV--P---SRFSGSG-------S--GT----D-FTLTISSLQP-EDFATYYCLQYDS----------------------------SPYTFG-QGTKLEIK-"/>
    <s v="hv1"/>
    <s v="kv1"/>
    <n v="0.99999636000000003"/>
    <n v="0.99837220000000004"/>
    <n v="0.99284030000000001"/>
    <n v="1"/>
    <n v="1"/>
    <n v="1"/>
  </r>
  <r>
    <x v="294"/>
    <x v="5"/>
    <x v="0"/>
    <s v="EVQ-LVESGG-GLVQPGGSLRLSCAASGFTF---------STYGMH-WVRQ-A-P-G-K--G-LE-WVSIIYSG------------GSTYY--A--D--SV--K---GRFTISR-D---N-S--KN----T-LYLQMNSLRA-EDTAVYYCARGFY----------------------------GMDYWG-QGTLVTVSS"/>
    <s v="DIQ-MTQSPSSLSASVGDRVTITCRASQSI-----------SNYLN-WYQQ-K-P-G-K--A-PK-LLIYAA----------------SSL--Q--S--GV--P---SRFSGSG-------S--GT----D-FTLTISSLQP-EDFATYYCQHYT-----------------------------TPYTFG-QGTKVDIK-"/>
    <s v="hv3"/>
    <s v="kv1"/>
    <n v="0.98636159999999995"/>
    <n v="0.99999994000000003"/>
    <n v="0.97030866000000005"/>
    <n v="1"/>
    <n v="1"/>
    <n v="1"/>
  </r>
  <r>
    <x v="295"/>
    <x v="5"/>
    <x v="0"/>
    <s v="EVQ-LVESGG-GLVQPGGSLRLSCAASGFTFS--------DHNYMQ-WVRQ-V-P-G-K--G-LE-WVANIQDK------------GNNHY--A--D--SV--K---GRFTISR-D---N-A--KN----S-LYLQMNSLRA-EDTAVYHCARDYVY-------------------------PNHFDPWG-QGTLVTVSS"/>
    <s v="DIV-MTQTPLSLPVTPGEPASISCRSSQSLVTY------FTNYGMH-WYQQ-K-P-G-Q--A-PK-LLIYKA----------------SHS--E--S--GL--T-----FSGSG-------S--GT----D-FTLTINPVEA-DDFATYFCQAYNS----------------------------LPTTFG-AGTKLELK-"/>
    <s v="hv3"/>
    <s v="kv2"/>
    <n v="0.99999994000000003"/>
    <n v="4.9484864999999999E-4"/>
    <n v="4.0191539999999999E-5"/>
    <n v="1"/>
    <n v="0"/>
    <n v="0"/>
  </r>
  <r>
    <x v="296"/>
    <x v="5"/>
    <x v="0"/>
    <e v="#NAME?"/>
    <s v="DIQ-MTQSPSSLSASVGDRVTITCRASQGI-----------SSWLA-WYQQ-K-P-G-K--A-PK-LLIYKA----------------SSL--E--S--GV--P---SRFSGSG-------S--GT----E-FTLTISSLQP-DDFATYYCQQYNS----------------------------YSWTFG-QGTKLEIK-"/>
    <s v="hv1"/>
    <s v="kv1"/>
    <n v="0.99999479999999996"/>
    <n v="0.99999970000000005"/>
    <n v="0.99999994000000003"/>
    <n v="1"/>
    <n v="1"/>
    <n v="1"/>
  </r>
  <r>
    <x v="297"/>
    <x v="5"/>
    <x v="0"/>
    <s v="EVQ-LVESGG-GLVQPGGSLRLSCAASGFTL---------SDNYMT-WVRQ-A-P-G-K--G-LE-WVSGINYNN----------GGTTYY--L--D--SV--K---GRFTISR-D---N-A--KN----S-LYLQMKSLRA-EDTAVYYCARDLISYGG-------------------TTQYYAMDYWG-QGTSVTVSS"/>
    <s v="DIQ-MTQSPSSLSASVGDRVTITCRASQSV-----------SSAVA-WYQQ-K-P-G-K--A-PK-LLIYSA----------------SSL--Y--S--GV--P---SRFSGSR-------S--GT----D-FTLTISSLQP-EDFATYYCQQHYN---------------------------IPLFTFG-QGTKVEIK-"/>
    <s v="hv3"/>
    <s v="kv1"/>
    <n v="0.99994963000000003"/>
    <n v="0.98113079999999997"/>
    <n v="0.99908434999999995"/>
    <n v="1"/>
    <n v="1"/>
    <n v="1"/>
  </r>
  <r>
    <x v="298"/>
    <x v="5"/>
    <x v="0"/>
    <s v="EVQ-LVESGG-GLVQPGGSLRLSCAASGFTF---------SDYYMS-WIRQ-A-P-G-K--G-LE-WVSYISSS-----------GSNIYY--A--D--SV--K---GRFTISR-D---N-A--KN----S-LYLQMNSLRA-EDTAVYYCAKVPPW--------------------------YAFDYWG-QGTLVTVSS"/>
    <s v="DIQ-MTQSPSSLSASVGDRVTITCRASQDI-----------NKYLN-WYQQ-K-P-G-K--A-PK-LLIYAA----------------SSL--Q--S--GV--P---SRFSGSG-------S--GT----D-FTLTISSLQP-EDFATYYCQQANS----------------------------FPYTFG-QGTKLEIK-"/>
    <s v="hv3"/>
    <s v="kv1"/>
    <n v="0.99712020000000001"/>
    <n v="0.99999994000000003"/>
    <n v="0.75442030000000004"/>
    <n v="1"/>
    <n v="1"/>
    <n v="1"/>
  </r>
  <r>
    <x v="299"/>
    <x v="5"/>
    <x v="0"/>
    <s v="EVQ-LVESGG-GLVQPGGSLRLSCAASGFNV---------SYSSIH-WVRQ-A-P-G-K--G-LE-WVASISSY-----------YGYTYY--A--D--SV--K---GRFTISA-D---T-S--KN----T-AYLQMNSLRA-EDTAVYYCARSWYSWSV--------------------FGYSAMDYWG-QGTLVTVSS"/>
    <s v="DIQ-MTQSPSSLSASVGDRVTITCRASQSV-----------SSAVA-WYQQ-K-P-G-K--A-PK-LLIYSA----------------SSL--Y--S--GV--P---SRFSGSR-------S--GT----D-FTLTISSLQP-EDFATYYCQQSYS----------------------------TPPTFG-QGTKVEIK-"/>
    <s v="hv3"/>
    <s v="kv1"/>
    <n v="0.99999994000000003"/>
    <n v="0.99999945999999995"/>
    <n v="0.98974569999999995"/>
    <n v="1"/>
    <n v="1"/>
    <n v="1"/>
  </r>
  <r>
    <x v="300"/>
    <x v="6"/>
    <x v="0"/>
    <s v="EVQ-LVESGG-GLVQPGGSLRLSCAASGFTF---------SSYGMH-WVRQ-A-P-G-K--G-LE-WVAYISSS------------GYTSY--A--D--SV--K---GRFTISR-D---N-A--KN----S-LYLQMNSLRA-EDTAVYYCARDGSS--------------------------GPDDYWG-QGTLVTVSS"/>
    <s v="DIQ-MTQSPSSLSASVGDRVTITCRASQDV-----------STAVA-WYQQ-K-P-G-K--A-PK-LLIYSA----------------SSL--Y--S--GV--P---SRFSGSR-------S--GT----D-FTLTISSLQP-EDFATYYCQQYNI----------------------------YPLTFG-QGTKVEIK-"/>
    <s v="hv3"/>
    <s v="kv1"/>
    <n v="0.99282760000000003"/>
    <n v="0.99856484000000001"/>
    <n v="8.2746863999999998E-4"/>
    <n v="1"/>
    <n v="1"/>
    <n v="0"/>
  </r>
  <r>
    <x v="301"/>
    <x v="6"/>
    <x v="0"/>
    <s v="QVQ-LQQPGA-ELVRPGASVKLSCKASGYTF---------TSYWMQ-WVKQ-R-P-G-Q--G-LE-WIGAIYPG-----------SGDTSY--N--Q--KF--K---GKATLTA-D---K-S--SS----T-AYMQLSSLTS-DDSAVYYCSRSDPYYD---------------------YYYYAMDYWG-QGTSVTVSS"/>
    <s v="DIV-LTQSPASLAVSLGQRATISCRASESVDN-------YGISSMN-WFQQ-K-P-G-Q--P-PK-LLIYAA----------------SNQ--G--S--GV--P---ARFSGSG-------S--GT----D-FSLNIHPMEE-DDTAMYFCQQSKE----------------------------VPWTFG-GGTKLEIK-"/>
    <s v="hv1"/>
    <s v="kv7"/>
    <n v="0.60528150000000003"/>
    <n v="4.6036669999999998E-8"/>
    <n v="5.6267097999999998E-9"/>
    <n v="1"/>
    <n v="0"/>
    <n v="0"/>
  </r>
  <r>
    <x v="302"/>
    <x v="6"/>
    <x v="0"/>
    <s v="QVQ-LVQSGA-EVKKPGASVKVSCKASGYTF---------TDYYIH-WVRQ-A-P-G-Q--G-LE-WMGWISTY-----------NGNTNY--A--Q--KF--Q---GRVTMTT-D---T-S--TS----T-AYMEL---RS-DDTAVYYCARGLGV--------------------------GYLDYWG-QGTLVTVSS"/>
    <s v="DIV-MTQSPLSLPVTPGEPASISCRSSQSLVHS-----DGYNFYLA-WHQQ-K-P-G-Q--P-PK-LLIHLKS--------------VSNL--E--S--GV--P---SRFSGSG-------S--GT----D-FTLKISRVEA-EDVGLYYCMQELQ----------------------------TPWTFG-QGTKVEIK-"/>
    <s v="hv1"/>
    <s v="kv2"/>
    <n v="0.99997239999999998"/>
    <n v="0.99539053"/>
    <n v="7.0060740000000002E-3"/>
    <n v="1"/>
    <n v="1"/>
    <n v="0"/>
  </r>
  <r>
    <x v="303"/>
    <x v="6"/>
    <x v="0"/>
    <s v="EVQ-LVESGG-GLVQPGGSLRLSCAASGFNI---------YYSSIH-WVRQ-A-P-G-K--G-LE-WVASIYSY-----------YGSTSY--A--D--SV--K---GRFTISA-D---T-S--KN----T-AYLQM---RA-EDTAVYYCARTSR---------------------------YEG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8622999999998"/>
    <n v="0.99933510000000003"/>
    <n v="0.99594470000000002"/>
    <n v="1"/>
    <n v="1"/>
    <n v="1"/>
  </r>
  <r>
    <x v="304"/>
    <x v="6"/>
    <x v="0"/>
    <e v="#NAME?"/>
    <s v="EIV-LTQSPATLSLSPGERATLSCRASQSV-----------SSYLA-WYQQ-K-P-G-Q--A-PR-LLIYDA----------------SNR--A--T--GI--P---ARFSGSG-------S--GT----D-FTLTISSLEP-EDFAVYYCQQANS---------------------------WPPFTFG-QGTKLEIK-"/>
    <s v="hv1"/>
    <s v="kv3"/>
    <n v="0.9910175"/>
    <n v="0.99999994000000003"/>
    <n v="0.99998430000000005"/>
    <n v="1"/>
    <n v="1"/>
    <n v="1"/>
  </r>
  <r>
    <x v="305"/>
    <x v="6"/>
    <x v="0"/>
    <s v="EVQ-LVQSGA-EVKKPGASVKVSCKASGYTF---------TSYYMH-WVRQ-A-P-G-Q--G-LE-WMGWINNS------------GGTNY--A--Q--KF--Q---GRVTMTR-D---T-S--TS----T-VYMELSSLRS-DDTAVYYCAREVG----------------------------GFAYWG-QGTLVTVSS"/>
    <s v="DIQ-MTQSPSSLSASVGDRVTITCRASQSI-----------SSYLN-WFQQ-K-P-G-K--A-PK-LLIYAA----------------SSL--Q--S--GV--P---SRFSGSG-------S--GT----D-FTLTISSLQP-EDFATYYCQQSYS----------------------------TPRTFG-QGTKVEIK-"/>
    <s v="hv1"/>
    <s v="kv1"/>
    <n v="0.96536999999999995"/>
    <n v="0.99999994000000003"/>
    <n v="0.99756473000000001"/>
    <n v="1"/>
    <n v="1"/>
    <n v="1"/>
  </r>
  <r>
    <x v="306"/>
    <x v="6"/>
    <x v="0"/>
    <s v="DVQ-LQESGG-GLVQPGGSLRLSCAASGFNF----------SYAMC-WVRQ-A-P-G-K--G-LE-WVAYITQK-----------GGTISK--A--DV-SF--K---GRFTISR-D---N-S--EN----T-LYLQM---RV-EDTAVYYCARAVS----------------------------YS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893540000000003"/>
    <n v="0.99933510000000003"/>
    <n v="0.99815905000000005"/>
    <n v="1"/>
    <n v="1"/>
    <n v="1"/>
  </r>
  <r>
    <x v="307"/>
    <x v="6"/>
    <x v="0"/>
    <e v="#NAME?"/>
    <s v="DIQ-MTQSPSSLSASVGDRVTITCRASQSV-----------SSAVA-WYQQ-K-P-G-K--A-PK-LLIYSA----------------SSL--Y--S--GV--P---SRFSGSR-------S--GT----D-FTLTISSLQP-EDFATYYCQQYKY----------------------------VPVTFG-QGTKVEIK-"/>
    <s v="hv3"/>
    <s v="kv1"/>
    <n v="0.99549319999999997"/>
    <n v="0.99933510000000003"/>
    <n v="0.2930239"/>
    <n v="1"/>
    <n v="1"/>
    <n v="0"/>
  </r>
  <r>
    <x v="308"/>
    <x v="6"/>
    <x v="0"/>
    <e v="#NAME?"/>
    <s v="EIV-LTQSPGILSLSPGERATLSCRASQSVS----------SSYLA-WYQQ-K-P-G-Q--A-PR-LLIYGA----------------SSR--A--T--GI--P---DRFSGSG-------S--GT----D-FTLTISRLEP-EDFAVYYCQQYGS----------------------------SPRTFG-QGTKVEIK-"/>
    <s v="hv1"/>
    <s v="kv3"/>
    <n v="0.99998503999999999"/>
    <n v="0.99999994000000003"/>
    <n v="0.99022319999999997"/>
    <n v="1"/>
    <n v="1"/>
    <n v="1"/>
  </r>
  <r>
    <x v="309"/>
    <x v="6"/>
    <x v="0"/>
    <s v="QVQ-LVESGG-GVVQPGRSLRLSCAASGFTF---------SSYGMH-WVRQ-A-P-G-K--G-LE-WVAVISYD-----------GSNKYY--A--D--SV--K---GRFTISR-D---N-S--KN----T-LYLQMNSLRA-EDTAVYYCARQLG---------------------------AGFDYWG-QGTLVTVSS"/>
    <s v="DIQ-MTQSPSSLSASVGDRVTITCRASQGI-----------RNDLG-WYQQ-K-P-G-K--A-PK-LLISAA----------------STL--Q--S--GV--P---SRFSGSG-------S--GT----D-FTLTISSLQP-EDFATYYCQQDL-----------------------------SLPTFG-GGTKVEIK-"/>
    <s v="hv3"/>
    <s v="kv1"/>
    <n v="0.80447303999999997"/>
    <n v="0.99999994000000003"/>
    <n v="2.8699381E-2"/>
    <n v="1"/>
    <n v="1"/>
    <n v="0"/>
  </r>
  <r>
    <x v="310"/>
    <x v="6"/>
    <x v="0"/>
    <s v="EVQ-LVESGG-GLVQPGGSLRLSCAASGFTF---------SDYYMS-WIRQ-A-P-G-K--G-LE-WVASISPY-----------SSSTYY--A--D--SV--K---GRFTISA-D---T-S--KN----T-AYLQMNSLRA-EDTAVYYCARDLG---------------------------HYYDVWG-QGTLVTVSS"/>
    <s v="DIQ-MTQSPSSLSASVGDRVTITCRASQSV-----------SSAVA-WYQQ-K-P-G-K--A-PK-LLIYSA----------------SSL--Y--S--GV--P---SRFSGSR-------S--GT----D-FTLTISSLQP-EDFATYYCQQYYE---------------------------WPPFTFG-QGTKVEIK-"/>
    <s v="hv3"/>
    <s v="kv1"/>
    <n v="0.99926139999999997"/>
    <n v="0.99982905"/>
    <n v="0.102104135"/>
    <n v="1"/>
    <n v="1"/>
    <n v="0"/>
  </r>
  <r>
    <x v="311"/>
    <x v="6"/>
    <x v="0"/>
    <s v="QVQ-LVQSGA-EVKKPGASVKVSCKASGYTF---------TSYGIS-WVRQ-A-P-G-Q--G-LE-WMGWISTY-----------NGNTNY--A--Q--KF--Q---GRVTMTT-D---T-S--TS----T-AYMEL---RS-DDTAVYYCARDPY---------------------------YGSDVWG-QGTTVTVSS"/>
    <s v="DIV-MTQSPDSLAVSLGERATINCKSSQNN-----------KNYLA-WYQQ-K-P-G-Q--P-PK-LLIYWA----------------STR--E--S--GV--P---DRFSGSG-------S--GT----D-FTLTISSLQA-EDVAVYHCQQYYS----------------------------SPYTFG-GGTKLEIK-"/>
    <s v="hv1"/>
    <s v="kv4"/>
    <n v="0.99993246999999996"/>
    <n v="0.99999994000000003"/>
    <n v="7.0409730000000003E-6"/>
    <n v="1"/>
    <n v="1"/>
    <n v="0"/>
  </r>
  <r>
    <x v="312"/>
    <x v="6"/>
    <x v="0"/>
    <s v="DVQ-LQESGP-SLVKPSQTLSLTCSVTGDSI---------TSDYWS-WIRK-F-P-G-N--R-LE-YMGYVSYS------------GSTYY--N--P--SL--K---SRISITR-D---T-S--KN----Q-FFLQLNSVTT-EDTATYYCARPYYYG------------------------GRAMDYWG-QGTSVTVSS"/>
    <s v="DIV-LTQSPASLAVSLGQRATISCRASESVDN-------YGISFMN-WFQQ-K-P-G-Q--P-PK-LLIYAA----------------SNQ--G--S--GV--P---ARFSGSG-------S--GT----D-FSLNIHPMEE-DDTAMYFCQQSKE----------------------------VPYTFG-GGTKLEIK-"/>
    <s v="hv4"/>
    <s v="kv7"/>
    <n v="1.885385E-8"/>
    <n v="7.3330895E-8"/>
    <n v="6.8275560000000001E-6"/>
    <n v="0"/>
    <n v="0"/>
    <n v="0"/>
  </r>
  <r>
    <x v="313"/>
    <x v="6"/>
    <x v="0"/>
    <s v="QVQ-LVQSGS-ELKKPGASVKVSCKASGYTF---------TNYGIS-WVRQ-A-P-G-Q--G-LE-WMGWISAY-----------NGNTNY--A--Q--KL--Q---GRVTMTT-D---T-S--TS----T-AYMELRSLRS-DDTAVYYCARDPS----------------------------SYDVWG-KGTTVTVSS"/>
    <s v="EIV-LTQSPATLSLSPGERATLSCRASQSV-----------SSYLA-WYQQ-K-P-G-Q--A-PR-LLIYDA----------------SNR--A--T--GI--P---ARFSGSG-------S--GT----D-FTLTISSLEP-EDFAVYYCQQRRN----------------------------WPLTFG-GGTKVEIK-"/>
    <s v="hv1"/>
    <s v="kv3"/>
    <n v="0.99999959999999999"/>
    <n v="0.99999994000000003"/>
    <n v="0.99967813000000005"/>
    <n v="1"/>
    <n v="1"/>
    <n v="1"/>
  </r>
  <r>
    <x v="314"/>
    <x v="6"/>
    <x v="0"/>
    <s v="QVQ-LVESGG-GVVQPGRSLRLSCAASGFTF---------SSYGMH-WVRQ-A-P-G-K--G-LE-WVAVIWDG------------SNKFY--A--D--SV--K---GRFTISR-D---N-S--KN----T-LYLQM---RA-EDTAVYYCARDLITL-----------------------GSDYYDVWG-QGTTVTVSS"/>
    <s v="DIQ-MTQSPSSLSASVGDRVTITCRASQSV-----------SSAVA-WYQQ-K-P-G-K--A-PK-LLIYSA----------------SSL--Y--S--GV--P---SRFSGSR-------S--GT----D-FTLTISSLQP-EDFATYYCQQYSS----------------------------YPITFG-QGTKVEIK-"/>
    <s v="hv3"/>
    <s v="kv1"/>
    <n v="0.99999945999999995"/>
    <n v="0.99991876000000002"/>
    <n v="0.99864286000000002"/>
    <n v="1"/>
    <n v="1"/>
    <n v="1"/>
  </r>
  <r>
    <x v="315"/>
    <x v="6"/>
    <x v="0"/>
    <s v="QLQ-LQESGP-GLVKPSETLSLTCTVSGDSI---------SSYYWS-WIRQ-P-P-G-K--G-LE-WIGYIYYS------------GSTNY--N--P--SL--K---SRVTISV-D---T-S--KN----Q-FSLKL---TA-ADTAVYYCARAAY----------------------------YGDYWG-QGALVTVSS"/>
    <s v="DIQ-MTQSPSSLSASVGDRVTITCQASQDI-----------NKYLN-WYQQ-K-P-G-K--A-PK-LLIYDA----------------SNL--K--T--GV--P---SRFSGSG-------S--GT----D-FTLTISSLQP-EDFATYYCLQHN-----------------------------SYRTFG-QGTKLEIK-"/>
    <s v="hv4"/>
    <s v="kv1"/>
    <n v="0.99999400000000005"/>
    <n v="0.99999994000000003"/>
    <n v="0.75651230000000003"/>
    <n v="1"/>
    <n v="1"/>
    <n v="1"/>
  </r>
  <r>
    <x v="316"/>
    <x v="6"/>
    <x v="0"/>
    <s v="QVQ-LQQPGA-ELVKPGASVKLSCKASGFTF----------SDYIH-WVRQ-T-T-G-K--G-LE-WMGMIIN-------------SGTNY--A--Q--KF--Q---GKVTMTR-D---T-S--TS----T-AYMEL---RS-EDTAVYYCAREGAY-------------------------GYAMDYWG-QGTSVTVSS"/>
    <s v="DIV-LTQSPASLAVSLGQRATISCRASEYG-----------ISFMN-WFQQ-K-P-G-Q--P-PK-LLISAT----------------SNQ--G--S--GV--P---ARFIGSG-------S--GT----D-FSLNIHPVEE-DDTAMYFCQQSKE----------------------------VPYTFG-GGTKLEIK-"/>
    <s v="hv1"/>
    <s v="kv7"/>
    <n v="0.99448080000000005"/>
    <n v="4.2245694E-7"/>
    <n v="2.9003428000000001E-11"/>
    <n v="1"/>
    <n v="0"/>
    <n v="0"/>
  </r>
  <r>
    <x v="317"/>
    <x v="6"/>
    <x v="0"/>
    <s v="EVQ-LVESGG-GLVKPGGSLKLSCAASGFTF---------SSYAMS-WVRQ-T-P-E-K--R-LE-WVATISGG------------SYTYY--P--D--SV--K---GRFTISR-D---N-A--KN----T-LYLQMSSLRS-EDTAMYYCSREGYRSY----------------------DYYGMDVWG-QGTTVTVSS"/>
    <s v="SYE-LTQPPS-VSVSPGQTASISCSGTSDIG---------TNFDYA-WYQQ-K-P-G-Q--S-PV-LVLYQD----------------SKR--P--S--GI--P---ERFSGSN-------S--GN----T-ATLTISGTQA-MDEADYYCQAWDS---------------------------SSDYVFG-TGTKVTVG-"/>
    <s v="hv3"/>
    <s v="lv3"/>
    <n v="0.47306271999999999"/>
    <n v="0.99984240000000002"/>
    <n v="2.6581871999999999E-3"/>
    <n v="0"/>
    <n v="1"/>
    <n v="0"/>
  </r>
  <r>
    <x v="318"/>
    <x v="6"/>
    <x v="0"/>
    <s v="QVQ-LVESGG-GLVQPGGSLRLSCAASGFNF---------SYYSMH-WVRQ-A-P-G-K--G-LE-WVATIYSS-----------YGLTYY--A--D--SV--K---GRFTISA-D---T-S--KN----T-AYLQMNSLRA-EDTAVYYCARYYYGSG---------------------SYWYPPWYWG-QGTLVTVSA"/>
    <s v="QTV-VTQEPS-FSVTPGGTVTLTCGLSSGSV---------STSYAN-WYQQ-K-P-G-Q--A-PR-TLIYSG---------------STRR--P--S--GV--P---DRFSGSK-------S--GT----S-AYL--SGLKAIRADGVYYCQGYDS---------------------------SDHWVFG-GGTKLTVL-"/>
    <s v="hv3"/>
    <s v="lv8"/>
    <n v="0.99999910000000003"/>
    <n v="0.94901849999999999"/>
    <n v="0.99325319999999995"/>
    <n v="1"/>
    <n v="1"/>
    <n v="1"/>
  </r>
  <r>
    <x v="319"/>
    <x v="6"/>
    <x v="0"/>
    <s v="EVQ-LVESGG-GLVQPGGSLRLSCAASGFNI---------SSSSIH-WVRQ-A-P-G-K--G-LE-WVASIYSY-----------SGSTSY--A--D--SV--K---GRFTISA-D---T-S--KN----T-AYLQMNSLRA-EDTAVYYCARYSWYF-----------------------GYSAMDYWG-QGTLVTVSS"/>
    <s v="DIQ-MTQSPSSLSASVGDRVTITCRASQSV-----------SSAVA-WYQQ-K-P-G-K--A-PK-LLIYSA----------------SSL--Y--S--GV--P---SRFSGSR-------S--GT----D-FTLTISSLQP-EDFATYYCQQYYS----------------------------YPITFG-QGTKVEIK-"/>
    <s v="hv3"/>
    <s v="kv1"/>
    <n v="0.99999945999999995"/>
    <n v="0.99999744000000002"/>
    <n v="0.9907591"/>
    <n v="1"/>
    <n v="1"/>
    <n v="1"/>
  </r>
  <r>
    <x v="320"/>
    <x v="6"/>
    <x v="0"/>
    <e v="#NAME?"/>
    <s v="EIV-LTQSPGTLSLSPGERATLSCRASQSVS----------SSYLA-WYQQ-K-P-G-Q--A-PR-LLIYGA----------------SSR--A--T--GI--P---DRFSGSG-------S--GT----D-FTLTISRLEP-EDFAVYYCQQYGT----------------------------SPWTFG-QGTKVEIK-"/>
    <s v="hv3"/>
    <s v="kv3"/>
    <n v="0.94002470000000005"/>
    <n v="0.99999994000000003"/>
    <n v="0.99681940000000002"/>
    <n v="1"/>
    <n v="1"/>
    <n v="1"/>
  </r>
  <r>
    <x v="321"/>
    <x v="6"/>
    <x v="0"/>
    <s v="QVQ-LVQSGA-EVKKPGASVKVSCKASGYTF---------TDYYIH-WVRQ-A-P-G-Q--G-LQ-WMGWMKSG------------SNTGY--A--Q--KF--Q---GRVTMTR-D---T-S--TS----T-VYMELSSLRS-DDTAVYYCARRRGNF------------------------DLWFAYWG-QGTLVTVSS"/>
    <s v="DIQ-MTQSPSSLSASVGDRVTITCRASQDI-----------SNYLN-WYQQ-K-P-G-K--A-PK-LLIYDA----------------SNL--E--T--GV--P---SRFSGSG-------S--GT----D-FTFTISSLQP-EDIATYYCQQYDN----------------------------LPFTFG-PGTKVDIK-"/>
    <s v="hv1"/>
    <s v="kv1"/>
    <n v="0.99999519999999997"/>
    <n v="0.99999994000000003"/>
    <n v="0.80461119999999997"/>
    <n v="1"/>
    <n v="1"/>
    <n v="1"/>
  </r>
  <r>
    <x v="322"/>
    <x v="6"/>
    <x v="0"/>
    <s v="EVQ-LVESGG-GLVQPGGSLRLSCAASGFNI---------YYSSIH-WVRQ-A-P-G-K--G-LE-WVASIYSY-----------YGSTSY--A--D--SV--K---GRFTISA-D---T-S--KN----T-AYLQMNSLRA-EDTAVYYCARYGYSG------------------------YPSFDYWG-QGTLVTVSS"/>
    <s v="DIQ-LTQSPDSLAVSLGERATINCKSSQSVLYS-----SINKNYLN-WYQQ-K-P-G-Q--P-PK-LLIYWA----------------STR--E--S--GV--P---DRFSGSG-------S--GT----D-FTLTISSLQA-EDVAVYYCQQYYS----------------------------SLPTFG-QGTKVEIK-"/>
    <s v="hv3"/>
    <s v="kv4"/>
    <n v="0.99998739999999997"/>
    <n v="0.99999994000000003"/>
    <n v="1.1346433E-2"/>
    <n v="1"/>
    <n v="1"/>
    <n v="0"/>
  </r>
  <r>
    <x v="323"/>
    <x v="6"/>
    <x v="0"/>
    <e v="#NAME?"/>
    <s v="DIQ-MTQSPSSLSASVGDRVTITCRASQSV-----------SSAVA-WYQQ-K-P-G-K--A-PK-LLIYSA----------------SSL--Y--S--GV--P---SRFSGSR-------S--GT----D-FTLTISSLQP-EDFATYYCQQYNS----------------------------YPLTFG-QGTKVEIK-"/>
    <s v="hv3"/>
    <s v="kv1"/>
    <n v="0.99999300000000002"/>
    <n v="0.99962514999999996"/>
    <n v="0.64456000000000002"/>
    <n v="1"/>
    <n v="1"/>
    <n v="1"/>
  </r>
  <r>
    <x v="324"/>
    <x v="6"/>
    <x v="0"/>
    <s v="EVQ-LVESGG-GLVQPGGSLRLSCAASGFTF---------SSYWMT-WVRQ-A-P-G-K--G-LE-WVANIKQD-----------GSEKYY--V--D--SV--K---GRFTISR-D---N-A--KN----S-LYLQMNSLRA-EDTAVYYCAKES-----------------------------YGSYWG-QGTLVTVSS"/>
    <s v="DIQ-MTQSPSSLSASVGDRVTITCRASQSV-----------SSAVA-WYQQ-K-P-G-K--A-PK-LLIYSA----------------SSL--Y--S--GV--P---SRFSGSR-------S--GT----D-FTLTISSLQP-EDFATYYCQQYSY----------------------------YPFTFG-QGTKVEIK-"/>
    <s v="hv3"/>
    <s v="kv1"/>
    <n v="0.99973213999999999"/>
    <n v="0.99990325999999996"/>
    <n v="0.96626942999999998"/>
    <n v="1"/>
    <n v="1"/>
    <n v="1"/>
  </r>
  <r>
    <x v="325"/>
    <x v="6"/>
    <x v="0"/>
    <s v="QVQ-LQQPGA-ELVKPGASVKLSCKASGYTF---------TSYWMH-WVKQ-R-P-G-Q--G-LE-WIGEIYPG-----------DGDTNY--N--E--KF--K---GKATLTA-D---K-S--SS----T-AYMQLSSLTS-EDSAVYYCARVSY----------------------------YFDYWG-QGTTLTVSS"/>
    <s v="DIV-LTQSPAIMSASPGEKVTMTCSASSSV-----------SYMIY-WYQQ-K-S-G-S--S-PR-LLIYDT----------------SRR--A--S--GV--P---DRFSGSG-------S--GT----S-YSLTISSMEA-EDAATYYCQQYHS----------------------------YPRTFG-GGTKLEIK-"/>
    <s v="hv1"/>
    <s v="lv3"/>
    <n v="0.72606329999999997"/>
    <n v="3.2835786000000002E-8"/>
    <n v="1.5225614E-9"/>
    <n v="1"/>
    <n v="0"/>
    <n v="0"/>
  </r>
  <r>
    <x v="326"/>
    <x v="6"/>
    <x v="0"/>
    <s v="EVQ-LVQSGA-EVKKPGESLRISCKGSGYSF---------STYWIG-WVRQ-M-P-G-K--G-LE-WMGRIDP-------------SDSYT--S--P--SF--E---GQVTISA-D---K-S--IS----T-AYLQW---KA-SDTAMYYCARGNGL--------------------------FGGDYWG-QGTLVTVSS"/>
    <s v="DIQ-MTQSPSSLSASVGDRVTITCSASSRV------------SYMY-WYQQ-K-P-G-K--A-PK-LLIYSA----------------SSL--E--S--GV--P---SRFSGSG-------S--GT----D-FTLTISSLQP-EDFATYYCQQYNS----------------------------YPLTFG-GGTKVEIK-"/>
    <s v="hv5"/>
    <s v="kv1"/>
    <n v="0.99999994000000003"/>
    <n v="0.10869411"/>
    <n v="4.0896336000000001E-4"/>
    <n v="1"/>
    <n v="0"/>
    <n v="0"/>
  </r>
  <r>
    <x v="327"/>
    <x v="6"/>
    <x v="0"/>
    <s v="QVQ-LQESGP-GLVKPSQTLSLTCTVSGDSIS--------NSYYWS-WIRQ-P-P-G-K--G-LE-WIGYIYYS------------GSTNY--N--P--SL--K---SRVTVTSDD---K-S--SN----S-LYLQLNSLRA-EDTAVYYCARDAWYYG----------------------SGSYFDYWG-QGTLVTVSS"/>
    <s v="DIQ-MTQSPSSLSASVGDRVTITCRASQSV-----------SSAVA-WYQQ-K-P-G-K--A-PK-LLIYSA----------------SSL--Y--S--GV--P---SRFSGSR-------S--GT----D-FTLTISSLQP-EDFATYYCQQYKY----------------------------VPVTFG-QGTKVEIK-"/>
    <s v="hv4"/>
    <s v="kv1"/>
    <n v="0.99998790000000004"/>
    <n v="0.99933510000000003"/>
    <n v="0.6673019"/>
    <n v="1"/>
    <n v="1"/>
    <n v="1"/>
  </r>
  <r>
    <x v="328"/>
    <x v="6"/>
    <x v="0"/>
    <s v="QVQ-LVESGG-GLVQPGGSLRLSCAASGFTF---------STYAMH-WVRQ-A-P-G-K--G-LE-WVAGIYAS-----------GGTTYY--A--D--SV--K---GRFTISR-D---N-S--KN----T-LYLQMNSLRA-EDTAVYYCAKDLGY-------------------------GNSFDYWG-QGTLVTVSS"/>
    <s v="DIQ-MTQSPSSLSASVGDRVTITCRASQSV-----------SSAVA-WYQQ-K-P-G-K--A-PK-LLIYSA----------------SFL--Y--S--GV--P---SRFSGSR-------S--GT----D-FTLTISSLQP-EDFATYYCQQSYS----------------------------TLWTFG-QGTKVEIK-"/>
    <s v="hv3"/>
    <s v="kv1"/>
    <n v="0.99994176999999995"/>
    <n v="0.99999994000000003"/>
    <n v="0.98584070000000001"/>
    <n v="1"/>
    <n v="1"/>
    <n v="1"/>
  </r>
  <r>
    <x v="329"/>
    <x v="6"/>
    <x v="0"/>
    <s v="QVQ-LQESGP-GLVKPSETLSLTCTVSGGSI---------SSSNWG-WIRQ-P-P-G-K--G-LE-WIGYIYYS------------GSTDY--N--P--SL--K---SRVTISV-D---T-S--KN----Q-FSLKL---TA-ADTAVYYCARGS------------------------------YSTWG-QGTLVTVSS"/>
    <s v="EIV-MTQSPATLSVSPGERATLSCRASQSV-----------SSNLA-WYQQ-K-P-G-Q--A-PR-LLIYGA----------------STR--A--T--GI--P---ARFSGSG-------S--GT----E-FTLTISSLQS-EDFAVYYCQHYNS---------------------------WPPWTFG-QGTKVEIK-"/>
    <s v="hv4"/>
    <s v="kv3"/>
    <n v="0.99999696000000005"/>
    <n v="0.99999994000000003"/>
    <n v="0.89750344000000004"/>
    <n v="1"/>
    <n v="1"/>
    <n v="1"/>
  </r>
  <r>
    <x v="330"/>
    <x v="6"/>
    <x v="0"/>
    <s v="EVQ-LLESGG-GLVQPGGSLRLSCAASGFTF---------SSYWMS-WVRQ-A-P-G-K--G-LE-WVANIKQD-----------GGEKYY--V--D--SV--K---GRFTISR-D---N-S--KN----T-LYLQMNSLRA-EDTAVYYCARGGWAG------------------------YDYFDYWG-QGTLVTVSS"/>
    <s v="DIQ-MTQTTSSLSASLGDRVTISCRASQDI-----------SNYLN-WYQQ-K-P-D-G--T-VK-LLIYYT----------------SRL--H--S--GV--P---SRFSGSG-------S--GT----D-YSLTISNLEQ-EDIATYFCQQGNT----------------------------LPPTFG-AGTKLELK-"/>
    <s v="hv3"/>
    <s v="kv1"/>
    <n v="0.99999994000000003"/>
    <n v="4.658387E-8"/>
    <n v="1.0080408499999999E-8"/>
    <n v="1"/>
    <n v="0"/>
    <n v="0"/>
  </r>
  <r>
    <x v="331"/>
    <x v="6"/>
    <x v="0"/>
    <s v="EVQ-LVQSGA-EVKKPGASVKVSCKASGYTF---------TSYGIS-WVRQ-A-P-G-Q--G-LE-WMGWISTY-----------NGNTNY--A--Q--KF--Q---GRVTMTT-D---T-S--TT----T-GYMELRRLRS-DDTAVYYCARDYTRGAWF-----------------GESLIGGFDNWG-QGTLVTVSS"/>
    <s v="EIV-LTQSPGTLSLSPGERATLSCRASQTVS----------STSLA-WYQQ-K-P-G-Q--A-PR-LLIYGA----------------SSR--A--T--GI--P---DRFTGSG-------S--GT----D-FTLTISRLEP-EDFAVYYCQQFGD----------------------------SPFTFG-QGTKLEIK-"/>
    <s v="hv1"/>
    <s v="kv3"/>
    <n v="0.99999979999999999"/>
    <n v="0.99999994000000003"/>
    <n v="0.97305494999999997"/>
    <n v="1"/>
    <n v="1"/>
    <n v="1"/>
  </r>
  <r>
    <x v="332"/>
    <x v="6"/>
    <x v="0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333"/>
    <x v="6"/>
    <x v="0"/>
    <s v="QVQ-LVQSGA-EVKKPGSSVKVSCKASGGTF---------SSYAIS-WVRQ-A-P-G-Q--G-LE-WMGGIIIF------------GTANY--A--Q--KF--Q---GRVTITA-D---K-S--TS----T-AYMEL---RS-EDTAVYYCAREGTL-------------------------GYYFDYWG-QGTLVTVSS"/>
    <s v="DIQ-MTQSPSSLSASVGDRVTITCRASQGI-----------SSYLA-WYQQ-K-P-G-K--A-PK-LLIYAA----------------STL--Q--S--GV--P---SRFSGSG-------S--GT----D-FTLTISSLQP-EDFATYYCQQDY-----------------------------FPLTFG-GGTKVEIK-"/>
    <s v="hv1"/>
    <s v="kv1"/>
    <n v="0.99999970000000005"/>
    <n v="0.99999979999999999"/>
    <n v="0.99332434000000003"/>
    <n v="1"/>
    <n v="1"/>
    <n v="1"/>
  </r>
  <r>
    <x v="334"/>
    <x v="6"/>
    <x v="0"/>
    <s v="EVQ-LLESGG-GLVQPGGSLRLSCAASGFTF---------SSYAMS-WVRQ-A-P-G-K--G-LE-WVSAISGS-----------GGSTYY--A--D--SV--K---GRFTISR-D---N-S--KN----T-LYLQMNSLRA-EDTAVYYCARG-------------------------------GQYWG-QGTLVTVSS"/>
    <s v="DIQ-MTQSPS-MSASVGDRVTITCRASQGI-----------SSWLA-WYQQ-K-P-G-K--A-PK-LLIYDA----------------SSL--Q--S--GV--P---SRFSGSG-------S--GT----E-FTLTISSLQP-EDFATYYCQQLNS---------------------------DPPWTFG-QGTKVEIK-"/>
    <s v="hv3"/>
    <s v="kv1"/>
    <n v="0.99999910000000003"/>
    <n v="0.99984980000000001"/>
    <n v="0.99765689999999996"/>
    <n v="1"/>
    <n v="1"/>
    <n v="1"/>
  </r>
  <r>
    <x v="335"/>
    <x v="6"/>
    <x v="0"/>
    <s v="QVQ-LQQPGA-ELVKPGASVKLSCKASGYTF---------TSDWIH-WVKQ-R-P-G-Q--G-LE-WIGDIIPS-----------YGRANY--N--E--KI--Q---KKATLTA-D---K-S--SS----T-AFMQLSSLTS-EDSAVYYCARERG---------------------------NYGDYWG-QGTTLTVSS"/>
    <s v="DIV-LTQSPASLAVSLGQRATISCRASESV------------EYMH-WYQQ-K-P-G-Q--P-PK-LLIYLA----------------SNL--E--S--GV--P---ARFNGSG-------S--GT----D-FTLNIHPVEE-EDAATYYCHHSR-----------------------------ELPSFG-GGTKLEIK-"/>
    <s v="hv1"/>
    <s v="kv6"/>
    <n v="0.61465484000000004"/>
    <n v="3.9342360000000002E-7"/>
    <n v="2.1771003000000001E-8"/>
    <n v="1"/>
    <n v="0"/>
    <n v="0"/>
  </r>
  <r>
    <x v="336"/>
    <x v="6"/>
    <x v="0"/>
    <s v="QVQ-LQESGP-GLVKPSETLSLTCTVSGGSI---------SNYYWS-WIRQ-S-P-G-K--G-LE-WIGYIYYS------------GSTYY--N--P--SL--K---SRVIISV-D---T-S--KN----Q-FSLKL---TA-ADTAVYYCARGTY----------------------------YYDHWG-QGTLVTVSS"/>
    <s v="DIQ-MTQSPSSLSASVGDRVTITCRASQSI-----------SSYLN-WYQQ-K-P-G-K--A-PK-LLIYAA----------------SSL--Q--S--GV--P---SRFSGSG-------S--GT----D-FTLTISSLQP-EDFATYYCQQSYS----------------------------TPYTFG-QGTKLEIK-"/>
    <s v="hv4"/>
    <s v="kv1"/>
    <n v="0.99999959999999999"/>
    <n v="0.99999994000000003"/>
    <n v="0.96522706999999996"/>
    <n v="1"/>
    <n v="1"/>
    <n v="1"/>
  </r>
  <r>
    <x v="337"/>
    <x v="6"/>
    <x v="0"/>
    <s v="DVQ-LQESGP-GLVAPSQSLSITCTVSGFSL---------TNYAVH-WVRQ-S-P-G-K--G-LE-WLGVIWSG------------GNTDY--N--A--AF--I---SRLSISK-D---N-S--KS----Q-VFFKMNSLQA-DDTAIYYCARKLN---------------------------YGMDVWG-QGTTVTVSS"/>
    <s v="DIV-LTQSPASLAVSLRRRATISCRASESVDG-------YGHSFMH-WYQQ-K-S-G-Q--P-PK-LLIYRA----------------SNL--E--S--GV--P---ARFSGSG-------S--RT----D-FTLTIDPVEA-DDAATYYCQQNNE----------------------------DPYTFG-SGTKLEIK-"/>
    <s v="hv2"/>
    <s v="kv7"/>
    <n v="6.388876E-8"/>
    <n v="8.0199110000000002E-7"/>
    <n v="5.2059434000000002E-2"/>
    <n v="0"/>
    <n v="0"/>
    <n v="0"/>
  </r>
  <r>
    <x v="338"/>
    <x v="6"/>
    <x v="0"/>
    <s v="QVQ-LQQSGP-GLVKPSQTLSLTCTVSGGSI---------SSYYWS-WIRQ-P-P-G-K--G-LE-WIGYIYYS------------GSTNY--N--P--SL--K---SRVTISV-D---T-S--KN----Q-FSLKLSSVTA-ADTAVYYCARVPY---------------------------YYDVYWG-QGTLVTVSS"/>
    <s v="DIQ-MTQSPSSLSASVGDRVTITCRASQSI-----------SSYLN-WYQQ-K-P-G-K--A-PK-LLIYAA----------------SSL--Q--S--GV--P---SRFSGSG-------S--GT----D-FTLTISSLQP-EDFATYYCQQANS----------------------------FPPTFG-PGTKVEIK-"/>
    <s v="hv4"/>
    <s v="kv1"/>
    <n v="0.99981310000000001"/>
    <n v="0.99999994000000003"/>
    <n v="0.10693626000000001"/>
    <n v="1"/>
    <n v="1"/>
    <n v="0"/>
  </r>
  <r>
    <x v="339"/>
    <x v="6"/>
    <x v="0"/>
    <s v="EVQ-LVESGG-GLVQPGGSLRLSCAASGFTF---------SSYWMS-WVRQ-A-P-G-K--G-LE-WVANINQD------------GGEKY--A--A--SV--K---GRFTISR-D---N-A--KN----S-LYLQMNSLRA-EDTAVYYCAREGFY--------------------------YGMDVWG-QGTTVTVSS"/>
    <s v="DIQ-MTQSPSSLSASVGDRVTITCRASQSV-----------SSAVA-WYQQ-K-P-G-K--A-PK-LLIYSA----------------SSL--Y--S--GV--P---SRFSGSR-------S--GT----D-FTLTISSLQP-EDFATYYCQQGSS----------------------------PLITFG-QGTKVEIK-"/>
    <s v="hv3"/>
    <s v="kv1"/>
    <n v="0.99926079999999995"/>
    <n v="0.99969079999999999"/>
    <n v="0.42023468000000003"/>
    <n v="1"/>
    <n v="1"/>
    <n v="0"/>
  </r>
  <r>
    <x v="340"/>
    <x v="6"/>
    <x v="0"/>
    <s v="EVQ-LVESGG-GLVQPGGSLRLSCAASGFTF---------SSYWMS-WVRQ-A-P-G-K--G-LE-WVANIKQD-----------GSEKYY--V--D--SV--K---GRFTISR-D---N-A--KN----S-LYLQMNSLRA-EDTAVYYCARDLSS-------------------------LSGGDIWG-QGTMVTVSS"/>
    <s v="EIV-LTQSPGTLSLSPGERATLSCRASQSVS----------SSYLA-WYQQ-K-P-G-Q--A-PR-LLIYGA----------------SSR--A--T--GI--P---DRFSGSG-------S--GT----D-FTLTISRLEP-EDFAVYYCQQYGTS--------------------------PRLLTFG-GGTKVEIK-"/>
    <s v="hv3"/>
    <s v="kv3"/>
    <n v="0.62798494000000005"/>
    <n v="0.99999994000000003"/>
    <n v="0.99803233000000002"/>
    <n v="1"/>
    <n v="1"/>
    <n v="1"/>
  </r>
  <r>
    <x v="341"/>
    <x v="6"/>
    <x v="0"/>
    <s v="QVQ-LQQPGA-ELVKPGASVKLSCKASGYAF---------SDYWMN-WVKQ-R-P-G-Q--G-LE-WIGMIDPS------------DSETK--N--Q--KF--K---DKATLTV-D---K-S--ST----T-AYMQLSSPTS-EDSAVYYCARRVY---------------------------YGSDYWG-QGTTLTVSS"/>
    <s v="DIV-MTQSPATLSVTPGDSVSLSCRASQSI-----------SDNLH-WYQQ-K-S-H-E--S-PR-LLIKYTS--------------QSGI--P--S--GI--P---SRFSGSG-------S--GT----D-FTLSINSVET-EDFGMYFCQQSNS----------------------------WPLTFG-AGTKLELK-"/>
    <s v="hv1"/>
    <s v="kv3"/>
    <n v="0.95714825000000003"/>
    <n v="6.8040640000000001E-7"/>
    <n v="1.1494091E-2"/>
    <n v="1"/>
    <n v="0"/>
    <n v="0"/>
  </r>
  <r>
    <x v="342"/>
    <x v="6"/>
    <x v="0"/>
    <s v="QVQ-LVESGG-GVVQPGRSLRLSCAASGFTF---------SSYAMH-WVRQ-A-P-G-K--G-LE-WVAVIWYD-----------GSNKYY--A--D--SV--K---GRFTISR-D---N-S--KN----T-LYLQMNSLRA-EDTAVYYCARVRHGGTG--------------------YWGYAMDYWG-QGTLVTVSS"/>
    <s v="DIQ-MTQSPSSLSASVGDRVTITCQASQDI-----------SNYLN-WYQQ-K-P-G-K--A-PK-LLIYDA----------------SNL--E--T--GV--P---SRFSGSG-------S--GT----D-FTFTISSLQP-EDIATYYCQQYDN----------------------------LPLTFG-GGTKVEIK-"/>
    <s v="hv3"/>
    <s v="kv1"/>
    <n v="0.99998419999999999"/>
    <n v="0.99999994000000003"/>
    <n v="0.99999994000000003"/>
    <n v="1"/>
    <n v="1"/>
    <n v="1"/>
  </r>
  <r>
    <x v="343"/>
    <x v="6"/>
    <x v="0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344"/>
    <x v="6"/>
    <x v="0"/>
    <s v="-VQ-LQQSGA-ELVKPGASVKLSCTASGFNI---------KDTYMY-WVKQ-R-P-E-Q--G-LE-WIGRIDPA-----------NGNTKY--N--E--KF--K---DKATLTA-D---K-S--SS----T-AYMQLSSLTS-EDSAVYYCARERGD--------------------------GYFAVWG-AGTTVTVSS"/>
    <s v="DVL-MTQTPLSLPVSLGDQASISCRSSQGI-----------NNYLH-WYLQ-K-P-G-Q--S-PK-LLIYKV----------------SNR--F--S--GV--P---DRFSGSG-------S--GT----D-FTLKISRVEA-EDLGVYYCFQGSH----------------------------VPWTFG-GGTKLEIK-"/>
    <s v="hv1"/>
    <s v="lv5"/>
    <n v="3.0017666999999999E-5"/>
    <n v="2.1175284000000001E-8"/>
    <n v="3.4550206999999999E-3"/>
    <n v="0"/>
    <n v="0"/>
    <n v="0"/>
  </r>
  <r>
    <x v="345"/>
    <x v="6"/>
    <x v="0"/>
    <s v="QVQ-LVQSGA-EVKKPGASVKVSCKASGYTF---------TGYYIH-WVRQ-A-P-G-Q--G-LE-WMGWISAY-----------NGNTNY--A--Q--KF--Q---GRVTMTT-D---T-S--TS----T-AYMELRSLRS-DDTAVYYCAREGAY--------------------------GYRDLWG-QGTLVTVSS"/>
    <s v="EIV-LTQSPGTLSLSPGERATLSCRASQSVS----------SSYLA-WYQQ-K-P-G-Q--A-PR-LLIYGA----------------SSR--A--T--GI--P---DRFSGSG-------S--GT----D-FTLTISRLEP-EDFAVYYCQQYGS----------------------------SPSTFG-QGTKVEIK-"/>
    <s v="hv1"/>
    <s v="kv3"/>
    <n v="0.99817425000000004"/>
    <n v="0.99999994000000003"/>
    <n v="0.99999970000000005"/>
    <n v="1"/>
    <n v="1"/>
    <n v="1"/>
  </r>
  <r>
    <x v="346"/>
    <x v="6"/>
    <x v="0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347"/>
    <x v="6"/>
    <x v="0"/>
    <s v="QVQ-LQQPGA-ELVKPGASVKLSCKASGYTF---------TSDWIH-WVKQ-R-P-G-H--G-LE-WIGEIINPT----------NGGTSY--N--Q--KF--K---DKATLTV-D---K-S--ST----T-SAIYL---QS-SVTSSYFCARVDY----------------------------GSDYWG-QGTLVTVSA"/>
    <s v="DIQ-MTQSPSSLSASVGDRVTITCRASQTIN----------DNHLT-WYQQ-K-P-G-K--A-PN-LLIYAA----------------SYL--E--S--GV--P---SRFSGSG-------S--GT----D-FTLTISSLQP-EDFATYYCQHNF-----------------------------YSAPFG-QGTKVEIK-"/>
    <s v="hv1"/>
    <s v="kv1"/>
    <n v="5.3929970000000001E-3"/>
    <n v="0.99997369999999997"/>
    <n v="9.2450739999999995E-5"/>
    <n v="0"/>
    <n v="1"/>
    <n v="0"/>
  </r>
  <r>
    <x v="348"/>
    <x v="6"/>
    <x v="0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349"/>
    <x v="6"/>
    <x v="0"/>
    <e v="#NAME?"/>
    <s v="DIQ-MTQSPSSLSASVGDRVTITCRASQDI-----------SNYLN-WYQQ-K-P-G-K--A-PN-LLIYAA----------------SSL--Q--S--GV--P---SRFSGSG-------S--GT----D-FTLTISSLQP-EDFATYYCQQSYS----------------------------TPRTFG-QGTKVEIK-"/>
    <s v="hv1"/>
    <s v="kv1"/>
    <n v="0.99999623999999998"/>
    <n v="0.99999994000000003"/>
    <n v="0.77285236000000002"/>
    <n v="1"/>
    <n v="1"/>
    <n v="1"/>
  </r>
  <r>
    <x v="350"/>
    <x v="0"/>
    <x v="1"/>
    <s v="EVQ-LVESGG-GLVQPGGSLRLSCAASGFNV---------YSSSIH-WVRQ-A-P-G-K--G-LE-WVASIYSS-----------SGYTSY--A--D--SV--K---GRFTISA-D---T-S--KN----T-AYLQMNSLRA-EDTAVYYCARQYTR--------------------------GSS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7666730000000002"/>
    <n v="1"/>
    <n v="1"/>
    <n v="1"/>
  </r>
  <r>
    <x v="351"/>
    <x v="0"/>
    <x v="1"/>
    <s v="QVQ-LQQSGP-ELVKPGASVKMSCKASGYTF---------TSYWMH-WVKQ-R-P-G-Q--G-LE-WIGEINHS------------GGTNY--N--E--KF--K---GKATLTA-D---K-S--SS----T-AYMQLSSLTS-EDSAVYYCARERD---------------------------GYGNYWG-QGTLVTVSA"/>
    <s v="DIV-LTQSPASLAVSLGQRATISCRASESVDN-------YGISFMN-WFQQ-K-P-G-Q--P-PK-LLIYAA----------------SNQ--G--S--GV--P---ARFSGSG-------S--GT----D-FSLNIHPMEE-DDTAMYFCQQSKE----------------------------VPYTFG-GGTKLEIK-"/>
    <s v="hv1"/>
    <s v="kv7"/>
    <n v="7.20293E-4"/>
    <n v="7.3330895E-8"/>
    <n v="2.4299029E-12"/>
    <n v="0"/>
    <n v="0"/>
    <n v="0"/>
  </r>
  <r>
    <x v="352"/>
    <x v="0"/>
    <x v="1"/>
    <s v="QVQ-LVESGG-GVVQPGRSLRLSCAASGFTF---------SSYAMH-WVRQ-A-P-G-K--G-LE-WVAVIWDG------------SNKYY--A--D--SV--K---GRFTISR-D---N-S--KN----T-LYLQMNSLRA-EDTAVYYCARELG----------------------------DYDYWG-QGTLVTVSS"/>
    <s v="DIQ-MTQSPSSLSASVGDRVTITCRASQSV-----------SSAVA-WYQQ-K-P-G-K--A-PK-LLIYSA----------------SSL--Y--S--GV--P---SRFSGSR-------S--GT----D-FTLTISSLQP-EDFATYYCQQYYN----------------------------YPVTFG-QGTKVEIK-"/>
    <s v="hv3"/>
    <s v="kv1"/>
    <n v="0.99999970000000005"/>
    <n v="0.99999170000000004"/>
    <n v="5.4641704999999999E-2"/>
    <n v="1"/>
    <n v="1"/>
    <n v="0"/>
  </r>
  <r>
    <x v="353"/>
    <x v="0"/>
    <x v="1"/>
    <s v="EVQ-LVESGG-GLVQPGGSLRLSCAASGFTF---------SNYAMS-WVRQ-A-P-G-K--G-LE-WVSSISSS-----------GGTTYY--A--D--SV--K---GRFTISR-D---N-S--KN----T-LYLQMNSLRA-EDTAVYYCARQGSY--------------------------SSYDVWG-QGTTVTVSS"/>
    <s v="DIQ-MTQSPSSLSASVGDRVTITCRASQSV-----------SSAVA-WYQQ-K-P-G-K--A-PK-LLIYSA----------------SSL--Y--S--GV--P---SRFSGSR-------S--GT----D-FTLTISSLQP-EDFATYYCQQYYN---------------------------NYRTTFG-QGTKVEIK-"/>
    <s v="hv3"/>
    <s v="kv1"/>
    <n v="0.95138763999999998"/>
    <n v="0.9999979"/>
    <n v="0.85717540000000003"/>
    <n v="1"/>
    <n v="1"/>
    <n v="1"/>
  </r>
  <r>
    <x v="354"/>
    <x v="0"/>
    <x v="1"/>
    <s v="EVQ-LVESGG-GLVKPGGSLRLSCAASGFIF---------SNYAMT-WVRQ-A-P-G-K--G-LE-WVSVIYSG------------GSTYY--A--D--SV--K---GRFTISR-D---N-S--KN----T-LYLQMNSLRA-EDTAVYYCARGPGG--------------------------YGMDVWG-QGTTVTVSS"/>
    <s v="DIQ-MTQSPSSLSASVGDRVTITCQASQDI-----------SSFLN-WYQQ-K-P-G-K--A-PK-LLIYRA----------------SN---R--L--GV--P---DRFSGSG-------S--GT----D-FTLTISSLQP-EDFATYYCQQYLY----------------------------PLFTFG-PGTKVDIK-"/>
    <s v="hv3"/>
    <s v="kv1"/>
    <n v="0.99999934000000001"/>
    <n v="0.99999802999999998"/>
    <n v="0.56659269999999995"/>
    <n v="1"/>
    <n v="1"/>
    <n v="1"/>
  </r>
  <r>
    <x v="355"/>
    <x v="0"/>
    <x v="1"/>
    <s v="EVQ-LVESGG-GLVQPGGSLRLSCAASGFNV---------SSYSIH-WVRQ-A-P-G-K--G-LE-WVASISSY-----------YGYTYY--A--D--SV--K---GRFTISA-D---T-S--KN----T-AYLQMNSLRA-EDTAVYYCARGYGY-------------------------GNYF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8944999999995"/>
    <n v="0.99933510000000003"/>
    <n v="0.99611676000000005"/>
    <n v="1"/>
    <n v="1"/>
    <n v="1"/>
  </r>
  <r>
    <x v="356"/>
    <x v="0"/>
    <x v="1"/>
    <s v="EVQ-LVESGG-GLVQPGGSLRLSCAASGFTF---------SSYAMS-WVRQ-A-P-G-K--G-LE-WVSLIYSG------------GSTYY--A--D--SV--K---GRFTISR-D---N-S--KN----T-LYLQMNSLRA-EDTAVYYCARSLD---------------------------VYGDVWG-QGTLVTVSS"/>
    <s v="DIQ-MTQSPSSLSASVGDRVTITCRASQSV-----------SSAVA-WYQQ-K-P-G-K--A-PK-LLIYSA----------------SSL--Y--S--GV--P---SRFSGSR-------S--GT----D-FTLTISSLQP-EDFATYYCQQYKY----------------------------VPVTFG-QGTKVEIK-"/>
    <s v="hv3"/>
    <s v="kv1"/>
    <n v="0.94801586999999998"/>
    <n v="0.99933510000000003"/>
    <n v="3.5896283000000002E-3"/>
    <n v="1"/>
    <n v="1"/>
    <n v="0"/>
  </r>
  <r>
    <x v="357"/>
    <x v="0"/>
    <x v="1"/>
    <e v="#NAME?"/>
    <s v="DIQ-MTQSPSSLSASVGDRVTITCRASQSV-----------SSAVA-WYQQ-K-P-G-K--A-PK-LLIYSA----------------SSL--Y--S--GV--P---SRFSGSR-------S--GT----D-FTLTISSLQP-EDFATYYCQQYKY----------------------------VPVTFG-QGTKVEIK-"/>
    <s v="hv1"/>
    <s v="kv1"/>
    <n v="0.99511117000000004"/>
    <n v="0.99933510000000003"/>
    <n v="2.1954898000000001E-4"/>
    <n v="1"/>
    <n v="1"/>
    <n v="0"/>
  </r>
  <r>
    <x v="358"/>
    <x v="0"/>
    <x v="1"/>
    <s v="EVQ-LVESGG-GLVQPGGSLRLSCAASGFNF---------SYSSIH-WVRQ-A-P-G-K--G-LE-WVASIYSY-----------SGYTSY--A--D--SV--K---GRFTISA-D---T-S--KN----T-AYLQMNSLRA-EDTAVYYCARDLT----------------------------PYDYWG-QGTLVTVSS"/>
    <s v="DIQ-MTQSPSSLSASVGDRVTITCRASQSV-----------SSAVA-WYQQ-K-P-G-K--A-PK-LLIYSA----------------SSL--Y--S--GV--P---SRFSGSR-------S--GT----D-FTLTISSLQP-EDFATYYCQQYSS---------------------------YSLVTFG-QGTKVEIK-"/>
    <s v="hv3"/>
    <s v="kv1"/>
    <n v="0.99999839999999995"/>
    <n v="0.99993675999999998"/>
    <n v="0.92331403000000001"/>
    <n v="1"/>
    <n v="1"/>
    <n v="1"/>
  </r>
  <r>
    <x v="359"/>
    <x v="0"/>
    <x v="1"/>
    <s v="QVQ-LQESGP-GLVKPSETLSLTCTVSGGSIS--------SSNYY--WIRQ-P-P-G-K--G-LE-WIGYIYHS------------GSTYY--N--P--SL--K---SRVTISV-D---T-S--KN----Q-FSLKLTSVTA-ADTAVYYCARHGT----------------------------LRSDWG-QGTLVTVSS"/>
    <s v="EIV-LTQSPGTLSLSPGERATLSCRASQSVS----------SSYLA-WYQQ-K-P-G-Q--A-PR-LLIYGA----------------SSR--A--T--GI--P---DRFSGSG-------S--GT----D-FTLTISRLEP-EDFAVYYCQQYGS----------------------------SPWTFG-QGTKVEIK-"/>
    <s v="hv4"/>
    <s v="kv3"/>
    <n v="0.99999660000000001"/>
    <n v="0.99999994000000003"/>
    <n v="0.9999979"/>
    <n v="1"/>
    <n v="1"/>
    <n v="1"/>
  </r>
  <r>
    <x v="360"/>
    <x v="0"/>
    <x v="1"/>
    <s v="QVQ-LQESGP-GLVKPSETLSLTCTVSGGSIS--------DDYYWS-WIRQ-P-P-G-K--G-LE-WIGYIYSG------------STYNY--N--P--SL--K---SRVTMSV-D---T-S--KN----Q-FSLKLSSVTA-ADTAVYYCAREGQ----------------------------IFDYWG-QGTLVTVSS"/>
    <s v="DIQ-MTQSPSSLSASVGDRVTITCRASQSI------------SYLN-WYQQ-K-P-G-K--A-PK-LLIYAA----------------STL--Q--S--GV--P---SRFSGSG-------S--GT----D-FTLTISSLQP-EDFATYYCQQSYT----------------------------TPPTFG-QGTKVEIK-"/>
    <s v="hv4"/>
    <s v="kv1"/>
    <n v="0.99992020000000004"/>
    <n v="0.99999994000000003"/>
    <n v="0.99854069999999995"/>
    <n v="1"/>
    <n v="1"/>
    <n v="1"/>
  </r>
  <r>
    <x v="361"/>
    <x v="0"/>
    <x v="1"/>
    <s v="EVQ-LVESGG-GLVQPGGSLRLSCAASGFNV---------SYSSIH-WVRQ-A-P-G-K--G-LE-WVASISPY-----------SGYTYY--A--D--SV--K---GRFTISA-D---T-S--KN----T-AYLQMNSLRA-EDTAVYYCARYYRS--------------------------GR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576999999995"/>
    <n v="0.9999903"/>
    <n v="0.99866770000000005"/>
    <n v="1"/>
    <n v="1"/>
    <n v="1"/>
  </r>
  <r>
    <x v="362"/>
    <x v="0"/>
    <x v="1"/>
    <s v="EVQ-LVESGG-GLVQPGGSLRLSCAASGFTF---------SSYAMS-WVRQ-A-P-G-K--G-LE-WVSAIYSS------------GATYY--A--D--SV--K---GRFTISR-D---N-S--KN----T-LYLQMNSLRA-EDTAVYYCAKNG-----------------------------GKAYWG-QGTLVTVSS"/>
    <s v="DIQ-MTQSPSSLSASVGDRVTITCRASQSV-----------SSAVA-WYQQ-K-P-G-K--A-PK-LLIYSA----------------SSL--Y--S--GV--P---SRFSGSR-------S--GT----D-FTLTISSLQP-EDFATYYCQQYYS----------------------------YPLTFG-QGTKVEIK-"/>
    <s v="hv3"/>
    <s v="kv1"/>
    <n v="0.89227973999999999"/>
    <n v="0.99999150000000003"/>
    <n v="0.52773844999999997"/>
    <n v="1"/>
    <n v="1"/>
    <n v="1"/>
  </r>
  <r>
    <x v="363"/>
    <x v="0"/>
    <x v="1"/>
    <s v="EVQ-LVESGG-GLVQPGGSLRLSCAASGFNI---------YYSSIH-WVRQ-A-P-G-K--G-LE-WVASIYSS------------GYTSY--A--D--SV--K---GRFTISA-D---T-S--KN----T-AYLQMNSLRA-EDTAVYYCARLWY---------------------------YGMDVWG-QGTTVTVSS"/>
    <s v="DIQ-MTQSPSSLSASVGDRVTITCRASQSV-----------SSAVA-WYQQ-K-P-G-K--A-PK-LLIYSA----------------SSL--Y--S--GV--P---SRFSGSR-------S--GT----D-FTLTISSLQP-EDFATYYCQQSYV----------------------------PPWTFG-QGTKVEIK-"/>
    <s v="hv3"/>
    <s v="kv1"/>
    <n v="0.99999315"/>
    <n v="0.99999934000000001"/>
    <n v="0.98368394000000003"/>
    <n v="1"/>
    <n v="1"/>
    <n v="1"/>
  </r>
  <r>
    <x v="364"/>
    <x v="0"/>
    <x v="1"/>
    <s v="QVQ-LVESGG-GVVQPGRSLRLSCAASGFTF---------SSYGMH-WVRQ-A-P-G-K--G-LE-WVAVISYS------------GGSGY--A--D--SV--K---GRFTISR-D---N-S--KN----T-LYLQMNSLRA-EDTAVYYCAKDDPFGYAGH----------------SSSFSYGLDVWG-QGTLVTVSS"/>
    <s v="DIQ-MTQSPSSLSASVGDRVTITCRASQSV-----------SSAVA-WYQQ-K-P-G-K--A-PK-LLIYSA----------------SSL--Y--S--GV--P---SRFSGSR-------S--GT----D-FTLTISSLQP-EDFATYYCQQSYF----------------------------PPWTFG-QGTKVEIK-"/>
    <s v="hv3"/>
    <s v="kv1"/>
    <n v="0.99999919999999998"/>
    <n v="0.99999684"/>
    <n v="0.17105973999999999"/>
    <n v="1"/>
    <n v="1"/>
    <n v="0"/>
  </r>
  <r>
    <x v="365"/>
    <x v="0"/>
    <x v="1"/>
    <s v="EVQ-LVQSGA-EVKKPGESLKISCKGSGYSF---------SRYWIG-WVRQ-M-P-G-K--G-LE-WMGIIYPG-----------DSDTRY--S--P--SF--Q---GQVTISA-D---K-S--IS----T-AYLQWSSLKA-SDTAMYYCARLDP---------------------------GYDDYWG-QGTLVTVSS"/>
    <s v="DIQ-MTQSPSSLSASVGDRVTITCRASQSV-----------SSAVA-WYQQ-K-P-G-K--A-PK-LLIYSA----------------SSL--Y--S--GV--P---SRFSGSR-------S--GT----D-FTLTISSLQP-EDFATYYCQQSSS----------------------------SLITFG-QGTKVEIK-"/>
    <s v="hv5"/>
    <s v="kv1"/>
    <n v="0.99997190000000002"/>
    <n v="0.9999903"/>
    <n v="0.31745064000000001"/>
    <n v="1"/>
    <n v="1"/>
    <n v="0"/>
  </r>
  <r>
    <x v="366"/>
    <x v="0"/>
    <x v="1"/>
    <s v="QVQ-LVQSGA-EVKKPGASVKVSCKASGYTF---------TSYGIS-WVRQ-A-P-G-Q--G-LE-WMGWISTY-----------NGNTNY--A--Q--KF--Q---GRVTMTR-D---T-S--TT----T-VYMELSSLRS-EDTAVYYCAREGPETED--------------------GYYIWFDPWG-QGTLVTVSS"/>
    <s v="DIQ-MTQSPSSLSASVGDRVTITCRASQSI-----------SSYLN-WYQQ-K-P-G-K--A-PK-LLIYAA----------------SSL--Q--S--GV--P---SRFSGSG-------S--GT----D-FTLTISSLQP-EDFATYYCQQSYS----------------------------TLRTFG-QGTKVEIK-"/>
    <s v="hv1"/>
    <s v="kv1"/>
    <n v="0.99998549999999997"/>
    <n v="0.99999994000000003"/>
    <n v="0.99559629999999999"/>
    <n v="1"/>
    <n v="1"/>
    <n v="1"/>
  </r>
  <r>
    <x v="367"/>
    <x v="0"/>
    <x v="1"/>
    <s v="EVQ-LVESGG-GLVKPGGSLRLSCAASGFAF---------STYWMS-WVRQ-A-P-G-K--G-LE-WVGRITTS------------GSTYY--A--D--SV--K---GRFTISR-D---N-S--KN----T-LYLQMNSLRA-EDTAVYYCARGWSSG------------------------YHWFDS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850000000001"/>
    <n v="0.9999903"/>
    <n v="0.77812594000000002"/>
    <n v="1"/>
    <n v="1"/>
    <n v="1"/>
  </r>
  <r>
    <x v="368"/>
    <x v="0"/>
    <x v="1"/>
    <s v="QVQ-LQQSGP-ELVRPGASVKMSCKASGYTF---------TSYWMH-WVKQ-S-H-G-K--S-LE-WIGGINPY-----------NGGTRY--N--Q--KF--K---GKATLTV-D---K-S--SS----T-AYMELRSLTS-EDSAVYYCARESGTS------------------------GYYFVYWG-QGTLVTVSA"/>
    <s v="DIV-MTQSPSSLAVSVGEKVTMSCKSSQSLLYS-----SNQKNYLA-WYQQ-K-P-G-Q--S-PK-LLIYWA----------------STR--E--S--GV--P---DRFTGSG-------S--GT----D-FTLTISSVKA-EDLAVYYCQQYYS----------------------------YPLTFG-GGTKLEIK-"/>
    <s v="hv1"/>
    <s v="kv4"/>
    <n v="1.8828012E-3"/>
    <n v="4.1866810000000002E-7"/>
    <n v="9.6576079999999997E-5"/>
    <n v="0"/>
    <n v="0"/>
    <n v="0"/>
  </r>
  <r>
    <x v="369"/>
    <x v="0"/>
    <x v="1"/>
    <s v="EVQ-LVESGG-GLVQPGGSLRLSCAASGFNV---------SYSSIH-WVRQ-A-P-G-K--G-LE-WVASISSY-----------YGYTSY--A--D--SV--K---GRFTISA-D---T-S--KN----T-AYLQMNSLRA-EDTAVYYCARSYYDYY----------------------DSSGYP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994000000003"/>
    <n v="0.99706477000000004"/>
    <n v="0.99919369999999996"/>
    <n v="1"/>
    <n v="1"/>
    <n v="1"/>
  </r>
  <r>
    <x v="370"/>
    <x v="0"/>
    <x v="1"/>
    <s v="QVQ-LVQSGA-EVKKPGASVKVSCKASGYTF---------TSYAMH-WVRQ-A-P-G-Q--G-LE-WMGWINTY-----------NGNTNY--A--Q--KF--Q---GRVTMTR-D---T-S--IS----T-AYMELSRLRS-DDTAVYYCARGSHN-------------------------GNIFDVWG-QGTTVTVSS"/>
    <s v="EIV-LTQSPGTLSLSPGERATLSCRASQVS-----------SSYLA-WYQQ-K-P-G-Q--A-PR-LLIYGA----------------SSR--A--T--GI--P---DRFSGSG-------S--GT----D-FTLTISRLEP-EDFAVYYCQQYGS----------------------------SPFTFG-QGTKVEIK-"/>
    <s v="hv1"/>
    <s v="kv3"/>
    <n v="0.99989265000000005"/>
    <n v="0.99999994000000003"/>
    <n v="0.13257688000000001"/>
    <n v="1"/>
    <n v="1"/>
    <n v="0"/>
  </r>
  <r>
    <x v="371"/>
    <x v="0"/>
    <x v="1"/>
    <s v="EVQ-LVESGG-GLVQPGGSLRLSCAASGFNV---------SYSSIH-WVRQ-A-P-G-K--G-LE-WVASIYSY-----------YGSTYY--A--D--SV--K---GRFTISA-D---T-S--KN----T-AYLQMNSLRA-EDTAVYYCARSRQFW------------------------YSGL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660000000001"/>
    <n v="0.99933510000000003"/>
    <n v="0.99357779999999996"/>
    <n v="1"/>
    <n v="1"/>
    <n v="1"/>
  </r>
  <r>
    <x v="372"/>
    <x v="0"/>
    <x v="1"/>
    <s v="EVQ-LVESGG-GLVQPGGSLRLSCAASGFNV---------SYSSIH-WVRQ-A-P-G-K--G-LE-WVASISSY-----------YGYTSY--A--D--SV--K---GRFTISA-D---T-S--KN----T-AYLQMNSLRA-EDTAVYYCARSAAYYSGSY----------------WYYHNWFFD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994000000003"/>
    <n v="0.99706477000000004"/>
    <n v="0.99013494999999996"/>
    <n v="1"/>
    <n v="1"/>
    <n v="1"/>
  </r>
  <r>
    <x v="373"/>
    <x v="0"/>
    <x v="1"/>
    <s v="QVQ-LVQSGA-EVKKPGASVKVSCKASGYTF---------TGYYMH-WVRQ-A-P-G-Q--G-LE-WMGWINPN-----------SGGTNY--A--Q--KF--Q---GRVTMTR-D---T-S--TS----T-VYMELSSLRS-DDTAVYYCARDYTRG------------------------DLWFDVWG-QGTAVTVSS"/>
    <s v="DIQ-MTQSPSTLSASVGDRVTITCRASQSI-----------SSWLA-WYQQ-K-P-G-K--A-PK-LLIYKA----------------SSL--E--S--GV--P---SRFSGSG-------S--GT----E-FTLTISSLQP-DDFATYYCQQYNS----------------------------YSITFG-QGTKVEIK-"/>
    <s v="hv1"/>
    <s v="kv1"/>
    <n v="0.99999744000000002"/>
    <n v="0.99999994000000003"/>
    <n v="0.99801134999999996"/>
    <n v="1"/>
    <n v="1"/>
    <n v="1"/>
  </r>
  <r>
    <x v="374"/>
    <x v="0"/>
    <x v="1"/>
    <s v="EVQ-LVESGG-GLVQPGGSLRLSCAASGFNF---------SSSSIH-WVRQ-A-P-G-K--G-LE-WVAYISSS-----------YGSTYY--A--D--SV--K---GRFTISA-D---T-S--KN----T-AYLQMNSLRA-EDTAVYYCARYYDY-------------------------FYGMDVWG-QGTTVTVSS"/>
    <s v="DIQ-MTQSPSSLSASVGDRVTITCRASQSV-----------SSAVA-WYQQ-K-P-G-K--A-PK-LLIYSA----------------SSL--Y--S--GV--P---SRFSGSR-------S--GT----D-FTLTISSLQP-EDFATYYCQQYKY----------------------------VPVTFG-QGTKVEIK-"/>
    <s v="hv3"/>
    <s v="kv1"/>
    <n v="0.99999709999999997"/>
    <n v="0.99933510000000003"/>
    <n v="0.96553"/>
    <n v="1"/>
    <n v="1"/>
    <n v="1"/>
  </r>
  <r>
    <x v="375"/>
    <x v="0"/>
    <x v="1"/>
    <s v="QVQ-LVQSGA-EVKKPGASVKVSCKASGYTF---------TSYGIS-WVRQ-A-P-G-Q--G-LE-WMGWISAY-----------NGNTNY--A--Q--KF--Q---GRVTMTR-D---T-S--TS----T-VYMELSSLRS-DDTAVYFCARERDG--------------------------SAYDVWG-QGTTVTVSS"/>
    <s v="DIQ-MTQSPSSLSASVGDRVTITCQASQDI-----------RKYLN-WYQQ-K-P-G-K--A-PK-LLIYDA----------------SNL--E--T--GV--P---SRFSGSG-------S--GT----D-FTFTISSLQP-EDIATYYCQQYDN----------------------------LPFTFG-PGTKVDIK-"/>
    <s v="hv1"/>
    <s v="kv1"/>
    <n v="0.99999254999999998"/>
    <n v="0.99999994000000003"/>
    <n v="0.77104497000000005"/>
    <n v="1"/>
    <n v="1"/>
    <n v="1"/>
  </r>
  <r>
    <x v="376"/>
    <x v="0"/>
    <x v="1"/>
    <s v="EVQ-LVESGG-GLVQPGGSLRLSCAASGFNL---------YSSSIH-WVRQ-A-P-G-K--G-LE-WVAYISSS-----------SGSTSY--A--D--SV--K---GRFTISA-D---T-S--KN----T-AYLQMNSLRA-EDTAVYYCARVLYD--------------------------YYFDYWG-QGTLVTVSS"/>
    <s v="DIQ-MTQSPSSLSASVGDRVTITCRASQSV-----------SSAVA-WYQQ-K-P-G-K--A-PK-LLIYSA----------------SSL--Y--S--GV--P---SRFSGSR-------S--GT----D-FTLTISSLQP-EDFATYYCQQSYV----------------------------PPWTFG-QGTKVEIK-"/>
    <s v="hv3"/>
    <s v="kv1"/>
    <n v="0.99999934000000001"/>
    <n v="0.99999934000000001"/>
    <n v="0.98433320000000002"/>
    <n v="1"/>
    <n v="1"/>
    <n v="1"/>
  </r>
  <r>
    <x v="377"/>
    <x v="0"/>
    <x v="1"/>
    <s v="EVQ-LVESGG-GLVQPGGSLRLSCAASGFTF---------SSYAMS-WVRQ-A-P-G-K--G-LE-WVSVIYSG------------GSTYY--A--D--SV--K---GRFTISR-D---N-S--KN----T-LYLQMNSLRA-EDTAVYYCAKSGGGY------------------------SGYFDYWG-QGTLVTVSS"/>
    <s v="DIQ-MTQSPSSLSASVGDRVTITCRASQDV-----------STAVA-WYQQ-K-P-G-K--A-PK-LLIYSA----------------SSL--Y--S--GV--P---SRFSGSR-------S--GT----D-FTLTISSLQP-EDFATYYCQQSSY----------------------------SLITFG-QGTKVEIK-"/>
    <s v="hv3"/>
    <s v="kv1"/>
    <n v="0.99014323999999998"/>
    <n v="0.99995679999999998"/>
    <n v="4.3963016999999999E-5"/>
    <n v="1"/>
    <n v="1"/>
    <n v="0"/>
  </r>
  <r>
    <x v="378"/>
    <x v="0"/>
    <x v="1"/>
    <s v="EVQ-LVESGG-GLVQPGGSLRLSCAASGFNV---------SYSSIH-WVRQ-A-P-G-K--G-LE-WVASIYSY-----------YGSTYY--A--D--SV--K---GRFTISA-D---T-S--KN----T-AYLQMNSLRA-EDTAVYYCAREWYYG-----------------------SLWAFDYWG-QGTLVTVSS"/>
    <s v="DIQ-MTQSPSSLSASVGDRVTITCRASQSV-----------SSAVA-WYQQ-K-P-G-K--A-PK-LLIYSA----------------SSL--Y--S--GV--P---SRFSGSR-------S--GT----D-FTLTISSLQP-EDFATYYCQQYYW----------------------------SPITFG-QGTKVEIK-"/>
    <s v="hv3"/>
    <s v="kv1"/>
    <n v="0.99998679999999995"/>
    <n v="0.999193"/>
    <n v="0.96398430000000002"/>
    <n v="1"/>
    <n v="1"/>
    <n v="1"/>
  </r>
  <r>
    <x v="379"/>
    <x v="0"/>
    <x v="1"/>
    <s v="QVQ-LQQSGP-ELVKPGASVKISCKASGYTF---------TSDWIH-WVKQ-R-P-G-H--G-LE-WIGEIIPS-----------YGRANY--N--E--KI--Q---KKATLTA-D---K-S--SS----T-AFMQLSSLTS-EDSAVYYCARERG---------------------------DYFDYWG-QGTTLTVSS"/>
    <s v="DIV-LTQSPASLAVSLGQRATISCRASESVDS-------YGNSFMH-WYQQ-K-P-G-Q--P-PK-LLIYAA----------------SNL--D--S--GV--P---ARFSGSG-------S--GT----D-FTLNIHPVEE-EDAATYYCQQSNE----------------------------DPYTFG-GGTKLEIK-"/>
    <s v="hv1"/>
    <s v="kv7"/>
    <n v="0.76197610000000005"/>
    <n v="1.0786826E-8"/>
    <n v="2.2099393E-4"/>
    <n v="1"/>
    <n v="0"/>
    <n v="0"/>
  </r>
  <r>
    <x v="380"/>
    <x v="0"/>
    <x v="1"/>
    <s v="EVQ-LVESGG-GLVKPGGSLRLSCAASGFTF---------SSYSMN-WVRQ-A-P-G-K--G-LE-WVSSISSS------------SYIYY--A--D--SV--K---GRFTISR-D---N-A--KN----S-LYLQMNSLRA-EDTAVYYCAKDGYGD------------------------LWFAFSWG-QGTLVTVSS"/>
    <s v="DIQ-MTQSPSSLSASVGDRVTITCRASQSV-----------SSAVA-WYQQ-K-P-G-K--A-PK-LLIYSA----------------SSL--Y--S--GV--P---SRFSGSR-------S--GT----D-FTLTISSLQP-EDFATYYCQQSYT----------------------------TPFTFG-PGTKVDIK-"/>
    <s v="hv3"/>
    <s v="kv1"/>
    <n v="0.99999830000000001"/>
    <n v="0.99999994000000003"/>
    <n v="0.16102610000000001"/>
    <n v="1"/>
    <n v="1"/>
    <n v="0"/>
  </r>
  <r>
    <x v="381"/>
    <x v="0"/>
    <x v="1"/>
    <s v="EVQ-LVQSGA-EVKKPGASVKVSCKASGYTF---------TGYYMH-WVRQ-A-P-G-Q--G-LE-WMGWINNS-----------GGNTNY--A--Q--KF--Q---GRVTMTR-D---T-S--TT----T-VYMELRRLRS-DDTAVYYCARDYR---------------------------GSSSYWG-QGTLVTVSS"/>
    <s v="DIQ-MTQSPSSLSASVGDRVTITCRASQDV-----------STAVA-WYQQ-K-P-G-K--A-PK-LLIYSA----------------SSL--Y--S--GV--P---SRFSGSR-------S--GT----D-FTLTISSLQP-EDFATYYCQQYYG----------------------------SPITFG-QGTKVEIK-"/>
    <s v="hv1"/>
    <s v="kv1"/>
    <n v="0.99999325999999999"/>
    <n v="0.99801004000000004"/>
    <n v="0.75958097000000002"/>
    <n v="1"/>
    <n v="1"/>
    <n v="1"/>
  </r>
  <r>
    <x v="382"/>
    <x v="0"/>
    <x v="1"/>
    <s v="EVQ-LVQSGA-EVKKPGESLKISCKGSGYSF---------TSYWIG-WVRQ-M-P-G-K--G-LE-WMGIIYPG-----------DSDTRY--S--P--SF--Q---GQVTISA-D---K-S--IS----T-AYLQWSSLKA-SDTAIYYCARLPT---------------------------VYFDYWG-QGTLVTVSS"/>
    <s v="DIQ-MTQSPSSLSASVGDRVTITCRASQSV-----------SSAVA-WYQQ-K-P-G-K--A-PK-LLIYSA----------------SSL--Y--S--GV--P---SRFSGSR-------S--GT----D-FTLTISSLQP-EDFATYYCQQYSS----------------------------YSWTFG-QGTKVEIK-"/>
    <s v="hv5"/>
    <s v="kv1"/>
    <n v="0.99744712999999996"/>
    <n v="0.99999519999999997"/>
    <n v="9.3305825999999994E-2"/>
    <n v="1"/>
    <n v="1"/>
    <n v="0"/>
  </r>
  <r>
    <x v="383"/>
    <x v="0"/>
    <x v="1"/>
    <s v="EVQ-LVESGG-GLVQPGGSLRLSCAASGFNV---------SYYSIH-WVRQ-A-P-G-K--G-LE-WVASISSS-----------SGSTSY--A--D--SV--K---GRFTISA-D---T-S--KN----T-AYLQMNSLRA-EDTAVYYCARSYYSYSY-------------------YSYSYAMDYWG-QGTLVTVSS"/>
    <s v="DIQ-MTQSPSSLSASVGDRVTITCRASQSV-----------SSAVA-WYQQ-K-P-G-K--A-PK-LLIYSA----------------SSL--Y--S--GV--P---SRFSGSR-------S--GT----D-FTLTISSLQP-EDFATYYCQQYLY---------------------------YSLITFG-QGTKVEIK-"/>
    <s v="hv3"/>
    <s v="kv1"/>
    <n v="0.99999994000000003"/>
    <n v="0.99999875000000005"/>
    <n v="0.96659539999999999"/>
    <n v="1"/>
    <n v="1"/>
    <n v="1"/>
  </r>
  <r>
    <x v="384"/>
    <x v="0"/>
    <x v="1"/>
    <s v="EVQ-LVESGG-GLVQPGGSLRLSCAASGFNV---------SYSSIH-WVRQ-A-P-G-K--G-LE-WVASISSY-----------YGYTSY--A--D--SV--K---GRFTISA-D---T-S--KN----T-AYLQMNSLRA-EDTAVYYCARGYDLR------------------------YYAMDYWG-QGTLVTVSS"/>
    <s v="DIQ-MTQSPSSLSASVGDRVTITCRASQSV-----------SSAVA-WYQQ-K-P-G-K--A-PK-LLIYSA----------------SSL--Y--S--GV--P---SRFSGSR-------S--GT----D-FTLTISSLQP-EDFATYYCQQSYF----------------------------YPITFG-QGTKVEIK-"/>
    <s v="hv3"/>
    <s v="kv1"/>
    <n v="0.99999970000000005"/>
    <n v="0.99999994000000003"/>
    <n v="0.99855983000000004"/>
    <n v="1"/>
    <n v="1"/>
    <n v="1"/>
  </r>
  <r>
    <x v="385"/>
    <x v="0"/>
    <x v="1"/>
    <s v="EVQ-LVESGG-GLVQPGGSLRLSCAASGFNI---------SSSSIH-WVRQ-A-P-G-K--G-LE-WVASISSY-----------YGYTSY--A--D--SV--K---GRFTISA-D---T-S--KN----T-AYLQMNSLRA-EDTAVYYCARQSSGYYY--------------------DILYG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19999999998"/>
    <n v="0.9999903"/>
    <n v="0.97652565999999996"/>
    <n v="1"/>
    <n v="1"/>
    <n v="1"/>
  </r>
  <r>
    <x v="386"/>
    <x v="0"/>
    <x v="1"/>
    <s v="QVQ-LQQSGA-ELVKPGASVKLSCKASGYTF---------TSDWIH-WVKQ-R-P-G-H--G-LE-WIGEIIPS-----------YGRANY--N--E--KF--K---GKATFTA-D---T-S--SN----T-AYMQLSSLTS-EDSAVYYCARERD---------------------------GYYDYWG-QGTTVTVSS"/>
    <s v="DIV-LTQSPATLSVTPGDSVSLSCRASQSI-----------SDNLH-WYQQ-K-S-H-E--S-PR-LLIKYA----------------SQS--I--S--GI--P---SRFSGSG-------S--GT----D-FTLSINSVES-EDIADYYCQQSNR----------------------------WPFTFG-SGTKLEIK-"/>
    <s v="hv1"/>
    <s v="kv6"/>
    <n v="0.15926731999999999"/>
    <n v="1.7688713999999999E-7"/>
    <n v="3.6860433999999997E-5"/>
    <n v="0"/>
    <n v="0"/>
    <n v="0"/>
  </r>
  <r>
    <x v="387"/>
    <x v="0"/>
    <x v="1"/>
    <s v="QVQ-LVQSGA-EVKKPGASVKVSCKASGYTF---------TSYGMH-WVRQ-A-P-G-Q--G-LE-WMGWINPN-----------SGGTNY--A--Q--KF--Q---GRVTMTR-D---T-S--IS----T-AYMEL---RS-EDTAVYYCAREGS----------------------------DVLLWG-QGTLVTVSS"/>
    <s v="DIQ-MTQSPSSLSASVGDRVTITCRASQGI-----------SSYLA-WYQQ-K-P-G-K--A-PK-LLIYAA----------------SSL--E--S--GV--P---SRFSGSG-------S--GT----E-FTLTISSLQP-DDFATYYCQQYNN----------------------------YPLTFG-GGTKVEIK-"/>
    <s v="hv1"/>
    <s v="kv1"/>
    <n v="0.99999720000000003"/>
    <n v="0.99998814000000003"/>
    <n v="0.99999994000000003"/>
    <n v="1"/>
    <n v="1"/>
    <n v="1"/>
  </r>
  <r>
    <x v="388"/>
    <x v="0"/>
    <x v="1"/>
    <s v="EVQ-LVQSGA-EVKKPGASVKVSCKASGYTF---------TGYYMH-WVRQ-A-P-G-Q--G-LE-WMGWINPN-----------SGGTNY--A--Q--KF--Q---GRVTMTR-D---T-S--IS----T-AYMELSRLRS-DDTAVYYCARDYTRGAWF-----------------GESLIGGFDNWG-QGTLVTVSS"/>
    <s v="EIV-LTQSPATLSLSPGERATLSCRASQSV-----------SSYLA-WYQQ-K-P-G-Q--A-PR-LLIYDA----------------SNR--A--T--GI--P---ARFSGSG-------S--GT----D-FTLTISSLEP-EDFAVYYCQQRSN----------------------------WPLTFG-GGTKVEIK-"/>
    <s v="hv1"/>
    <s v="kv3"/>
    <n v="0.99999994000000003"/>
    <n v="0.99999994000000003"/>
    <n v="0.99999859999999996"/>
    <n v="1"/>
    <n v="1"/>
    <n v="1"/>
  </r>
  <r>
    <x v="389"/>
    <x v="0"/>
    <x v="1"/>
    <s v="QVQ-LQESGP-GLVKPSETLSLTCTVSGGSIS-------DDIYYWS-WIRQ-P-P-G-K--G-LE-WIGYIYYS------------GSTYY--N--P--SL--K---SRVTISV-D---T-S--KN----Q-FSLKLSSVTA-ADTAVYYCARRYRY--------------------------EGYDYWG-QGTLVTVSS"/>
    <s v="DIQ-MTQSPSSLSASVGDRVTITCRASQSI-----------SRWLA-WYQQ-K-P-G-K--A-PK-LLIYKA----------------SSL--E--S--GV--P---SRFSGSG-------S--GT----E-FTLTISSLQP-DDFATYYCQQYSS----------------------------YPLTFG-QGTKVEIK-"/>
    <s v="hv4"/>
    <s v="kv1"/>
    <n v="0.99990670000000004"/>
    <n v="0.99999684"/>
    <n v="0.99959209999999998"/>
    <n v="1"/>
    <n v="1"/>
    <n v="1"/>
  </r>
  <r>
    <x v="390"/>
    <x v="0"/>
    <x v="1"/>
    <s v="EVQ-LVQSGA-EVKKPGESLKISCKGSGYSF---------TSYWIG-WVRQ-M-P-G-K--G-LE-WMGIIYPG-----------DSDTRY--S--P--SF--Q---GQVTISA-D---K-S--IS----T-AYLQWSSLKA-SDTAMYYCARQG-----------------------------SYDYWG-QGTLVTVSS"/>
    <s v="DIQ-MTQSPSSLSASVGDRVTITCRASQSV-----------SSAVA-WYQQ-K-P-G-K--A-PK-LLIYSA----------------SSL--Y--S--GV--P---SRFSGSR-------S--GT----D-FTLTISSLQP-EDFATYYCQQSSY----------------------------SLITFG-QGTKVEIK-"/>
    <s v="hv5"/>
    <s v="kv1"/>
    <n v="0.12628961999999999"/>
    <n v="0.99999110000000002"/>
    <n v="1.3170720999999999E-3"/>
    <n v="0"/>
    <n v="1"/>
    <n v="0"/>
  </r>
  <r>
    <x v="391"/>
    <x v="0"/>
    <x v="1"/>
    <s v="EVQ-LVESGG-GLVQPGGSLRLSCAASGFTF---------SSYAMS-WVRQ-A-P-G-K--G-LE-WVSVIYSG------------GSTYY--A--D--SV--K---GRFTISR-D---N-S--KN----T-LYLQM---RA-EDTAVYYCARDL-----------------------------SSDVWG-QGTTVTVSS"/>
    <s v="DIQ-MTQSPSSLSASVGDRVTITCRASQSV-----------SSAVA-WYQQ-K-P-G-K--A-PK-LLIYSA----------------SSL--Y--S--GV--P---SRFSGSR-------S--GT----D-FTLTISSLQP-EDFATYYCQQSYV----------------------------PPFTFG-QGTKVEIK-"/>
    <s v="hv3"/>
    <s v="kv1"/>
    <n v="0.99989779999999995"/>
    <n v="0.99999970000000005"/>
    <n v="1.9871194E-3"/>
    <n v="1"/>
    <n v="1"/>
    <n v="0"/>
  </r>
  <r>
    <x v="392"/>
    <x v="0"/>
    <x v="1"/>
    <e v="#NAME?"/>
    <s v="DIQ-MTQSPSSLSASVGDRVTITCRASQDV-----------NTAVA-WYQQ-K-P-G-K--A-PK-LLIYSAS--------------YRYT--G--S--GV--P---SRFSGSG-------S--GT----D-FTLTISSLQP-EDFATYYCQQSYS----------------------------TPYTFG-QGTKVEIK-"/>
    <s v="hv1"/>
    <s v="kv1"/>
    <n v="0.99999979999999999"/>
    <n v="0.99957220000000002"/>
    <n v="7.0545340000000003E-3"/>
    <n v="1"/>
    <n v="1"/>
    <n v="0"/>
  </r>
  <r>
    <x v="393"/>
    <x v="0"/>
    <x v="1"/>
    <s v="EVQ-LVESGG-GLVQPGGSLRLSCAASGFNF---------SNYGMH-WVRQ-A-P-G-K--G-LE-WVSVIYSG------------GSTYY--A--D--SV--K---GRFTISR-D---N-S--KN----T-LYLQMNSLRA-EDTAVYYCAKTPGGKDLW------------------VSSGDYFDYWG-QGTLVTVSS"/>
    <s v="DIQ-MTQSPSSLSASVGDRVTITCRASQSV-----------SSAVA-WYQQ-K-P-G-K--A-PK-LLIYSA----------------SSL--Y--S--GV--P---SRFSGSR-------S--GT----D-FTLTISSLQP-EDFATYYCQQYVY---------------------------SSLITFG-QGTKVEIK-"/>
    <s v="hv3"/>
    <s v="kv1"/>
    <n v="0.99999979999999999"/>
    <n v="0.99985740000000001"/>
    <n v="0.98208870000000004"/>
    <n v="1"/>
    <n v="1"/>
    <n v="1"/>
  </r>
  <r>
    <x v="394"/>
    <x v="0"/>
    <x v="1"/>
    <s v="EVQ-LQQSGA-ELVKPGASVKLSCTASGFNI---------KDTYMY-WVKQ-R-P-E-Q--G-LE-WIGRIDPA-----------NGNTQY--D--P--KF--Q---GKATITT-D---T-F--SN----T-AYLQLSSLTS-EDTAVYYCARGPY---------------------------YGFAYWG-QGTLVTVSA"/>
    <s v="DIQ-MTQSPSSLSASVGDRVTITCRASQSV-----------SSAVA-WYQQ-K-P-G-K--A-PK-LLIYSA----------------SSL--Y--S--GV--P---SRFSGSR-------S--GT----D-FTLTISSLQP-EDFATYYCQQYKY----------------------------VPVTFG-QGTKVEIK-"/>
    <s v="hv1"/>
    <s v="kv1"/>
    <n v="4.0562393000000002E-9"/>
    <n v="0.99933510000000003"/>
    <n v="0.97993463000000003"/>
    <n v="0"/>
    <n v="1"/>
    <n v="1"/>
  </r>
  <r>
    <x v="395"/>
    <x v="0"/>
    <x v="1"/>
    <s v="QVQ-LQQSGP-ELVKPGASVKISCKASGYTF---------TSDYIH-WVKQ-R-P-G-Q--G-LE-WIGEIDPS------------DGTNY--N--E--KF--K---GKATLTA-D---K-S--SS----T-AYMQLSSLTS-EDSAVYYCAREGYYD------------------------YYAMDYWG-QGTSVTVSS"/>
    <s v="DIQ-MTQSPASLSASVGETVTITCRASGNI-----------HNYLA-WYQQ-K-Q-G-K--S-PQ-LLVYNA----------------KTL--A--D--GV--P---SRFSGSG-------S--GT----Q-YSLKINSLQP-EDFGSYYCQHFWS----------------------------TPYTFG-GGTKLEIK-"/>
    <s v="hv1"/>
    <s v="kv1"/>
    <n v="0.70951850000000005"/>
    <n v="1.7480184000000001E-8"/>
    <n v="3.5606309999999999E-3"/>
    <n v="1"/>
    <n v="0"/>
    <n v="0"/>
  </r>
  <r>
    <x v="396"/>
    <x v="0"/>
    <x v="1"/>
    <s v="EVQ-LVESGG-GLVQPGGSLRLSCAASGFNV---------YSSSIH-WVRQ-A-P-G-K--G-LE-WVASISSY-----------YGYTYY--A--D--SV--K---GRFTISA-D---T-S--KN----T-AYLQMNSLRA-EDTAVYYCARSRQFW------------------------YSG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769999999999"/>
    <n v="0.9999903"/>
    <n v="0.98848164000000005"/>
    <n v="1"/>
    <n v="1"/>
    <n v="1"/>
  </r>
  <r>
    <x v="397"/>
    <x v="0"/>
    <x v="1"/>
    <s v="-VQ-LQQSGA-ELVRPGASVKMSCKASGYIF---------ITYWMH-WVKQ-R-P-G-Q--G-LE-WIGDIYPG------------GGTSY--N--Q--KF--K---GKATLTA-D---K-S--SS----T-AYMQLSSLTS-EDSAVYFCARGGN---------------------------YGYDYWG-QGTLVTVSA"/>
    <s v="DIV-MSQSPSSLAVSAGEKVTMSCKSSQSLLYS-----SNQKNYLA-WYQQ-K-P-G-Q--S-PK-LLIYWA----------------STR--E--S--GV--P---DRFTGSG-------S--GT----D-FTLTISSVKA-EDLAVYYCQQHYS----------------------------TPPTFG-GGTKVEIK-"/>
    <s v="hv1"/>
    <s v="kv4"/>
    <n v="1.4280339000000001E-4"/>
    <n v="1.8477921000000001E-6"/>
    <n v="3.0620836E-4"/>
    <n v="0"/>
    <n v="0"/>
    <n v="0"/>
  </r>
  <r>
    <x v="398"/>
    <x v="0"/>
    <x v="1"/>
    <s v="EVQ-LVESGG-GLVQPGGSLRLSCAASGFNL---------YSSSIH-WVRQ-A-P-G-K--G-LE-WVASISSY-----------YGSTYY--A--D--SV--K---GRFTISA-D---T-S--KN----T-AYLQMNSLRA-EDTAVYYCARSRQFW------------------------YSGLDYWG-QGTLVTVSS"/>
    <s v="DIQ-MTQSPSSLSASVGDRVTITCRASQSV-----------SSAVA-WYQQ-K-P-G-K--A-PK-LLIYSA----------------SSL--Y--S--GV--P---SRFSGSR-------S--GT----D-FTLTISSLQP-EDFATYYCQQYSY----------------------------SPLTFG-GGTKVEIK-"/>
    <s v="hv3"/>
    <s v="kv1"/>
    <n v="0.99999210000000005"/>
    <n v="0.98166310000000001"/>
    <n v="0.93910740000000004"/>
    <n v="1"/>
    <n v="1"/>
    <n v="1"/>
  </r>
  <r>
    <x v="399"/>
    <x v="0"/>
    <x v="1"/>
    <s v="QVQ-LVQSGA-EVKKPGASVKVSCKASGYTF---------TSSYIH-WVRQ-A-P-G-Q--G-LE-WMGWISTY-----------NGRTNY--A--Q--KF--Q---GRVTMTR-D---T-S--IS----T-AYMEL---RS-EDTAVYYCAREGV----------------------------YGDYWG-QGTLVTVSS"/>
    <s v="DIQ-MTQSPSSLSASVGDRVTITCRASQSV-----------SSAVA-WYQQ-K-P-G-K--A-PK-LLIYSA----------------SSL--Y--S--GV--P---SRFSGSR-------S--GT----D-FTLTISSLQP-EDFATYYCQQYYS----------------------------YSVTFG-QGTKVEIK-"/>
    <s v="hv1"/>
    <s v="kv1"/>
    <n v="0.99995535999999996"/>
    <n v="0.99999970000000005"/>
    <n v="0.47715016999999998"/>
    <n v="1"/>
    <n v="1"/>
    <n v="0"/>
  </r>
  <r>
    <x v="400"/>
    <x v="1"/>
    <x v="1"/>
    <s v="QVQ-LVESGG-GVVQPGRSLRLSCAASGFTF---------SNFGMH-WVRQ-A-P-G-K--G-LE-WVAVISDG------------SNKYY--A--D--SV--K---GRFTISR-D---N-S--KN----T-LYLQMNSLRA-EDTAVYYCARDLGDS------------------------LGAMDYWG-QGTLVTVSS"/>
    <s v="DIQ-MTQSPSSLSASVGDRVTITCRASQGI-----------RNDLG-WYQQ-K-P-G-K--A-PK-LLIYAA----------------SSL--Q--S--GV--P---SRFSGSG-------S--GT----D-FTLTISSLQP-EDFATYYCQQSYS----------------------------TPRTFG-QGTKVEIK-"/>
    <s v="hv3"/>
    <s v="kv1"/>
    <n v="0.99999994000000003"/>
    <n v="0.99999994000000003"/>
    <n v="0.98734429999999995"/>
    <n v="1"/>
    <n v="1"/>
    <n v="1"/>
  </r>
  <r>
    <x v="401"/>
    <x v="1"/>
    <x v="1"/>
    <e v="#NAME?"/>
    <s v="NFM-LTQPHS-VSESPGKTVTISCTRSSGSI---------ASNYVQ-WYQQ-R-P-G-S--A-PT-TVIYED----------------NQR--P--S--GV--P---DRFSGSI-D---S-S--SN----S-ASLTISGLKT-EDEADYYCQSYDS----------------------------GIQVFG-GGTKLTVL-"/>
    <s v="hv1"/>
    <s v="lv6"/>
    <n v="0.99999755999999995"/>
    <n v="0.99999994000000003"/>
    <n v="0.99999959999999999"/>
    <n v="1"/>
    <n v="1"/>
    <n v="1"/>
  </r>
  <r>
    <x v="402"/>
    <x v="1"/>
    <x v="1"/>
    <s v="EVQ-LQQSGP-ELVKPGASVKMSCKASGYTF---------TSYNMH-WVKQ-R-P-G-Q--G-LE-WIGEINPNS----------GGTTNY--N--E--KF--K---GKATLTA-D---K-S--SS----T-AYMQLSSLTS-EDSAVYYCARPGYRY-----------------------YGSYFDYWG-QGTTLTVSS"/>
    <s v="DIL-MTQSPSSMSVSLGDTVSITCHASQGI-----------SSNIG-WLQQ-K-P-G-K--S-FM-GLIYYG----------------TNL--V--D--GV--P---SRFSGSG-------S--GA----D-YSLTISSLDS-EDFADYYCVQYAQ----------------------------LPYTFG-GGTKLEIK-"/>
    <s v="hv1"/>
    <s v="lv5"/>
    <n v="9.3325459999999999E-2"/>
    <n v="1.5476132000000001E-8"/>
    <n v="2.8957040999999999E-8"/>
    <n v="0"/>
    <n v="0"/>
    <n v="0"/>
  </r>
  <r>
    <x v="403"/>
    <x v="1"/>
    <x v="1"/>
    <s v="QVQ-LQQWGA-GLLKPSETLSLTCAVYGGSF---------SGYYWS-WIRQ-P-P-G-K--G-LE-WIGEINHS------------GSTNY--N--P--SL--K---SRVTISV-D---T-S--KN----Q-FSLKLSSVTA-ADTAVYYCARHS-----------------------------DYQYWG-QGTLVTVSS"/>
    <s v="DIQ-MTQSPSSLSASVGDRVTITCRASQSI-----------SSYLN-WYQQ-K-P-G-K--A-PK-LLIYAA----------------SSL--Q--S--GV--P---SRFSGSG-------S--GT----D-FTLTISSLQP-EDFATYYCQQSYS----------------------------TPRTFG-QGTKVEIK-"/>
    <s v="hv4"/>
    <s v="kv1"/>
    <n v="0.12473237500000001"/>
    <n v="0.99999994000000003"/>
    <n v="0.99999970000000005"/>
    <n v="0"/>
    <n v="1"/>
    <n v="1"/>
  </r>
  <r>
    <x v="404"/>
    <x v="1"/>
    <x v="1"/>
    <s v="-VQ-LVQSGA-EVKKPGASVKVSCKASGYTF---------TGYYMH-WVRQ-A-P-G-Q--G-LE-WMGWINPN-----------SGGTNY--A--Q--KF--Q---GRVTMTR-D---T-S--IS----T-AYMELSRLRS-DDTAVYYCARGG------------------------------LDYWG-QGTLVTV--"/>
    <s v="DIQ-MTQSPSSLSASVGDRVTITCRASQSV-----------SSAVA-WYQQ-K-P-G-K--A-PK-LLIYSA----------------SSL--Y--S--GV--P---SRFSGSR-------S--GT----D-FTLTISSLQP-EDFATYYCQQSHE----------------------------DPYTFG-QGTKVEIK-"/>
    <s v="hv1"/>
    <s v="kv1"/>
    <n v="0.99999696000000005"/>
    <n v="0.98566823999999997"/>
    <n v="7.2968710000000006E-5"/>
    <n v="1"/>
    <n v="1"/>
    <n v="0"/>
  </r>
  <r>
    <x v="405"/>
    <x v="1"/>
    <x v="1"/>
    <e v="#NAME?"/>
    <s v="DIQ-MTQSPSSLSASVGDRVTITCRASQSV-----------SSAVA-WYQQ-K-P-G-K--A-PK-LLIYSA----------------SSL--Y--S--GV--P---SRFSGSR-------S--GT----D-FTLTISSLQP-EDFATYYCQQYKY----------------------------VPVTFG-QGTKVEIK-"/>
    <s v="hv3"/>
    <s v="kv1"/>
    <n v="0.99999994000000003"/>
    <n v="0.99933510000000003"/>
    <n v="0.9918787"/>
    <n v="1"/>
    <n v="1"/>
    <n v="1"/>
  </r>
  <r>
    <x v="406"/>
    <x v="1"/>
    <x v="1"/>
    <s v="EVQ-LVESGG-GLVQPGGSLRLSCAASGFTF---------SSYWMS-WVRQ-A-P-G-K--G-LE-WVANIKQD-----------GSEKYY--V--D--SV--K---GRFTISR-D---N-A--KN----S-LYLQMNSLRA-EDTAVYYCARWLYG--------------------------SLGDYWG-QGTLVTVSS"/>
    <s v="DIQ-MTQSPSSLSASVGDRVTITCRASQSI-----------SSYLN-WYQQ-K-P-G-K--A-PK-LLIYAA----------------SSL--Q--S--GV--P---SRFSGSG-------S--GT----D-FTLTISSLQP-EDFATYYCQQSYS----------------------------TPYTFG-QGTKVEIK-"/>
    <s v="hv3"/>
    <s v="kv1"/>
    <n v="0.27964066999999998"/>
    <n v="0.99999994000000003"/>
    <n v="0.99999994000000003"/>
    <n v="0"/>
    <n v="1"/>
    <n v="1"/>
  </r>
  <r>
    <x v="407"/>
    <x v="1"/>
    <x v="1"/>
    <s v="EVQ-LVESGG-GLVQPGGSLRLSCAASGFTF---------SSYAMH-WVRQ-A-P-G-K--G-LE-WVANINQD-----------GGEKYY--V--D--SV--K---GRFTISR-D---N-A--KN----S-LYLQMNSLRA-EDTAVYYCARATGE--------------------------GYFDYWG-QGTLVTVSS"/>
    <s v="DIQ-MTQSPSSLSASVGDRVTITCRASQSV-----------SSAVA-WYQQ-K-P-G-K--A-PK-LLIYSA----------------SSL--Y--S--GV--P---SRFSGSR-------S--GT----D-FTLTISSLQP-EDFATYYCQQSYV----------------------------SSWTFG-QGTKVEIK-"/>
    <s v="hv3"/>
    <s v="kv1"/>
    <n v="0.99950165000000002"/>
    <n v="0.99999994000000003"/>
    <n v="0.85209935999999997"/>
    <n v="1"/>
    <n v="1"/>
    <n v="1"/>
  </r>
  <r>
    <x v="408"/>
    <x v="1"/>
    <x v="1"/>
    <s v="EVQ-LVESGG-GLVQPGGSLRLSCAASGFTF---------STYWMS-WVRQ-A-P-G-K--G-LE-WVANIKQD-----------GSEKYY--V--D--SV--K---GRFTISR-D---N-A--KN----S-LYLQMNSLRA-EDTAVYYCAKDGG----------------------------QFFVWG-QGTLVTVSS"/>
    <s v="DIQ-MTQSPSSLSASVGDRVTITCRASQSV-----------SSAVA-WYQQ-K-P-G-K--A-PK-LLIYSA----------------SSL--Y--S--GV--P---SRFSGSR-------S--GT----D-FTLTISSLQP-EDFATYYCQQSY------------------------------VPSFG-QGTKVEIK-"/>
    <s v="hv3"/>
    <s v="kv1"/>
    <n v="0.9996524"/>
    <n v="0.99999839999999995"/>
    <n v="0.86336040000000003"/>
    <n v="1"/>
    <n v="1"/>
    <n v="1"/>
  </r>
  <r>
    <x v="409"/>
    <x v="1"/>
    <x v="1"/>
    <s v="EVQ-LQQSGP-ELVKPGASVKISCKASGYSF---------TGYNMN-WVKQ-S-H-G-K--N-LE-WIGLINPY-----------NGDTTY--N--Q--KF--K---GKATLTV-D---K-S--SS----T-AYMELLSLTS-EDSAVYYCARDDYY--------------------------GSLDYWG-QGTSVTVSS"/>
    <s v="DVL-MTQTPLSLPVSLGDQASISCRSSQSIVHS------NGNTYLE-WYLQ-K-P-G-Q--S-PK-LLIYKV----------------SNR--F--S--GV--P---DRFSGSG-------S--GT----D-FTLKISRVEA-EDLGVYYCFQGSH----------------------------VPWTFG-GGTKLEIK-"/>
    <s v="hv1"/>
    <s v="lv5"/>
    <n v="3.9094469999999999E-2"/>
    <n v="2.1295007999999999E-8"/>
    <n v="2.4891344E-5"/>
    <n v="0"/>
    <n v="0"/>
    <n v="0"/>
  </r>
  <r>
    <x v="410"/>
    <x v="1"/>
    <x v="1"/>
    <s v="QVQ-LQESGP-GLVKPSQTLSLTCTVSGGSI---------TSGYWS-WIRQ-P-P-G-K--G-LE-WIGYIYYS------------GSTNY--N--P--SL--K---SRVTISV-D---T-S--KN----Q-FSLKLSSVTA-ADTAVYYCARHSGYQV----------------------WGRGFDVWG-QGTTVTVSS"/>
    <s v="EIV-LTQSPGTLSLSPGERATLSCRASQVS-----------SSYLA-WYQQ-K-P-G-Q--A-PR-LLIYGA----------------SSR--A--T--GI--P---DRFSGSG-------S--GT----D-FTLTISRLEP-EDFAVYYCQQYGS----------------------------SPWTFG-QGTKVEI--"/>
    <s v="hv4"/>
    <s v="kv3"/>
    <n v="0.99399804999999997"/>
    <n v="0.99999994000000003"/>
    <n v="0.47386232"/>
    <n v="1"/>
    <n v="1"/>
    <n v="0"/>
  </r>
  <r>
    <x v="411"/>
    <x v="1"/>
    <x v="1"/>
    <s v="QVQ-LVQSGA-EVKKPGASVKVSCKASGYTF---------TGYYMH-WVRQ-A-P-G-Q--G-LE-WMGWINPN-----------SGGTNY--A--Q--KF--Q---GRVTMTR-D---T-S--IS----T-AYMELSRLRS-DDTAVYYCARDYTRGAWF-----------------GESLIGGFDNWG-QGTLVTVSS"/>
    <s v="EIV-LTQSPGTLSLSPGERATLSCRASQTVS----------STSLA-WYQQ-K-P-G-Q--A-PR-LLIYGA----------------SSR--A--T--GI--P---DRFSGSG-------S--GT----D-FTLTISRLEP-EDFAVYYCQQHD-----------------------------TSLTFG-GGTKVEIK-"/>
    <s v="hv1"/>
    <s v="kv3"/>
    <n v="0.99999994000000003"/>
    <n v="0.99999994000000003"/>
    <n v="2.9039180000000001E-2"/>
    <n v="1"/>
    <n v="1"/>
    <n v="0"/>
  </r>
  <r>
    <x v="412"/>
    <x v="1"/>
    <x v="1"/>
    <s v="EVQ-LVESGG-GLVQPGGSLRLSCAASGFTF---------SRYAMS-WVRQ-A-P-G-K--G-LE-WVSVIYSG------------GSTYY--A--D--SV--K---GRFTISR-D---N-S--KN----T-LYLQMNSLRA-EDTAVYYCARSYYVS-----------------------SGTWFDLWG-RGTLVTVSS"/>
    <s v="DIQ-MTQSPSSLSASVGDRVTITCRASQSV-----------SSAVA-WYQQ-K-P-G-K--A-PK-LLIYSA----------------SSL--Y--S--GV--P---SRFSGSR-------S--GT----D-FTLTISSLQP-EDFATYYCQQYHY---------------------------SSLITFG-QGTKVEIK-"/>
    <s v="hv3"/>
    <s v="kv1"/>
    <n v="0.99975170000000002"/>
    <n v="0.99978685"/>
    <n v="8.8282496000000002E-2"/>
    <n v="1"/>
    <n v="1"/>
    <n v="0"/>
  </r>
  <r>
    <x v="413"/>
    <x v="1"/>
    <x v="1"/>
    <s v="QVQ-LVQSGA-EVKKPGASVKVSCKASGYTF---------TGYYMH-WVRQ-A-P-G-Q--G-LE-WMGWINPN-----------SGGTNY--A--Q--KF--Q---GRVTMTR-D---T-S--IS----T-AYMELSRLRS-DDTAVYYCARGRL----------------------------LRSYWG-QGTLVTVSS"/>
    <s v="DIQ-MTQSPSSLSASVGDRVTITCQASQDI-----------NNYLN-WYQQ-K-P-G-K--A-PK-LLIYDA----------------SNL--E--T--GV--P---SRFSGSG-------S--GT----D-FTFTISSLQP-EDIATYYCQQYDN----------------------------LPLTFG-GGTKVEIK-"/>
    <s v="hv1"/>
    <s v="kv1"/>
    <n v="0.99999229999999995"/>
    <n v="0.99999994000000003"/>
    <n v="0.9927781"/>
    <n v="1"/>
    <n v="1"/>
    <n v="1"/>
  </r>
  <r>
    <x v="414"/>
    <x v="1"/>
    <x v="1"/>
    <s v="EVQ-LQQSGP-ELVKPGASVKISCKTSGYTF---------TEYTMY-WVKQ-S-H-G-K--S-LE-WIGRIDPA-----------NGYTKY--D--P--KF--Q---GKATITT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2.5186648000000002E-3"/>
    <n v="1.5476132000000001E-8"/>
    <n v="0.15592544999999999"/>
    <n v="0"/>
    <n v="0"/>
    <n v="0"/>
  </r>
  <r>
    <x v="415"/>
    <x v="1"/>
    <x v="1"/>
    <s v="QVQ-LVQSGA-EVKKPGASVKVSCKASGYTF---------TGYYMH-WVRQ-A-P-G-Q--G-LE-WMGWINPN-----------SGGTNY--A--Q--KF--Q---GRVTMTR-D---T-S--IS----T-AYMELSRLRS-DDTAVYYCARDLP---------------------------TGSDYWG-QGTLVTVSS"/>
    <s v="DIQ-MTQSPSSLSASVGDRVTITCRASQSI-----------SSYLN-WYQQ-K-P-G-K--A-PK-LLIYAA----------------SSL--Q--S--GV--P---SRFSGSG-------S--GT----D-FTLTISSLQP-EDFATYYCQQSYS----------------------------TPRTFG-QGTKVEIK-"/>
    <s v="hv1"/>
    <s v="kv1"/>
    <n v="0.99999850000000001"/>
    <n v="0.99999994000000003"/>
    <n v="0.99999994000000003"/>
    <n v="1"/>
    <n v="1"/>
    <n v="1"/>
  </r>
  <r>
    <x v="416"/>
    <x v="1"/>
    <x v="1"/>
    <s v="EVQ-LVQSGA-EVKKPGASVKVSCKASGYTF---------TGYYMH-WVRQ-A-P-G-Q--G-LE-WMGWINPN-----------SGGTNY--R--Q--KF--Q---GRVTMTR-D---T-S--IS----T-AYMELSRLRS-DDTAVYYCARDYTRGAWF-----------------GESLIGGFDNWG-QGTLVTVSS"/>
    <s v="DIQ-MTQSPSSLSASVGDRVTITCRASQSI-----------GSYLN-WYQQ-K-P-G-K--A-PK-LLIYAA----------------STL--Q--S--GV--P---SRFSGSG-------S--GT----D-FTLTISSLQP-EDFATYYCQQSYS----------------------------TPRTFG-QGTKLEIK-"/>
    <s v="hv1"/>
    <s v="kv1"/>
    <n v="0.99999994000000003"/>
    <n v="0.99999994000000003"/>
    <n v="0.85400032999999997"/>
    <n v="1"/>
    <n v="1"/>
    <n v="1"/>
  </r>
  <r>
    <x v="417"/>
    <x v="1"/>
    <x v="1"/>
    <s v="EVQ-LQQSGA-ELVRPGASVKMSCKASGYTF---------TSYHIH-WVKQ-R-P-G-Q--G-LE-WIGAIYPG-----------DSDTRY--N--Q--KF--K---GKATLTV-D---K-S--SS----T-AYMQLSSLTS-EDSAVYYCARGFY----------------------------GFDYWG-QGTTLTVSS"/>
    <s v="DIQ-MTQSPSSLSASVGDRVTITCRASQSI-----------SSYLN-WYQQ-K-P-G-K--A-PK-LLIYAA----------------SSL--Q--S--GV--P---SRFSGSG-------S--GT----D-FTLTISSLQP-EDFATYYCQQSYS----------------------------TPRTFG-QGTKVEIK-"/>
    <s v="hv1"/>
    <s v="kv1"/>
    <n v="8.2644739999999994E-2"/>
    <n v="0.99999994000000003"/>
    <n v="8.2990255000000003E-8"/>
    <n v="0"/>
    <n v="1"/>
    <n v="0"/>
  </r>
  <r>
    <x v="418"/>
    <x v="1"/>
    <x v="1"/>
    <s v="EVQ-LVESGG-GLVQPGGSLRLSCAASGFNL---------YSSSIH-WVRQ-A-P-G-K--G-LE-WVASISPY-----------SGSTSY--A--D--SV--K---GRFTISA-D---T-S--KN----T-AYLQMNSLRA-EDTAVYYCARWGYWL------------------------RGAMDYWG-QGTLVTVSS"/>
    <s v="DIQ-MTQSPSSLSASVGDRVTITCRASQSV-----------SSAVA-WYQQ-K-P-G-K--A-PK-LLIYSA----------------SSL--Y--S--GV--P---SRFSGSR-------S--GT----D-FTLTISSLQP-EDFATYYCQQSYV----------------------------YSLTFG-GGTKVEIK-"/>
    <s v="hv3"/>
    <s v="kv1"/>
    <n v="0.99999470000000001"/>
    <n v="0.99999994000000003"/>
    <n v="0.98917734999999996"/>
    <n v="1"/>
    <n v="1"/>
    <n v="1"/>
  </r>
  <r>
    <x v="419"/>
    <x v="1"/>
    <x v="1"/>
    <s v="EVQ-LVESGG-GLVQPGGSLRLSCAASGFTF---------SSYSMN-WVRQ-A-P-G-K--G-LE-WVSAISGS-----------GGSTYY--A--D--SV--K---GRFTISR-D---N-S--KN----T-LYLQMNSLRA-EDTAVYYCAKAGY----------------------------YGDSWG-QGTLVTVSS"/>
    <s v="DIQ-MTQSPSSLSASVGDRVTITCRASQSI-----------SSYLN-WYQQ-K-P-G-K--A-PK-LLIYAA----------------SSL--Q--S--GV--P---SRFSGSG-------S--GT----D-FTLTISSLQP-EDFATYYCQQSYS----------------------------TPRTFG-QGTKVEIK-"/>
    <s v="hv3"/>
    <s v="kv1"/>
    <n v="0.99667850000000002"/>
    <n v="0.99999994000000003"/>
    <n v="0.99996680000000004"/>
    <n v="1"/>
    <n v="1"/>
    <n v="1"/>
  </r>
  <r>
    <x v="420"/>
    <x v="1"/>
    <x v="1"/>
    <s v="EVQ-LVESGG-GLVKPGGSLRLSCAASGFTF---------SSYAMS-WVRQ-A-P-G-K--G-LE-WVSSISSS-----------SSYIYY--A--D--SV--K---GRFTISR-D---N-A--KN----S-LYLQMNSLRA-EDTAVYYCARQYSRGLYD------------------YWVYGAMDYWG-QGTLVTVSS"/>
    <s v="DIV-MTQSPSSLAVSVGEKVTMSCKSSQSLLYS-----SNQKNYLA-WYQQ-K-P-G-Q--S-PK-LLIYWA----------------STR--E--S--GV--P---DRFTGSG-------S--GT----D-FTLTISSVKA-EDLAVYYCQQYYS----------------------------TPRTFG-GGTKLEIK-"/>
    <s v="hv3"/>
    <s v="kv4"/>
    <n v="0.99995153999999997"/>
    <n v="1.3553220000000001E-7"/>
    <n v="2.3938715000000001E-10"/>
    <n v="1"/>
    <n v="0"/>
    <n v="0"/>
  </r>
  <r>
    <x v="421"/>
    <x v="1"/>
    <x v="1"/>
    <s v="EVQ-LVESGG-GLVQPGGSLRLSCAASGFTF---------SSYAMS-WVRQ-A-P-G-K--G-LE-WVSAIYAG------------GSTYY--A--D--SV--K---GRFTISR-D---N-S--KN----T-LYLQM---RA-EDTAVYYCARVRQ---------------------------YYDSSWG-QGTLVTVSS"/>
    <s v="DIQ-LTQSPSFLSASVGDRVTITCRASQGI-----------SSYLA-WYQQ-K-P-G-K--A-PK-LLIYAA----------------STL--Q--S--GV--P---SRFSGSG-------S--GT----E-FTLTISSLQP-EDFATYYCQQYNN----------------------------YPLTFG-QGTKLEIK-"/>
    <s v="hv3"/>
    <s v="kv1"/>
    <n v="0.99987172999999996"/>
    <n v="0.99999994000000003"/>
    <n v="0.99876489999999996"/>
    <n v="1"/>
    <n v="1"/>
    <n v="1"/>
  </r>
  <r>
    <x v="422"/>
    <x v="1"/>
    <x v="1"/>
    <s v="EVQ-LQQSGA-ELVKPGASVKLSCTASGFNI---------KDTYVH-WVKQ-R-P-E-Q--G-LE-WIGRIDPA-----------NGYTKY--D--P--KF--Q---GKATITA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7.1641316E-6"/>
    <n v="1.5476132000000001E-8"/>
    <n v="0.55569725999999997"/>
    <n v="0"/>
    <n v="0"/>
    <n v="1"/>
  </r>
  <r>
    <x v="423"/>
    <x v="1"/>
    <x v="1"/>
    <s v="EVQ-LVQSGA-EVKKPGASVKVSCKASGYTF---------TGYYMH-WVRQ-A-P-G-Q--G-LE-WMGWINNS------------GGTNY--A--Q--KF--Q---GRVTMTR-D---T-S--IS----T-AYMEL---RS-EDTAVYYCARSGYAY------------------------YYYMDYWG-QGTLVTVSS"/>
    <s v="-SV-LTQPPS-ASGTPGQRVTISCSGSSSNI---------GNNYVS-WYQQ-L-P-G-T--A-PK-LLIYDN----------------NKR--P--S--GI--P---DRFSGSK-------S--GT----S-ASLAISGLRS-EDEADYYCATWDDS--------------------------LSGLVFG-GGTKLTVL-"/>
    <s v="hv1"/>
    <s v="lv1"/>
    <n v="0.99985933000000005"/>
    <n v="0.99999994000000003"/>
    <n v="0.99990469999999998"/>
    <n v="1"/>
    <n v="1"/>
    <n v="1"/>
  </r>
  <r>
    <x v="424"/>
    <x v="1"/>
    <x v="1"/>
    <s v="EVQ-LVESGA-EVKKPGSSVKVSCKASGDTF---------IRYSFT-WVRQ-A-P-G-Q--G-LE-WMGRIIIL------------DVAHY--A--P--HL--Q---GRVTITA-D---K-S--TS----T-VYLEL---RS-DDTAVYFCAGVYE---------------------------GEAKHWG-QGTLVTVSS"/>
    <s v="-IV-MTQSPSTLSASVGDRVTITCRASQSI-----------SSWLA-WYQQ-K-P-G-K--A-PK-LLIYKA----------------SSL--E--S--GV--P---SRFSGSG-------S--GT----E-FTLTISSLQP-DDFATYYCQQYNS----------------------------YSITFG-QGTRLEIK-"/>
    <s v="hv1"/>
    <s v="kv1"/>
    <n v="0.99999446000000003"/>
    <n v="0.99999994000000003"/>
    <n v="4.4047879999999998E-3"/>
    <n v="1"/>
    <n v="1"/>
    <n v="0"/>
  </r>
  <r>
    <x v="425"/>
    <x v="1"/>
    <x v="1"/>
    <s v="EVQ-LVESGG-GLVKAGGSLILSCGVSNFRI----------SAHMT-WVRQ-A-P-G-K--G-LE-WVSSISAS------------STIYY--A--D--SV--K---GRFTISR-D---N-A--KN----S-LYLQM---KN-EDTAMYYCVRPYDY--------------------------YAMDYWG-QGTSVTVSS"/>
    <s v="DIV-MTQSPDSLAVSLGERATINCKSSQNN-----------KNYLA-WYQQ-K-P-G-Q--P-PK-LLIYWA----------------STR--E--S--GV--P---DRFSGSG-------S--GT----D-FTLTISSLQA-EDVAVYYCQQYYS----------------------------TPFTFG-QGTKVEIK-"/>
    <s v="hv3"/>
    <s v="kv4"/>
    <n v="0.9835294"/>
    <n v="0.99999994000000003"/>
    <n v="2.1473963000000001E-4"/>
    <n v="1"/>
    <n v="1"/>
    <n v="0"/>
  </r>
  <r>
    <x v="426"/>
    <x v="1"/>
    <x v="1"/>
    <s v="QVQ-LVQSGA-EVKKPGASVKVSCKASGYTF---------TNYGIS-WVRQ-A-P-G-Q--G-LE-WMGWISTY-----------NGNTNY--A--Q--KF--Q---GRVTMTT-D---T-S--TT----T-GYMELRRLRS-DDTAVYYCARDRY---------------------------YGSDVWG-QGTTVTVSS"/>
    <s v="DIQ-MTQSPSSLSASVGDRVTITCQASQDI-----------SNYLN-WYQQ-K-P-G-K--A-PK-LLIYDA----------------SNL--E--T--GV--P---SRFSGSG-------S--GT----D-FTFTISSLQP-EDIATYYCQQYDN----------------------------LPLTFG-PGTKVDIK-"/>
    <s v="hv1"/>
    <s v="kv1"/>
    <n v="0.99999910000000003"/>
    <n v="0.99999994000000003"/>
    <n v="0.98816245999999996"/>
    <n v="1"/>
    <n v="1"/>
    <n v="1"/>
  </r>
  <r>
    <x v="427"/>
    <x v="1"/>
    <x v="1"/>
    <s v="QVQ-LQESGP-GLVKPSETLSLTCTVSGGSI---------SNYYWS-WIRQ-P-P-G-K--G-LE-WIGYISDS------------ESTNY--N--P--SL--N---SRVVISR-D---T-S--KN----Q-LSLKL---TP-ADTAVYYCARVRG----------------------------FGDYWG-QGTLVTVSS"/>
    <s v="-IV-MTQSPSSLSASVGDRVTITCRASQGI-----------RNYLA-WYQQ-K-P-G-K--A-PK-LLIYAA----------------STL--Q--S--GV--P---SRFSGSG-------S--GT----D-FTLTISSLQP-EDFATYYCQQSYS----------------------------TPRTFG-QGTKVEIK-"/>
    <s v="hv4"/>
    <s v="kv1"/>
    <n v="0.78192300000000003"/>
    <n v="0.99999994000000003"/>
    <n v="0.40673524"/>
    <n v="1"/>
    <n v="1"/>
    <n v="0"/>
  </r>
  <r>
    <x v="428"/>
    <x v="1"/>
    <x v="1"/>
    <s v="QVQ-LVQSGA-EVKKPGASVKVSCKASGYTF---------TSYGIS-WVRQ-A-P-G-Q--G-LE-WMGWISAY-----------NGNTNY--A--Q--KF--Q---GRVTMTT-D---T-S--TT----T-GYMELRRLRS-DDTAVYYCAREGY---------------------------YYDILWG-QGTLVTVSS"/>
    <s v="DIQ-LTQSPSFLSASVGDRVTITCRASQGI-----------SSYLA-WYQQ-K-P-G-K--A-PK-LLIYAA----------------STL--Q--S--GV--P---SRFSGSG-------S--GT----E-FTLTISSLQP-EDFATYYCQQYSS----------------------------YSLTFG-GGTKVEIK-"/>
    <s v="hv1"/>
    <s v="kv1"/>
    <n v="0.99999899999999997"/>
    <n v="0.99999994000000003"/>
    <n v="0.23406821"/>
    <n v="1"/>
    <n v="1"/>
    <n v="0"/>
  </r>
  <r>
    <x v="429"/>
    <x v="1"/>
    <x v="1"/>
    <s v="QVQ-LVESGG-GVVQPGRSLRLSCAASGFTF---------SSYGMH-WVRQ-A-P-G-K--G-LE-WVAVISDG------------SNKYY--A--D--SV--K---GRFTISR-D---N-S--KN----T-LYLQMNSLRA-EDTAVYYCAKAGYR--------------------------DLDDYWG-QGTLVTVSS"/>
    <s v="DIQ-MTQSPSSLSASVGDRVTITCRASQSI-----------SSYLN-WYQQ-K-P-G-K--A-PK-LLIYAA----------------SSL--Q--S--GV--P---SRFSGSG-------S--GT----D-FTLTISSLQP-EDFATYYCQQSYS----------------------------TPYTFG-QGTKVEIK-"/>
    <s v="hv3"/>
    <s v="kv1"/>
    <n v="0.99932580000000004"/>
    <n v="0.99999994000000003"/>
    <n v="0.99997230000000004"/>
    <n v="1"/>
    <n v="1"/>
    <n v="1"/>
  </r>
  <r>
    <x v="430"/>
    <x v="1"/>
    <x v="1"/>
    <s v="EVQ-LVESGA-EVKKPGASVKVSCKASGYTF---------TGYYMH-WVRQ-A-P-G-Q--G-LE-WMGWINPN-----------SGGTNY--A--Q--KF--Q---GRVTMTR-D---T-S--TS----T-VYMELSSLRS-DDTAVYFCARSVGYVDP-------------------SSSGLGMDYWG-QGTLVTVSS"/>
    <s v="DIV-MTQSPSSLAVSAGEKVTMSCKSSQSLLYS-----SNQKNYLA-WYQQ-K-P-G-Q--S-PK-LLIYWA----------------STR--E--S--GV--P---DRFSGSG-------S--GT----D-FTLTISSLQA-EDVAVYYCQQYYS----------------------------SPLTFG-GGTKVEIK-"/>
    <s v="hv1"/>
    <s v="kv4"/>
    <n v="0.99999979999999999"/>
    <n v="0.48278594000000002"/>
    <n v="5.3979364999999998E-5"/>
    <n v="1"/>
    <n v="0"/>
    <n v="0"/>
  </r>
  <r>
    <x v="431"/>
    <x v="1"/>
    <x v="1"/>
    <s v="-VQ-LQQSGA-ELVKPGASVKLSCTASGFNI---------KDTYMY-WVKQ-R-P-E-Q--G-LE-WIGRIDPA-----------NGYTKY--D--P--KF--Q---GKATITA-D---T-S--SN----T-AYLQLSSLTS-EDTAVYYCVRPLYD-------------------------YYAMDYWG-QGTSVTVSS"/>
    <s v="NIV-MTQSPATLSLSPGERATLSCRASQSV-----------SSYLA-WYQQ-K-P-G-Q--A-PR-LLIYDA----------------SNR--A--T--GI--P---ARFSGSG-------S--GT----D-FTLTISSLEP-EDFAVYYCQQYGS----------------------------SPLTFG-GGTKVEIK-"/>
    <s v="hv1"/>
    <s v="kv3"/>
    <n v="3.9801010000000001E-5"/>
    <n v="0.99997776999999999"/>
    <n v="1.99699E-5"/>
    <n v="0"/>
    <n v="1"/>
    <n v="0"/>
  </r>
  <r>
    <x v="432"/>
    <x v="1"/>
    <x v="1"/>
    <s v="EVQ-LVESGG-GLVQPGGSLRLSCAASGFNV---------SYYSIH-WVRQ-A-P-G-K--G-LE-WVASISSS-----------SGSTSY--A--D--SV--K---GRFTISA-D---T-S--KN----T-AYLQMNSLRA-EDTAVYYCARVYGDY------------------------GGWFDPWG-QGTLVTVSS"/>
    <s v="DIQ-MTQSPSSLSASVGDRVTITCRASQSV-----------SSAVA-WYQQ-K-P-G-K--A-PK-LLIYSA----------------SSL--Y--S--GV--P---SRFSGSR-------S--GT----D-FTLTISSLQP-EDFATYYCQQSYV----------------------------PPWTFG-QGTKVEIK-"/>
    <s v="hv3"/>
    <s v="kv1"/>
    <n v="0.99999979999999999"/>
    <n v="0.99999934000000001"/>
    <n v="0.99532396000000001"/>
    <n v="1"/>
    <n v="1"/>
    <n v="1"/>
  </r>
  <r>
    <x v="433"/>
    <x v="1"/>
    <x v="1"/>
    <e v="#NAME?"/>
    <s v="DIQ-MTQSPSSLSASVGDRVTITCRASQSI-----------SSYLN-WYQQ-K-P-G-K--A-PK-LLIYAA----------------SSL--Q--S--GV--P---SRFSGSG-------S--GT----D-FTLTISSLQP-EDFATYYCQQSYS----------------------------TPPTFG-QGTKVEIK-"/>
    <s v="hv1"/>
    <s v="kv1"/>
    <n v="0.99987999999999999"/>
    <n v="0.99999994000000003"/>
    <n v="0.95200574000000004"/>
    <n v="1"/>
    <n v="1"/>
    <n v="1"/>
  </r>
  <r>
    <x v="434"/>
    <x v="1"/>
    <x v="1"/>
    <s v="EVQ-LVESGG-GLVQPGGSLRLSCAASGFTF---------SNYAMS-WVRQ-A-P-G-K--G-LE-WVSVIYSG------------GSTYY--A--D--SV--K---GRFTISR-D---N-S--KN----T-LYLQMNSLRA-EDTAVYYCARVGGGFGV-------------------NGSWVYFDYWG-QGTLVTVSS"/>
    <s v="DIQ-MTQSPSSLSASVGDRVTITCRASQSI-----------SSYLN-WYQQ-K-P-G-K--A-PK-LLIYAA----------------SSL--Q--S--GV--P---SRFSGSG-------S--GT----D-FTLTISSLQP-EDFATYYCQQSYS----------------------------TPRTFG-QGTKVEIK-"/>
    <s v="hv3"/>
    <s v="kv1"/>
    <n v="0.99981713000000005"/>
    <n v="0.99999994000000003"/>
    <n v="0.99999910000000003"/>
    <n v="1"/>
    <n v="1"/>
    <n v="1"/>
  </r>
  <r>
    <x v="435"/>
    <x v="1"/>
    <x v="1"/>
    <s v="EVQ-LQQSGA-ELVRPGASVKMSCKASGYTF---------TSYNMH-WVKQ-R-P-G-Q--G-LE-WIGYINPN-----------SGGTRY--N--E--KF--K---GKATLTA-D---K-S--SS----T-AYMQLSSLTS-EDSAVYYCARSY------------------------------GYYWG-QGTLVTVSA"/>
    <s v="DIL-LTQSPAILSVSPGERVSFSCRASQSI-----------GTDIH-WYQQ-R-T-N-G--S-PR-LLIKYA----------------SES--I--S--GI--P---SRFSGSG-------S--GT----D-FTLSINSVES-EDIANYYCQQSNR----------------------------WPFTFG-SGTKLEIK-"/>
    <s v="hv1"/>
    <s v="kv3"/>
    <n v="4.4988854999999999E-7"/>
    <n v="3.9501170000000004E-6"/>
    <n v="1.9157186E-8"/>
    <n v="0"/>
    <n v="0"/>
    <n v="0"/>
  </r>
  <r>
    <x v="436"/>
    <x v="1"/>
    <x v="1"/>
    <s v="EVQ-LVESGG-GLVQPGGSLRLSCAASGFTF---------SSYAMH-WVRQ-A-P-G-K--G-LE-WVAYISSS-----------SGSTSY--A--D--SV--K---GRFTISA-D---T-S--KN----T-AYLQMNSLRA-EDTAVYYCARS-------------------------------GA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839999999995"/>
    <n v="0.9999903"/>
    <n v="2.2620628000000002E-5"/>
    <n v="1"/>
    <n v="1"/>
    <n v="0"/>
  </r>
  <r>
    <x v="437"/>
    <x v="1"/>
    <x v="1"/>
    <e v="#NAME?"/>
    <s v="DIQ-MTQSPSSLSASVGDRVTITCRASQSV-----------SSAVA-WYQQ-K-P-G-K--A-PK-LLIYSA----------------SSL--Y--S--GV--P---SRFSGSR-------S--GT----D-FTLTISSLQP-EDFATYYCQQSYY---------------------------WIPITFG-QGTKVEIK-"/>
    <s v="hv3"/>
    <s v="kv1"/>
    <n v="0.99999959999999999"/>
    <n v="0.99999994000000003"/>
    <n v="0.86378664000000005"/>
    <n v="1"/>
    <n v="1"/>
    <n v="1"/>
  </r>
  <r>
    <x v="438"/>
    <x v="1"/>
    <x v="1"/>
    <s v="EVQ-LVESGG-GLVQPGGSLRLSCAASGFTF---------SSYAMH-WVRQ-A-P-G-K--G-LE-WVANISDG------------SKSAY--A--D--SV--K---GRFTISA-D---T-S--KN----T-AYLQM---RA-EDTAVYYCARYSGSLD---------------------DPYYVMDVWG-QGTTVTVSS"/>
    <s v="DIQ-MTQSPSSLSASVGDRVTITCRASQSV-----------SSAVA-WYQQ-K-P-G-K--A-PK-LLIYSA----------------SSL--Y--S--GV--P---SRFSGSR-------S--GT----D-FTLTISSLQP-EDFATYYCQQSYV---------------------------PSLLIFG-QGTKVEIK-"/>
    <s v="hv3"/>
    <s v="kv1"/>
    <n v="0.99999696000000005"/>
    <n v="0.99999979999999999"/>
    <n v="0.98730474999999995"/>
    <n v="1"/>
    <n v="1"/>
    <n v="1"/>
  </r>
  <r>
    <x v="439"/>
    <x v="1"/>
    <x v="1"/>
    <s v="EVQ-LVESGG-GLVQPGGSLRLSCAASGFTF---------SMYAMT-WVRQ-A-P-G-K--G-LE-WVSGISWN-----------SGSTYY--A--D--SV--K---GRFTISR-D---N-A--KN----S-LYLQMNSLRA-EDTAVYYCARLGYWS-----------------------SGSSLDYWG-QGTLVTVSS"/>
    <s v="DIQ-MTQSPSSLSASVGDRVTITCRASQSV-----------SSAVA-WYQQ-K-P-G-K--A-PK-LLIYSA----------------SSL--Y--S--GV--P---SRFSGSR-------S--GT----D-FTLTISSLQP-EDFATYYCQQSYS---------------------------TPPWTFG-QGTKVEIK-"/>
    <s v="hv3"/>
    <s v="kv1"/>
    <n v="0.99997336000000003"/>
    <n v="0.99999959999999999"/>
    <n v="0.60420172999999999"/>
    <n v="1"/>
    <n v="1"/>
    <n v="1"/>
  </r>
  <r>
    <x v="440"/>
    <x v="1"/>
    <x v="1"/>
    <s v="QVQ-LQQSGA-ELVKPGASVKLSCTASGFNI---------KDTYVH-WVKQ-R-P-E-Q--G-LE-WIGRIDPA-----------NGDTKY--D--P--KF--Q---GKATITT-D---T-F--SN----T-AYLQLSSLTS-EDTAVYYCVRPLYD-------------------------YYAMDYWG-QGTSVTVSS"/>
    <s v="DIL-LTQSPAILSVSPGERVSFSCRASQSI-----------GTDIH-WYQQ-R-T-N-G--S-PR-LLIKYA----------------SES--I--S--GI--P---SRFSGSG-------S--GT----D-FTLSINSVES-EDIANYYCQQSNR----------------------------WPFTFG-SGTKLEIK-"/>
    <s v="hv1"/>
    <s v="kv3"/>
    <n v="3.4682119999999999E-4"/>
    <n v="3.9501170000000004E-6"/>
    <n v="0.96829659999999995"/>
    <n v="0"/>
    <n v="0"/>
    <n v="1"/>
  </r>
  <r>
    <x v="441"/>
    <x v="1"/>
    <x v="1"/>
    <s v="EVQ-LVESGG-GLVQPGGSLRLSCAASGFTF---------SSYWMS-WVRQ-A-P-G-K--G-LE-WVANIKQD-----------GSEKYY--V--D--SV--K---GRFTISR-D---N-A--KN----S-LYLQMNSLRA-EDTAVYYCARGRYYGSG--------------------PYYQHFDPWG-QGTLVTVSS"/>
    <s v="DIQ-MTQSPSSLSASVGDRVTITCRASQSI-----------SSYLN-WYQQ-K-P-G-K--A-PK-LLIYAA----------------SSL--Q--S--GV--P---SRFSGSG-------S--GT----D-FTLTISSLQP-EDFATYYCQQSYS----------------------------TPYTFG-QGTKVEIK-"/>
    <s v="hv3"/>
    <s v="kv1"/>
    <n v="0.66790974000000003"/>
    <n v="0.99999994000000003"/>
    <n v="0.99999994000000003"/>
    <n v="1"/>
    <n v="1"/>
    <n v="1"/>
  </r>
  <r>
    <x v="442"/>
    <x v="1"/>
    <x v="1"/>
    <s v="EVQ-LVESGG-GLVQPGGSLRLSCAASGFTF---------SSYAMS-WVRQ-A-P-G-K--G-LE-WVAYISSS-----------GGSTYY--A--D--SV--K---GRFTISR-D---N-S--KN----T-LYLQMNSLRA-EDTAVYYCARVGGW-------------------------GGYFDYWG-QGTLVTVSS"/>
    <s v="DIQ-MTQSPSSLSASVGDRVTITCRASQSI-----------SSYLN-WYQQ-K-P-G-K--A-PK-LLIYAA----------------SSL--Q--S--GV--P---SRFSGSG-------S--GT----D-FTLTISSLQP-EDFATYYCQQSYS----------------------------TPRTFG-QGTKVEIK-"/>
    <s v="hv3"/>
    <s v="kv1"/>
    <n v="0.61495849999999996"/>
    <n v="0.99999994000000003"/>
    <n v="0.99999979999999999"/>
    <n v="1"/>
    <n v="1"/>
    <n v="1"/>
  </r>
  <r>
    <x v="443"/>
    <x v="1"/>
    <x v="1"/>
    <s v="EVQ-LVESGG-GLVQPGGSLRLSCAASGFTF----------SDYIH-WVRQ-A-P-G-K--G-LE-WVAYIYYS------------GSTSY--A--D--SV--K---GRFTISA-D---T-S--KN----T-AYLQMNSLRA-EDTAVYYCARWYGWY-----------------------YFYGMDYWG-QGTLVTVSS"/>
    <s v="SYE-LTQPPS-VSVAPGQTARISCGGNNIG-----------SKSVH-WYQQ-K-P-G-Q--A-PV-LVVYDD----------------SDR--P--S--GI--P---ERFSGSN-------S--GN----T-ATLTISRVEA-GDEADYYCQVWDSS--------------------------SDVYIFG-AGTKLTVL-"/>
    <s v="hv3"/>
    <s v="lv3"/>
    <n v="0.99996050000000003"/>
    <n v="0.99999970000000005"/>
    <n v="0.98054909999999995"/>
    <n v="1"/>
    <n v="1"/>
    <n v="1"/>
  </r>
  <r>
    <x v="444"/>
    <x v="1"/>
    <x v="1"/>
    <e v="#NAME?"/>
    <s v="AIR-MTQSPSTLSASVGDRVTITCRASQSI-----------SSWLA-WYQQ-K-P-G-K--A-PK-LLIYKA----------------SSL--E--S--GV--P---SRFSGSG-------S--GT----E-FTLTISSLQP-DDFATYYCQQYNS----------------------------YSWTFG-QGTKVEIK-"/>
    <s v="hv1"/>
    <s v="kv1"/>
    <n v="0.99986410000000003"/>
    <n v="0.99999994000000003"/>
    <n v="0.99979233999999995"/>
    <n v="1"/>
    <n v="1"/>
    <n v="1"/>
  </r>
  <r>
    <x v="445"/>
    <x v="1"/>
    <x v="1"/>
    <s v="EVQ-LVESGG-GLVQPGGSLRLSCAASGFTF---------SNYAMS-WVRQ-A-P-G-K--G-LE-WVSAISGS-----------GGSTYY--A--D--SV--K---GRFTISR-D---N-S--KN----T-LYLQMNSLRA-EDTAVYYCARDRVS--------------------------LGSDAWG-QGTLVTVSS"/>
    <s v="NFM-LTQPHS-VSESPGKTVTISCTRSSGSI---------ASNYVQ-WYQQ-R-P-G-S--A-PT-TVIYED----------------NQR--P--S--GV--P---DRFSGSI-D---S-S--SN----S-ASLTISGLKT-EDEADYYCQSYDS----------------------------SNWVFG-GGTKLTVL-"/>
    <s v="hv3"/>
    <s v="lv6"/>
    <n v="0.99782009999999999"/>
    <n v="0.99999994000000003"/>
    <n v="0.99969540000000001"/>
    <n v="1"/>
    <n v="1"/>
    <n v="1"/>
  </r>
  <r>
    <x v="446"/>
    <x v="1"/>
    <x v="1"/>
    <s v="QVQ-LQQSGA-ELVKPGASVKLSCKASGYTF---------TSDWIH-WVKQ-R-P-G-H--G-LE-WIGEIIPS-----------YGRANY--N--E--KF--K---GKATLTA-D---K-S--SS----T-AYMQLSSLTS-EDSAVYYCARENGYG-----------------------YGSGMDYWG-QGTSVTVSS"/>
    <s v="DIL-LTQSPAILSVSPGERVSFSCRASQSI-----------GTDIH-WYQQ-R-T-N-G--S-PR-LLIKYA----------------SES--I--S--GI--P---SRFSGSG-------S--GT----D-FTLSINSVES-EDIANYYCQQSNR----------------------------WPFTFG-SGTKLEIK-"/>
    <s v="hv1"/>
    <s v="kv3"/>
    <n v="0.21298395000000001"/>
    <n v="3.9501170000000004E-6"/>
    <n v="1.118098E-5"/>
    <n v="0"/>
    <n v="0"/>
    <n v="0"/>
  </r>
  <r>
    <x v="447"/>
    <x v="1"/>
    <x v="1"/>
    <s v="EVQ-LVESGG-GLVQPGGSLRLSCAASGFTF---------SRYWMN-WVRQ-A-P-G-K--G-LE-WVSSIKNS-----------YTYTHY--A--D--SV--K---GRFTISR-D---N-A--KN----S-LYLQMNSLRA-EDTAVYYCARQGSL-------------------------LNAMDYWG-QGTLVTVSS"/>
    <s v="DIQ-MTQSPSSLSASVGDRVTITCRASQSI-----------SSYLN-WYQQ-K-P-G-K--A-PK-LLIYAA----------------SSL--Q--S--GV--P---SRFSGSG-------S--GT----D-FTLTISSLQP-EDFATYYCQQSYY---------------------------STPYTFG-QGTKVEIK-"/>
    <s v="hv3"/>
    <s v="kv1"/>
    <n v="0.99999590000000005"/>
    <n v="0.99999994000000003"/>
    <n v="0.99791810000000003"/>
    <n v="1"/>
    <n v="1"/>
    <n v="1"/>
  </r>
  <r>
    <x v="448"/>
    <x v="1"/>
    <x v="1"/>
    <s v="EVQ-LVESGG-GLVQPGGSLRLSCAASGFTF---------SRYAMT-WVRQ-A-P-G-K--G-LE-WVSSISSS-----------SGYTYY--A--D--SV--K---GRFTISR-D---N-S--KN----T-LYLQMNSLRA-EDTAVYYCARVYSGYSGYNYW------------SYSYGSSYYFDYWG-QGTLVTVSA"/>
    <s v="DIQ-MTQSPSSLSASVGDRVTITCRASQSV-----------SSAVA-WYQQ-K-P-G-K--A-PK-LLIYSA----------------SSL--Y--S--GV--P---SRFSGSR-------S--GT----D-FTLTISSLQP-EDFATYYCQQYKY----------------------------VPVTFG-QGTKVEIK-"/>
    <s v="hv3"/>
    <s v="kv1"/>
    <n v="0.99999994000000003"/>
    <n v="0.99933510000000003"/>
    <n v="0.93278205000000003"/>
    <n v="1"/>
    <n v="1"/>
    <n v="1"/>
  </r>
  <r>
    <x v="449"/>
    <x v="1"/>
    <x v="1"/>
    <s v="EVQ-LVESGG-GLVKPGGSLRLSCAASGFTF---------SSYSMN-WVRQ-A-P-G-K--G-LE-WVSSISSS-----------SSYIYY--A--D--SV--K---GRFTISR-D---N-A--KN----S-LYLQMNSLRA-EDTAVYYCARHY-----------------------------DYGYWG-QGTLVTVSS"/>
    <s v="DIQ-MTQSPSSLSASVGDRVTITCRASQGI-----------SNYLN-WYQQ-K-P-G-K--A-PK-LLIYAA----------------SSL--Q--S--GV--P---SRFSGSG-------S--GT----D-FTLTISSLQP-EDFATYYCQQSYS----------------------------TPRTFG-QGTKVEIK-"/>
    <s v="hv3"/>
    <s v="kv1"/>
    <n v="0.89803960000000005"/>
    <n v="0.99999994000000003"/>
    <n v="0.99999994000000003"/>
    <n v="1"/>
    <n v="1"/>
    <n v="1"/>
  </r>
  <r>
    <x v="450"/>
    <x v="2"/>
    <x v="1"/>
    <s v="QVQ-LVESGG-GVVQPGRSLRLSCAASGFTF---------SSYGMH-WVRQ-A-P-G-K--G-LE-WVAVISYD-----------GSNKYY--A--D--SV--K---GRFTISR-D---N-S--KN----T-LYLQMNSLRA-EDTAVYYCAKDLG----------------------------GGDIWG-QGTMVTVSS"/>
    <s v="DIQ-MTQSPSSLSASVGDRVTITCRASQSI-----------SSYLN-WYQQ-K-P-G-K--A-PK-LLIYAA----------------SSL--Q--S--GV--P---SRFSGSG-------S--GT----D-FTLTISSLQP-EDFATYYCQQSYS----------------------------APPTFG-QGTKVEIK-"/>
    <s v="hv3"/>
    <s v="kv1"/>
    <n v="0.22891077000000001"/>
    <n v="0.99999994000000003"/>
    <n v="0.99998240000000005"/>
    <n v="0"/>
    <n v="1"/>
    <n v="1"/>
  </r>
  <r>
    <x v="451"/>
    <x v="2"/>
    <x v="1"/>
    <s v="EVQ-LVESGG-GLVKPGGSLRLSCAASGFSF---------SSYWMS-WVRQ-A-P-G-K--G-LE-WVSGINPS------------NGTNY--A--D--SV--K---GRFTISR-D---N-S--KN----T-LYLQMNSLRA-EDTAVYYCAREGSS-------------------------SYYFDFWG-QGTLVTVSS"/>
    <s v="-YE-LTQPPS-VSVSPGQTARITCSGDALPK----------RQFYG-WYQQ-K-P-G-Q--A-PV-LVIYKD----------------SER--P--S--GI--P---ERFSGSS-------S--GT----T-VTLTISGVQA-EDEADYYCQSAD-----------------------------SNWVFG-GGTKLTVL-"/>
    <s v="hv3"/>
    <s v="lv3"/>
    <n v="0.99999669999999996"/>
    <n v="0.99999994000000003"/>
    <n v="0.28694057000000001"/>
    <n v="1"/>
    <n v="1"/>
    <n v="0"/>
  </r>
  <r>
    <x v="452"/>
    <x v="2"/>
    <x v="1"/>
    <s v="QVQ-LQQSGP-ELVKPGASVKISCKASGYTF---------TDYYMH-WVKQ-S-H-G-K--S-LE-WIGYIDPS-----------DGETNY--N--Q--KF--K---GKATLTV-D---K-S--SS----T-AYMELSSLTS-EDSAVYYCARGG-----------------------------YFDYWG-QGTTLTVSS"/>
    <s v="DIV-MTQSPSSLAVSAGEKVTMSCKSSQSLLNS-----GNQKNYLA-WYQQ-K-P-G-Q--S-PK-LLIYWA----------------STR--E--S--GV--P---DRFTGSG-------S--GT----D-FTLTISSVQA-EDLAVYYCQNDYT----------------------------YPLTFG-SGTKLEIK-"/>
    <s v="hv1"/>
    <s v="kv4"/>
    <n v="0.99752456"/>
    <n v="2.9197348999999999E-8"/>
    <n v="1.6535866999999999E-2"/>
    <n v="1"/>
    <n v="0"/>
    <n v="0"/>
  </r>
  <r>
    <x v="453"/>
    <x v="2"/>
    <x v="1"/>
    <s v="QVQ-LVQSGA-EVKKPGASVKVSCKASGYTF---------TSYAMH-WVRQ-A-P-G-Q--G-LE-WMGWIKPN-----------SGNTNY--A--Q--KF--Q---GRVTMTR-D---T-S--IS----T-AYMELSRLRS-DDTAVYYCARDVDSVY----------------------DVWFFDYWG-QGTLVTVSS"/>
    <s v="DIQ-MTQSPSSLSASVGDRVTITCRASQSV-----------SSSLA-WYQQ-K-P-G-K--A-PK-LLIYSA----------------SSL--Y--S--GV--P---SRFSGSR-------S--GT----D-FTLTISSLQP-EDFATYYCQQYS-----------------------------NWPTFG-QGTKVEIK-"/>
    <s v="hv1"/>
    <s v="kv1"/>
    <n v="0.99999850000000001"/>
    <n v="0.99932829999999995"/>
    <n v="1.7020961E-3"/>
    <n v="1"/>
    <n v="1"/>
    <n v="0"/>
  </r>
  <r>
    <x v="454"/>
    <x v="2"/>
    <x v="1"/>
    <s v="EVQ-LVESGG-GLVQPGGSLRLSCAASGFTF---------SRYAMH-WVRQ-A-P-G-K--G-LE-WVAFIRYD-----------GSNRYT--S--D--SV--K---GRFTISR-D---N-S--KN----T-LYLQMNSLRA-EDTAVYYCARQGLW-------------------------YVFFDYWG-QGTLVTVSS"/>
    <s v="DIQ-MTQSPSSLSASVGDRVTITCRASQSV-----------SSAVA-WYQQ-K-P-G-K--A-PK-LLIYS-----------------ASL--Y--S--GV--P---SRFSGSR-------S--GT----D-FTLTISSLQP-EDFATYYCQQYKY----------------------------VPITFG-QGTKVEIK-"/>
    <s v="hv3"/>
    <s v="kv1"/>
    <n v="0.99999945999999995"/>
    <n v="0.9987819"/>
    <n v="0.98296329999999998"/>
    <n v="1"/>
    <n v="1"/>
    <n v="1"/>
  </r>
  <r>
    <x v="455"/>
    <x v="2"/>
    <x v="1"/>
    <s v="EVQ-LQQSGP-ELVKPGASVKISCKASGYSF---------TGYTMN-WVKQ-S-H-G-K--S-LE-WIGDIYNN------------GGTNY--N--E--KF--K---GKATFTA-D---T-S--SN----T-AYMQLSSLTS-EDSAVYYCAREY------------------------------GDYWG-QGTTLTVSS"/>
    <s v="DVL-MTQTPLSLPVSLGDQASISCRSSQSIVHS------NGNTYLE-WYLQ-K-P-G-Q--S-PK-LLIYKV----------------SNR--F--S--GV--P---DRFSGSG-------S--GT----D-FTLKISRVEA-EDLGVYYCFQGSH----------------------------VPWTFG-GGTKLEIK-"/>
    <s v="hv1"/>
    <s v="lv5"/>
    <n v="0.99017226999999997"/>
    <n v="2.1295007999999999E-8"/>
    <n v="1.4483218000000001E-6"/>
    <n v="1"/>
    <n v="0"/>
    <n v="0"/>
  </r>
  <r>
    <x v="456"/>
    <x v="2"/>
    <x v="1"/>
    <s v="QVQ-LVQSGA-EVKKPGSSVKVSCKASGGTF---------SSYTIS-WVRQ-A-P-G-Q--G-LE-WMGGIIPI-----------FGTTNY--A--Q--KF--Q---GRVTITA-D---E-S--TS----T-AYMELSSLRS-EDTAVYYCARVSGGP------------------------GYAMDVWG-QGTTVTVSS"/>
    <s v="EIV-LTQSPGTLSLSPGERATLSCRASQSVS----------SSYLA-WYQQ-K-P-G-Q--A-PR-LLIYGA----------------SSR--A--T--GI--P---DRFSGSG-------S--GT----D-FTLTISRLEP-EDFAVYYCQQYGS----------------------------SPFTFG-QGTKVEIK-"/>
    <s v="hv1"/>
    <s v="kv3"/>
    <n v="0.99999979999999999"/>
    <n v="0.99999994000000003"/>
    <n v="0.99999910000000003"/>
    <n v="1"/>
    <n v="1"/>
    <n v="1"/>
  </r>
  <r>
    <x v="457"/>
    <x v="2"/>
    <x v="1"/>
    <s v="EVQ-LVESGG-GLVQPGGSLRLSCAASGFTF---------SSYAMH-WVRQ-A-P-G-K--G-LE-WVSAISGS-----------GGNTYY--A--D--SV--K---GRFTISR-D---N-S--KN----T-LYLQMNSLRA-EDTAVYYCARVG------------------------------GAYWG-QGTLVTVSS"/>
    <s v="-SV-LTQPPS-VSVAPGQTARISCSGDKLGG----------GSYVQ-WYQQ-R-P-G-Q--A-PV-LVIYYD---------------NNKR--P--S--GI--P---ERFSGSN-------S--GN----T-ATLTISGTQSLRSGAEYFCQTTN-----------------------------SYRVFG-GGTKLTVL-"/>
    <s v="hv3"/>
    <s v="lv3"/>
    <n v="0.99958689999999994"/>
    <n v="0.99999994000000003"/>
    <n v="0.56325970000000003"/>
    <n v="1"/>
    <n v="1"/>
    <n v="1"/>
  </r>
  <r>
    <x v="458"/>
    <x v="2"/>
    <x v="1"/>
    <s v="QVQ-LQQPGA-ELVKPGASVKMSCKASGYTF---------TSDWIH-WVKQ-R-P-G-Q--G-LE-WIGMIHS-------------GSTNYT-E--P--NF--QK--DKTTLTA-D---K-S--SS----T-AYMQLSSLTS-EDSAVYYCAREGN---------------------------YGLGYWG-QGTLVTVSA"/>
    <s v="DIV-LTQSPASLAVSLGQRATISCRASKSVST-------SGYSYMH-WYQQ-K-P-G-Q--P-PK-LLIYLA----------------SNL--E--S--GV--P---ARFSGSG-------S--RT----D-FTLTIDPVEA-DDAATYYCQQNNE----------------------------DPWTFG-GGTKLEIK-"/>
    <s v="hv1"/>
    <s v="kv4"/>
    <n v="3.3462800000000001E-4"/>
    <n v="5.7976996999999999E-8"/>
    <n v="6.0123379999999995E-11"/>
    <n v="0"/>
    <n v="0"/>
    <n v="0"/>
  </r>
  <r>
    <x v="459"/>
    <x v="2"/>
    <x v="1"/>
    <s v="EVQ-LQQSGA-ELVKPGASVKLSCTASGFNI---------KDTYMY-WVKQ-R-P-E-Q--G-LE-WIGRIDPA-----------NGDTKY--D--P--KF--Q---GKATITA-D---T-S--SN----T-AYLQLSSLTS-EDTAVYYCARKGLY--------------------------YAMDYWG-QGTSVTVSS"/>
    <s v="DIL-MTQSPSSMSVSLGDTVSITCHASQGI-----------SSNIG-WLQQ-K-P-G-K--S-FM-GLIYYG----------------TNL--V--D--GV--P---SRFSGSG-------S--GA----D-YSLTISSLES-EDFATYYCQQYN-----------------------------NYWTFG-QGTKVEIK-"/>
    <s v="hv1"/>
    <s v="kv1"/>
    <n v="2.2267152000000001E-5"/>
    <n v="5.9349079999999999E-7"/>
    <n v="0.13276182"/>
    <n v="0"/>
    <n v="0"/>
    <n v="0"/>
  </r>
  <r>
    <x v="460"/>
    <x v="2"/>
    <x v="1"/>
    <s v="QVQ-LQQSGP-GLVKPSETLSLTCAVSGGSI---------SGNYWS-WIRQ-S-P-G-K--G-LE-WIGRIYDS------------GSTNY--N--P--SL--K---SRVTISV-D---T-S--KN----Q-FSLRLSSVTA-ADTAVYYCARVYGGWYY-------------------GSRYYYFDYWG-QGTQVTVSS"/>
    <s v="EIV-LTQSPGTLSLSPGERATLSCRASQSV-----------SSYLA-WYQQ-K-P-G-Q--A-PR-LLIYDA----------------SNR--A--T--GI--P---ARFSGSG-------S--GT----D-FTLTISSLEP-EDFAVYYCQQRSN---------------------------WSPGTFG-QGTKVEIK-"/>
    <s v="hv4"/>
    <s v="kv3"/>
    <n v="0.99999910000000003"/>
    <n v="0.99999994000000003"/>
    <n v="0.99948820000000005"/>
    <n v="1"/>
    <n v="1"/>
    <n v="1"/>
  </r>
  <r>
    <x v="461"/>
    <x v="2"/>
    <x v="1"/>
    <s v="EVQ-LVESGG-GLVQPGGSLRLSCAASGFTF---------SSYDMH-WVRQ-A-P-G-K--G-LE-WVSLINSG-----------GGSTYY--A--D--SV--K---GRFTISR-D---N-S--KN----T-LYLQMNSLRA-EDTAVYYCARVWVLLTS-------------------PGWFYGLDVWG-QGTLVTVSS"/>
    <s v="DIQ-MTQSPSSLSASVGDRVTITCRASQSV-----------SSAVA-WYQQ-K-P-G-K--A-PK-LLIYSA----------------SSL--Y--S--GV--P---SRFSGSR-------S--GT----D-FTLTISSLQP-EDFATYYCQQGSS----------------------------WPLTFG-GGTKVEIK-"/>
    <s v="hv3"/>
    <s v="kv1"/>
    <n v="0.99764704999999998"/>
    <n v="0.99941550000000001"/>
    <n v="0.44566729999999999"/>
    <n v="1"/>
    <n v="1"/>
    <n v="0"/>
  </r>
  <r>
    <x v="462"/>
    <x v="2"/>
    <x v="1"/>
    <s v="QVQ-LQESGP-GLVKPSETLSLTCTVSGDSIT--------SDYYWS-WIRQ-P-P-G-K--G-LE-WIGYIYYS------------GSTYY--N--P--SL--K---SRVTISV-D---T-S--KN----Q-FSLKLSSVTA-ADTAVYYCARAGQYV-----------------------QWVYFDYWG-QGTLVTVSS"/>
    <s v="DIQ-MTQSPSSLSASVGDRVTITCQASQDI-----------SNYLN-WYQQ-K-P-G-K--A-PK-LLIYDA----------------SNL--E--T--GV--P---SRFSGSG-------S--GT----D-FTFTISSLQP-EDIATYYCQQYDN----------------------------LPLTFG-GGTKVEIK-"/>
    <s v="hv4"/>
    <s v="kv1"/>
    <n v="0.99999979999999999"/>
    <n v="0.99999994000000003"/>
    <n v="0.999919"/>
    <n v="1"/>
    <n v="1"/>
    <n v="1"/>
  </r>
  <r>
    <x v="463"/>
    <x v="2"/>
    <x v="1"/>
    <s v="EVQ-LVESGG-GLVQPGGSLRLSCAASGFNF---------SSSSIH-WVRQ-A-P-G-K--G-LE-WVASISSS-----------SGSTSY--A--D--SV--K---GRFTISA-D---T-S--KN----T-AYLQMNSLRA-EDTAVYYCARG--------------------------------R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830000000001"/>
    <n v="0.99706477000000004"/>
    <n v="0.98141270000000003"/>
    <n v="1"/>
    <n v="1"/>
    <n v="1"/>
  </r>
  <r>
    <x v="464"/>
    <x v="2"/>
    <x v="1"/>
    <s v="EVQ-LVESGG-GLVQPGGSLRLSCAASGFTF---------SNYAMS-WVRQ-A-P-G-K--G-LE-WVSAISG-------------GSTYY--S--D--SV--K---GRFTISA-D---T-S--KN----T-AYLQM---RA-EDTAVYYCARYYS----------------------------SGD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35275000000001"/>
    <n v="0.99706477000000004"/>
    <n v="0.10437199"/>
    <n v="1"/>
    <n v="1"/>
    <n v="0"/>
  </r>
  <r>
    <x v="465"/>
    <x v="2"/>
    <x v="1"/>
    <s v="-VQ-LQQSGA-ELVKPGASVKLSCTASGFNI---------KDTYMY-WVKQ-R-P-E-Q--G-LE-WIGRIDPA-----------NGDTKY--D--P--KF--Q---GKATITT-D---T-F--SN----T-AYLQLSSLTS-EDTAVYYCARGRYV--------------------------YGDDYWG-QGTSVTVSS"/>
    <s v="DIV-MTQSPSSLSASVGDRVTITCQASQDI-----------SNYLN-WYQQ-K-P-G-K--A-PK-LLIYDA----------------SNL--E--T--GV--P---SRFSGSG-------S--GT----D-FTFTISSLQP-EDIATYYCQQYDN----------------------------LPITFG-QGTRLEIK-"/>
    <s v="hv1"/>
    <s v="kv1"/>
    <n v="8.9527824000000002E-4"/>
    <n v="0.99999994000000003"/>
    <n v="8.3897749999999994E-8"/>
    <n v="0"/>
    <n v="1"/>
    <n v="0"/>
  </r>
  <r>
    <x v="466"/>
    <x v="2"/>
    <x v="1"/>
    <s v="QVQ-LQESGP-GLVKPSETLSLTCTVSGGSV---------SSGGYY-WIRQ-P---G-R--G-LE-WIGSIYY-------------SGTNY--N--P--SL--K---SRVTISV-D---T-S--KN----Q-FSLKLSSVTA-ADTAVYYCARGRN---------------------------YDQDVWG-QGTLVTVSS"/>
    <s v="EIV-LTQSPGTLSLSPGERATLSCRASQSVS----------SSYLA-WYQQ-K-P-G-Q--A-PR-LLIYGA----------------SSR--A--T--GI--P---DRFSGSG-------S--GT----D-FTLTISRLEP-EDFAVYYCQQYGS----------------------------SPWTFG-QGTKVEIK-"/>
    <s v="hv4"/>
    <s v="kv3"/>
    <n v="0.99998469999999995"/>
    <n v="0.99999994000000003"/>
    <n v="0.99721970000000004"/>
    <n v="1"/>
    <n v="1"/>
    <n v="1"/>
  </r>
  <r>
    <x v="467"/>
    <x v="2"/>
    <x v="1"/>
    <s v="QVQ-LQESGP-GLVKPSETLSLTCTVSGGSF---------STSYWG-WIRQ-P-P-G-K--G-LE-WIGSIYHS------------GSTNY--N--P--SL--K---SRVTISV-D---T-S--KN----Q-FSLKLSSVTA-ADTAVYYCARVEY---------------------------DYGDYWG-QGTLVTVSS"/>
    <s v="EIV-MTQSPATLSVSPGERATLSCRASQSVS----------NSYLA-WYQQ-K-P-G-Q--A-PR-LLIYDA----------------SNR--A--T--GI--P---ARFSGSG-------S--GT----E-FTLTISSLQS-EDFAVYYCQQYNN----------------------------WPLTFG-GGTKVEIK-"/>
    <s v="hv4"/>
    <s v="kv3"/>
    <n v="0.99999994000000003"/>
    <n v="0.99999994000000003"/>
    <n v="0.99937719999999997"/>
    <n v="1"/>
    <n v="1"/>
    <n v="1"/>
  </r>
  <r>
    <x v="468"/>
    <x v="2"/>
    <x v="1"/>
    <s v="EVQ-LVESGG-GLVQPGGSLRLSCAASGFTF---------SSYAMS-WVRQ-A-P-G-K--G-LE-WVSVISG-------------GSTYY--A--D--SV--K---GRFTISR-D---N-S--KN----T-LYLQMNSLRA-EDTAVYYCARLRSQA-----------------------WFGDIIYWG-QGTLVTVSS"/>
    <s v="DIQ-MTQSPSSLSASVGDRVTITCRASQDV-----------STAVA-WYQQ-K-P-G-K--A-PK-LLIYSA----------------SFL--Y--S--GV--P---SRFSGSG-------S--GT----D-FTLTISSLQP-EDFATYYCQQSYS----------------------------TPPTFG-QGTKVEIK-"/>
    <s v="hv3"/>
    <s v="kv1"/>
    <n v="0.99274032999999995"/>
    <n v="0.99998900000000002"/>
    <n v="0.11106228"/>
    <n v="1"/>
    <n v="1"/>
    <n v="0"/>
  </r>
  <r>
    <x v="469"/>
    <x v="2"/>
    <x v="1"/>
    <s v="QVQ-LVESGG-GVVQPGRSLRLSCAASGFTF---------SSYGMH-WVRQ-A-P-G-K--G-LE-WVAVIWDG------------SNKFY--A--D--SV--E---GRFTISR-D---N-S--KN----T-LYLQM---RD-EDTAVYYCARERD---------------------------GSYDVWG-QGTTVTVSS"/>
    <s v="DIQ-MTQSPSSLSASVGDRVTITCRASQSV-----------SSAVA-WYQQ-K-P-G-K--A-PK-LLIYSA----------------SSL--Y--S--GV--P---SRFSGSR-------S--GT----D-FTLTISSLQP-EDFATYYCQQDNY----------------------------LPLTFG-GGTKVEIK-"/>
    <s v="hv3"/>
    <s v="kv1"/>
    <n v="0.99999994000000003"/>
    <n v="0.99873155000000002"/>
    <n v="0.99795352999999998"/>
    <n v="1"/>
    <n v="1"/>
    <n v="1"/>
  </r>
  <r>
    <x v="470"/>
    <x v="2"/>
    <x v="1"/>
    <s v="QVQ-LVQSGA-EVKKPGASVKVSCKASGYTF---------TSYAMH-WVRQ-A-P-G-Q--G-LE-WMGWISYN------------GNTNY--A--Q--KF--Q---GRVTMTR-D---T-S--TS----T-VYMEL---RS-EDTAVYYCAAPYSY-------------------------YDFFCVWG-QGTLVTVSS"/>
    <s v="DIQ-MTQSPSSLSASVGDRVTITCRASQSV-----------SSAVA-WYQQ-K-P-G-K--A-PK-LLIYSA----------------SSL--Y--S--GV--P---SRFSGSR-------S--GT----D-FTLTISSLQP-EDFATYYCQQSSS----------------------------SLITFG-QGTKVEIK-"/>
    <s v="hv1"/>
    <s v="kv1"/>
    <n v="0.99999859999999996"/>
    <n v="0.9999903"/>
    <n v="4.4899257000000003E-3"/>
    <n v="1"/>
    <n v="1"/>
    <n v="0"/>
  </r>
  <r>
    <x v="471"/>
    <x v="2"/>
    <x v="1"/>
    <s v="EVQ-LVESGG-GLVQPGGSLRLSCAASGFNF---------SSSSIH-WVRQ-A-P-G-K--G-LE-WVASISSY-----------YGSTYY--A--D--SV--K---GRFTISA-D---T-S--KN----T-AYLQMNSLRA-EDTAVYYCARQGYW-------------------------LWSSDYWG-QGTLVTVSS"/>
    <s v="DIQ-MTQSPSSLSASVGDRVTITCRASQSV-----------SSAVA-WYQQ-K-P-G-K--A-PK-LLIYSA----------------SSL--Y--S--GV--P---SRFSGSR-------S--GT----D-FTLTISSLQP-EDFATYYCQQYSS---------------------------YAPLTFG-GGTKVEIK-"/>
    <s v="hv3"/>
    <s v="kv1"/>
    <n v="0.99999565000000001"/>
    <n v="0.9491252"/>
    <n v="0.99007064"/>
    <n v="1"/>
    <n v="1"/>
    <n v="1"/>
  </r>
  <r>
    <x v="472"/>
    <x v="2"/>
    <x v="1"/>
    <s v="QVQ-LQESGP-GLVKPSETLSLTCTVSGGSIS-------SSSYYWS-WIRQ-P-P-G-K--G-LE-WIGSIYYS------------GSTNY--N--P--SL--K---SRVTISV-D---T-S--KN----Q-FSLKLSSVTA-ADTAVYYCARRSY----------------------------YGDYWG-QGTLVTVSS"/>
    <s v="DIQ-MTQSPSSLSASVGDRVTITCRASQDV-----------NTAVA-WYQQ-K-P-G-K--A-PK-LLIYSA----------------SSL--Y--S--GV--P---SRFSGSR-------S--GT----D-FTLTISSLQP-EDFATYYCQQSYV----------------------------YPFTFG-QGTKVEIK-"/>
    <s v="hv4"/>
    <s v="kv1"/>
    <n v="0.42069616999999998"/>
    <n v="0.99999959999999999"/>
    <n v="1.9943192000000001E-4"/>
    <n v="0"/>
    <n v="1"/>
    <n v="0"/>
  </r>
  <r>
    <x v="473"/>
    <x v="2"/>
    <x v="1"/>
    <s v="EVQ-LVESGG-GLVQPGGSLRLSCAASGFTF---------SNYAMN-WVRQ-A-P-G-K--G-LE-WVSVIYSG------------GSTYY--A--D--SV--K---GRFTISR-D---N-S--KN----T-LYLQMNSLRA-EDTAVYYCAKAKDG-------------------------GGTLDVWG-QGTTVTVSS"/>
    <s v="DIQ-MTQSPSSLSASVGDRVTITCRASQSV-----------SSAVA-WYQQ-K-P-G-K--A-PK-LLIYSA----------------SSL--Y--S--GV--P---SRFSGSR-------S--GT----D-FTLTISSLQP-EDFATYYCQQSSS----------------------------SLITFG-QGTKVEIK-"/>
    <s v="hv3"/>
    <s v="kv1"/>
    <n v="0.99998600000000004"/>
    <n v="0.9999903"/>
    <n v="0.72118910000000003"/>
    <n v="1"/>
    <n v="1"/>
    <n v="1"/>
  </r>
  <r>
    <x v="474"/>
    <x v="2"/>
    <x v="1"/>
    <s v="EVQ-LVESGG-GLVQPGGSLRLSCAASGFTF---------STYWMS-WVRQ-A-P-G-K--G-LE-WVAYIYSS------------GATYY--A--D--SV--K---GRFTISR-D---N-S--KN----T-LYLQMNSLRA-EDTAVYYCAKDSGKYYY-------------------DSSGYPMDVWG-QGTTVTVSS"/>
    <s v="DIQ-MTQSPSSLSASVGDRVTITCRASQDV-----------STAVA-WYQQ-K-P-G-K--A-PK-LLIYSA----------------SSL--Y--S--GV--P---SRFSGSR-------S--GT----D-FTLTISSLQP-EDFATYYCQQYKY----------------------------VPVTFG-QGTKVEIK-"/>
    <s v="hv3"/>
    <s v="kv1"/>
    <n v="0.99999636000000003"/>
    <n v="0.9945775"/>
    <n v="0.16880492999999999"/>
    <n v="1"/>
    <n v="1"/>
    <n v="0"/>
  </r>
  <r>
    <x v="475"/>
    <x v="2"/>
    <x v="1"/>
    <s v="QVQ-LQESGP-GLVKPSETLSLTCTVSGGSI---------SGNYWS-WIRQ-P-P-G-K--G-LE-WIGEINHS------------GSTNY--N--P--SL--K---SRVTISV-D---T-S--KN----Q-FSLKLSSVTA-ADTAVYYCARVRG---------------------------EGFDYWG-QGTLVTVSS"/>
    <s v="EIV-LTQSPGTLSLSPGERATLSCRASQSV-----------GNNLA-WYQQ-K-P-G-Q--A-PR-LLIYGA----------------SSR--A--T--GI--P---DRFSGSG-------S--GT----D-FTLTISRLEP-EDFAVYYCQQYGS----------------------------SPWTFG-QGTKVEIK-"/>
    <s v="hv4"/>
    <s v="kv3"/>
    <n v="0.99992174"/>
    <n v="0.99999994000000003"/>
    <n v="3.8691250000000003E-2"/>
    <n v="1"/>
    <n v="1"/>
    <n v="0"/>
  </r>
  <r>
    <x v="476"/>
    <x v="2"/>
    <x v="1"/>
    <s v="QVQ-LVQSGA-EVKKPGASVKVSCKASGYTF---------TSYGIS-WVRQ-A-P-G-Q--G-LE-WMGWISAY-----------NGNTNY--A--Q--KL--Q---GRVTMTT-D---T-S--TS----T-AYMELRSLRS-DDTAVYYCAREGTTG-----------------------YYYGLDYWG-QGTLVTVSS"/>
    <s v="EIV-LTQSPGTLSLSPGERATLSCRASQSV-----------SSYLA-WYQQ-K-P-G-Q--A-PR-LLIYGA----------------SSR--A--T--GI--P---DRFSGSG-------S--GT----D-FTLTISRLEP-EDFAVYYCQQYGS----------------------------SPLTFG-QGTKVEIK-"/>
    <s v="hv1"/>
    <s v="kv3"/>
    <n v="0.54692430000000003"/>
    <n v="0.99999994000000003"/>
    <n v="0.99999649999999995"/>
    <n v="1"/>
    <n v="1"/>
    <n v="1"/>
  </r>
  <r>
    <x v="477"/>
    <x v="2"/>
    <x v="1"/>
    <s v="QVQ-LVESGG-GVVQPGRSLRLSCAASGFTF---------SSYAMH-WVRQ-A-P-G-K--G-LE-WVAVISDG------------SNKYY--A--D--SV--K---GRFTISR-D---N-S--KN----T-LYLQMNSLRA-EDTAVYYCARGHSGSYWV------------------YPYYYGMDVWG-QGTTVTVSS"/>
    <s v="EIV-LTQSPATLSLSPGERATLSCRASQSV-----------SSYLA-WYQQ-K-P-G-Q--A-PR-LLIYGA----------------SSR--A--T--GI--P---DRFSGSG-------S--GT----D-FTLTISRLEP-EDFAVYYCQQYGS----------------------------SPWTFG-QGTKVEIK-"/>
    <s v="hv3"/>
    <s v="kv3"/>
    <n v="0.99999994000000003"/>
    <n v="0.99999970000000005"/>
    <n v="0.9999749"/>
    <n v="1"/>
    <n v="1"/>
    <n v="1"/>
  </r>
  <r>
    <x v="478"/>
    <x v="2"/>
    <x v="1"/>
    <s v="EVQ-LVESGG-GLVQPGGSLRLSCAASGFTF---------SSYWMS-WVRQ-A-P-G-K--G-LE-WVAFISYD------------GSTYY--A--D--SV--K---GRFTISR-D---N-S--KN----T-LYLQMNSLRA-EDTAVYYCARDLLRGL---------------------WVPGPFDYWG-QGTLVTVSS"/>
    <s v="-YE-LTQPPS-VSVAPGKTARITCGGNNIG-----------SKSVH-WYQQ-K-P-G-Q--A-PV-LVVYDD----------------SDR--P--S--GI--P---ERFSGSN-------S--GN----T-ATLTISRVEA-GDEADYYCQVWDSS-------------------------SDSIFVFG-TGTKVTVL-"/>
    <s v="hv3"/>
    <s v="lv3"/>
    <n v="0.99256820000000001"/>
    <n v="0.99999994000000003"/>
    <n v="0.99999934000000001"/>
    <n v="1"/>
    <n v="1"/>
    <n v="1"/>
  </r>
  <r>
    <x v="479"/>
    <x v="2"/>
    <x v="1"/>
    <s v="EVQ-LVESGG-GLVQPGGSLRLSCAASGFNV---------SYYSIH-WVRQ-A-P-G-K--G-LE-WVAYIYSS------------GYTSY--A--D--SV--K---GRFTISA-D---T-S--KN----T-AYLQMNSLRA-EDTAVYYCARYSSY--------------------------YGMDVWG-QGTTVTVSS"/>
    <s v="DIQ-MTQSPSSLSASVGDRVTITCRASQSV-----------SSAVA-WYQQ-K-P-G-K--A-PK-LLIYSA----------------SSL--Y--S--GV--P---SRFSGSR-------S--GT----D-FTLTISSLQP-EDFATYYCQQYKY----------------------------VPHTFG-QGTKVEIK-"/>
    <s v="hv3"/>
    <s v="kv1"/>
    <n v="0.99999780000000005"/>
    <n v="0.99403319999999995"/>
    <n v="0.99895906000000001"/>
    <n v="1"/>
    <n v="1"/>
    <n v="1"/>
  </r>
  <r>
    <x v="480"/>
    <x v="2"/>
    <x v="1"/>
    <s v="QVQ-LVQSGA-EVKKPGSSVKVSCKASGGTF---------SSYGIS-WVRQ-A-P-G-Q--G-LE-WMGGIIPI-----------FGTANY--A--Q--KF--Q---GRVTITA-D---E-S--TS----T-AYMELSSLKS-EDTAVYYCARLGPG-------------------------LGKGDYWG-QGTLVTVSS"/>
    <s v="DIQ-MTQSPSSLSASVGDRVTITCRASQGI-----------STWLA-WYQQ-K-P-G-K--A-PK-LLIYKA----------------SSL--E--S--GV--P---SRFSGSG-------S--GT----E-FTLTISSLQP-DDFATYYCQQYNS----------------------------YSYTFG-QGTKVEIK-"/>
    <s v="hv1"/>
    <s v="kv1"/>
    <n v="0.99999994000000003"/>
    <n v="0.99957079999999998"/>
    <n v="0.99999899999999997"/>
    <n v="1"/>
    <n v="1"/>
    <n v="1"/>
  </r>
  <r>
    <x v="481"/>
    <x v="2"/>
    <x v="1"/>
    <s v="QVQ-LQESGP-GLVKPSQTLSLTCTVSGGSIS-------SGGYYWT-WIRQ-P-P-G-K--G-LE-WIGYIYYS------------GSTNY--N--P--SL--K---SRVTISV-D---T-S--KN----Q-FSLKLSSVTA-ADTAVYYCAREGY---------------------------FLLDYWG-QGTLVTVSS"/>
    <s v="DIQ-MTQSPSSLSASVGDRVTITCQASQDI-----------SNYLN-WYQQ-K-P-G-K--A-PK-LLIYDA----------------SNL--E--T--GV--P---SRFSGSG-------S--GT----D-FTFTISSLQP-EDIATYYCQQYDN----------------------------LPFTFG-GGTKVEIK-"/>
    <s v="hv4"/>
    <s v="kv1"/>
    <n v="0.99775480000000005"/>
    <n v="0.99999994000000003"/>
    <n v="0.99993759999999998"/>
    <n v="1"/>
    <n v="1"/>
    <n v="1"/>
  </r>
  <r>
    <x v="482"/>
    <x v="2"/>
    <x v="1"/>
    <s v="EVQ-LVESGG-GLVQPGGSLRLSCAASGFTF---------SSYSMN-WVRQ-A-P-G-K--G-LE-WVSVITDG------------SEKYY--A--D--SV--K---GRFTISR-D---N-S--KN----T-LYLQMNSLRA-EDTAVYYCARELWY--------------------------GGMDVWG-QGTTVTVSS"/>
    <s v="DIQ-MTQSPSSLSASVGDRVTITCRASQSV-----------SSAVA-WYQQ-K-P-G-K--A-PK-LLIYSA----------------SSL--Y--S--GV--P---SRFSGSR-------S--GT----D-FTLTISSLQP-EDFATYYCQQYYS---------------------------YYPWTFG-QGTKVEIK-"/>
    <s v="hv3"/>
    <s v="kv1"/>
    <n v="0.99985075000000001"/>
    <n v="0.99999349999999998"/>
    <n v="0.61551493000000002"/>
    <n v="1"/>
    <n v="1"/>
    <n v="1"/>
  </r>
  <r>
    <x v="483"/>
    <x v="2"/>
    <x v="1"/>
    <s v="QVQ-LVQSGA-EVKKPGSSVKVSCKASGGTF---------SSYGIS-WVRQ-A-P-G-Q--G-LE-WMGGIIIF------------GTANY--A--Q--KF--Q---GRVTITA-D---E-S--TS----T-AYMELSSLRS-EDTAVYYCARGLW---------------------------FFDQHWG-QGTLVTVSS"/>
    <s v="EIV-LTQSPGTLSLSPGERATLSCRASQSVS----------SSYLA-WYQQ-K-P-G-Q--A-PR-LLIYGA----------------SSR--A--T--GI--P---DRFSGSG-------S--GT----D-FTLTISRLEP-EDFAVYYCQQYGS----------------------------SPPTFG-QGTKVEIK-"/>
    <s v="hv1"/>
    <s v="kv3"/>
    <n v="0.99999979999999999"/>
    <n v="0.99999994000000003"/>
    <n v="0.99999830000000001"/>
    <n v="1"/>
    <n v="1"/>
    <n v="1"/>
  </r>
  <r>
    <x v="484"/>
    <x v="2"/>
    <x v="1"/>
    <s v="QVQ-LVQSGA-EVKKPGSSVKVSCKASGGTF---------SSYGIS-WVRQ-A-P-G-Q--G-LE-WMGGIIPI-----------VGTTNY--A--Q--KF--Q---GRVTITA-D---K-S--TS----T-AYMELSSLRS-EDTAVYYCAREGLLG------------------------LWAFDIWG-QGTMVTVSS"/>
    <s v="DIQ-MTQSPSSLSASVGDRVTITCQASQDI-----------SNYLN-WYQQ-K-P-G-K--A-PK-LLIYDA----------------SNL--Q--T--GV--P---SRFSGSG-------S--GT----D-FTLTISSLQP-EDFATYYCQQGVS----------------------------VPRTFG-GGTKVEIK-"/>
    <s v="hv1"/>
    <s v="kv1"/>
    <n v="0.99998456000000002"/>
    <n v="0.99999959999999999"/>
    <n v="6.6865000000000002E-4"/>
    <n v="1"/>
    <n v="1"/>
    <n v="0"/>
  </r>
  <r>
    <x v="485"/>
    <x v="2"/>
    <x v="1"/>
    <s v="EVQ-LVESGG-GLVQPGGSLRLSCAASGFNV---------SSYAIH-WVRQ-A-P-G-K--G-LE-WVAYISSS-----------SGSTSY--A--D--SV--K---GRFTISA-D---T-S--KN----T-AYLQMNSLRA-EDTAVYYCARQGYW--------------------------SSGDL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970000000005"/>
    <n v="0.99706477000000004"/>
    <n v="0.99025415999999999"/>
    <n v="1"/>
    <n v="1"/>
    <n v="1"/>
  </r>
  <r>
    <x v="486"/>
    <x v="2"/>
    <x v="1"/>
    <s v="QVQ-LVQSGA-EVKKPGSSVKVSCKASGGTF---------SSYAIS-WVRQ-A-P-G-Q--G-LE-WMGGIIPI-----------FGTVNY--A--Q--KF--Q---GRVTITA-D---E-S--TS----T-AYMELSSLRS-EDTAVYYCARQYRT--------------------------GYYDVWG-QGTLVTVSS"/>
    <s v="EIV-LTQSPGTLSLSPGERATLSCRASQVS-----------SSYLA-WYQQ-K-P-G-Q--A-PR-LLIYGA----------------SSR--A--T--GI--P---DRFSGSG-------S--GT----D-FTLTISRLEP-EDFAVYYCQQYGS----------------------------SPLTFG-GGTKVEIK-"/>
    <s v="hv1"/>
    <s v="kv3"/>
    <n v="0.99999959999999999"/>
    <n v="0.99999994000000003"/>
    <n v="2.8728373000000001E-2"/>
    <n v="1"/>
    <n v="1"/>
    <n v="0"/>
  </r>
  <r>
    <x v="487"/>
    <x v="2"/>
    <x v="1"/>
    <s v="EVQ-LVESGG-GLVKPGGSLRLSCAASGFTF---------SSYSMN-WVRQ-A-P-G-K--G-LE-WVSSISSS------------SYIYY--A--D--SV--K---GRFTISR-D---N-A--KN----S-LYLQMNSLRA-EDTAVYYCARDVL---------------------------SYGDYWG-QGTLVTVSS"/>
    <s v="-IQ-MTQSPSSLSASVGDRVTITCRASQSV-----------SSAVA-WYQQ-K-P-G-K--A-PK-LLIYSA----------------SSL--Y--S--GV--P---SRFSGSR-------S--GT----D-FTLTISSLQP-EDFATYYCQQYKY----------------------------VPVTFG-QGTKVEIK-"/>
    <s v="hv3"/>
    <s v="kv1"/>
    <n v="0.87548369999999998"/>
    <n v="0.99977919999999998"/>
    <n v="5.5061453000000002E-3"/>
    <n v="1"/>
    <n v="1"/>
    <n v="0"/>
  </r>
  <r>
    <x v="488"/>
    <x v="2"/>
    <x v="1"/>
    <s v="QVQ-LQESGP-GLVKPSQTLSLTCTVSGGSIS-------SGSYYWT-WIRQ-P-P-G-K--G-LE-WIGYIYYS------------GSTNY--N--P--SL--K---SRVTISV-D---T-S--KN----Q-FSLKLSSVTA-ADTAVYYCARHNYQY-----------------------SSYYFDYWG-QGTLVTVSS"/>
    <s v="DIQ-MTQSPSSLSASVGDRVTITCRASQGI-----------SSYLA-WYQQ-K-P-G-K--A-PK-LLIYDA----------------SSL--E--S--GV--P---SRFSGSG-------S--GT----D-FTLTISSLQP-EDFATYYCQQSYT----------------------------TPFTFG-QGTKVEIK-"/>
    <s v="hv4"/>
    <s v="kv1"/>
    <n v="0.99829219999999996"/>
    <n v="0.99865170000000003"/>
    <n v="0.99999994000000003"/>
    <n v="1"/>
    <n v="1"/>
    <n v="1"/>
  </r>
  <r>
    <x v="489"/>
    <x v="2"/>
    <x v="1"/>
    <s v="EVQ-LVESGG-GLVQPGGSLRLSCAASGFNF---------SSSSIH-WVRQ-A-P-G-K--G-LE-WVASISSS-----------SGSTSY--A--D--SV--K---GRFTISA-D---T-S--KN----T-AYLQMNSLRA-EDTAVYYCARSYYGSS----------------------GYWYFDV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970000000005"/>
    <n v="0.99933510000000003"/>
    <n v="0.99158424000000001"/>
    <n v="1"/>
    <n v="1"/>
    <n v="1"/>
  </r>
  <r>
    <x v="490"/>
    <x v="2"/>
    <x v="1"/>
    <s v="QVQ-LQESGP-GLVKPSETLSLTCTVSGGSIS-------SSSYYWG-WIRQ-P-P-G-K--G-LE-WIGSIYYS------------GSTNY--N--P--SL--K---SRVTISV-D---T-S--KN----Q-FSLKLSSVTA-ADTAVYYCARSTGSS------------------------SWYFDVWG-QGTLVTVSS"/>
    <s v="EIV-LTQSPGTLSLSPGERATLSCRASQSV-----------SSYLA-WYQQ-K-P-G-Q--A-PR-LLIYGA----------------SSR--A--T--GI--P---DRFSGSG-------S--GT----D-FTLTISRLEP-EDFAVYYCQQYGS----------------------------SPWTFG-QGTKVEIK-"/>
    <s v="hv4"/>
    <s v="kv3"/>
    <n v="0.83150179999999996"/>
    <n v="0.99999994000000003"/>
    <n v="0.99999830000000001"/>
    <n v="1"/>
    <n v="1"/>
    <n v="1"/>
  </r>
  <r>
    <x v="491"/>
    <x v="2"/>
    <x v="1"/>
    <s v="EVQ-LVESGG-GLVQPGGSLRLSCAASGFNV---------SYYSIH-WVRQ-A-P-G-K--G-LE-WVASIYPY-----------YGSTSY--A--D--SV--K---GRFTISA-D---T-S--KN----T-AYLQMNSLRA-EDTAVYYCARGYWY--------------------------YGMDVWG-QGTTVTVSS"/>
    <s v="DIQ-MTQSPSSLSASVGDRVTITCRASQSV-----------SSAVA-WYQQ-K-P-G-K--A-PK-LLIYSA----------------SSL--Y--S--GV--P---SRFSGSR-------S--GT----D-FTLTISSLQP-EDFATYYCQQSYV---------------------------PSIYIFG-QGTKVEIK-"/>
    <s v="hv3"/>
    <s v="kv1"/>
    <n v="0.99989740000000005"/>
    <n v="0.99999945999999995"/>
    <n v="0.99767715000000001"/>
    <n v="1"/>
    <n v="1"/>
    <n v="1"/>
  </r>
  <r>
    <x v="492"/>
    <x v="2"/>
    <x v="1"/>
    <s v="QVQ-LQQSGA-ELVKPGASVKLSCKASGYTF---------TSDWIH-WVKQ-R-P-G-H--G-LE-WIGEIIPS-----------YGRANY--N--E--KF--K---GKATLTA-D---K-S--SN----T-AYMQLSSLTS-EDSAVYYCAREGW---------------------------YYFDYWG-QGTTLTVSS"/>
    <s v="DIL-LTQSPAILSVSPGERVSFSCRASQSI-----------GTDIH-WYQQ-R-T-N-G--S-PR-LLIKYA----------------SES--I--S--GI--P---SRFSGSG-------S--GT----D-FTLSINSVES-EDIANYYCQQSNR----------------------------WPFTFG-SGTKLEIK-"/>
    <s v="hv1"/>
    <s v="kv3"/>
    <n v="2.2780627000000001E-2"/>
    <n v="3.9501170000000004E-6"/>
    <n v="1.3494308E-4"/>
    <n v="0"/>
    <n v="0"/>
    <n v="0"/>
  </r>
  <r>
    <x v="493"/>
    <x v="2"/>
    <x v="1"/>
    <s v="QVQ-LQQPGA-ELVKPGASVKMSCKASGYTF---------TSDWIH-WVKQ-R-P-G-Q--G-LE-WIGAIYPG-----------SGNTNY--N--E--KF--K---GKATLTA-D---K-S--SS----T-AYMQLSSLTS-EDSAVYYCARERGD--------------------------GYFAVWG-AGTTVTVSS"/>
    <s v="DIL-LTQSPAILSVSPGERVSFSCRASQSI-----------GTDIH-WYQQ-R-T-N-G--S-PR-LLIKYA----------------SES--I--S--GI--P---SRFSGSG-------S--GT----D-FTLSINSVES-EDIADYYCQQSNR----------------------------WPFTFG-SGTKLEIK-"/>
    <s v="hv1"/>
    <s v="kv6"/>
    <n v="0.75337635999999997"/>
    <n v="7.2599790000000002E-7"/>
    <n v="1.4740492E-6"/>
    <n v="1"/>
    <n v="0"/>
    <n v="0"/>
  </r>
  <r>
    <x v="494"/>
    <x v="2"/>
    <x v="1"/>
    <s v="EVQ-LVESGG-GLVQPGGSLRLSCAASGFNL---------YSSSIH-WVRQ-A-P-G-K--G-LE-WVASISSY-----------YGSTSY--A--D--SV--K---GRFTISA-D---T-S--KN----T-AYLQMNSLRA-EDTAVYYCARSGL---------------------------SWYYFWG-QGTLVTVSS"/>
    <s v="DIQ-MTQSPSSLSASVGDRVTITCRASQSV-----------SSAVA-WYQQ-K-P-G-K--A-PK-LLIYSA----------------SSL--Y--S--GV--P---SRFSGSR-------S--GT----D-FTLTISSLQP-EDFATYYCQQSYY----------------------------IPRTFG-QGTKVEIK-"/>
    <s v="hv3"/>
    <s v="kv1"/>
    <n v="0.99999780000000005"/>
    <n v="0.99999919999999998"/>
    <n v="0.98947936000000003"/>
    <n v="1"/>
    <n v="1"/>
    <n v="1"/>
  </r>
  <r>
    <x v="495"/>
    <x v="2"/>
    <x v="1"/>
    <s v="EVQ-LVESGG-GLVKPGGSLKLSCAASGFTF---------SSYAMS-WVRQ-T-P-E-K--R-LE-WVATISGG------------GTIYY--A--D--TV--K---GRFTISR-D---N-A--KN----T-LYLQMSSLKS-EDTAMYYCARPEY----------------------------GWDYWG-QGTLVTVSS"/>
    <s v="DIV-MTQSP-SLSASVGDRVTITCRASQSV-----------SSAVA-WYQQ-K-P-G-K--A-PK-LLIYSA----------------SSL--Y--S--GV--P---SRFSGSG-------S--GT----E-FTLTISSLQP-EDFATYYCQQYSS----------------------------YPLTFG-GGTKVEIK-"/>
    <s v="hv3"/>
    <s v="kv1"/>
    <n v="0.82387469999999996"/>
    <n v="0.99945795999999998"/>
    <n v="0.45687"/>
    <n v="1"/>
    <n v="1"/>
    <n v="0"/>
  </r>
  <r>
    <x v="496"/>
    <x v="2"/>
    <x v="1"/>
    <s v="QVQ-LVQSGA-EVKKPGASVKVSCKASGYTF---------TSYHIH-WVRQ-A-P-G-Q--G-LE-WMGWISYN------------GNTNY--A--Q--KF--Q---GRVTMTR-D---T-S--IS----T-AYMEL---RS-EDTAVYYCARSGYD--------------------------YGGDYWG-QGTLVTVSS"/>
    <s v="DIQ-MTQSPSSLSASVGDRVTITCRASQDV-----------NTAVA-WYQQ-K-P-G-K--A-PK-LLIYSAS--------------YRYT--G--S--GV--P---SRFSGSG-------S--GT----D-FTLTISSLQP-EDFATYYCQQSYS----------------------------TPRTFG-QGTKVEIK-"/>
    <s v="hv1"/>
    <s v="kv1"/>
    <n v="0.99999979999999999"/>
    <n v="0.99923720000000005"/>
    <n v="0.20272461999999999"/>
    <n v="1"/>
    <n v="1"/>
    <n v="0"/>
  </r>
  <r>
    <x v="497"/>
    <x v="2"/>
    <x v="1"/>
    <s v="EVQ-LVESGG-GLVQPGGSLRLSCAASGFTF---------SDYAMH-WVRQ-A-P-G-K--G-LE-WVAGIYPNS----------GGSTYY--A--D--SV--K---GRFTISR-D---N-S--KN----T-LYLQMNSLRA-EDTAVYYCARDLL----------------------------GYDYWG-QGTLVTVSS"/>
    <s v="EIV-MTQSPATLSLSPGERATLSCRASQSV-----------SSYLA-WYQQ-K-P-G-Q--A-PR-LLIYDA----------------SNR--A--T--GI--P---ARFSGSG-------S--GT----D-FTLTISSLEP-EDFAVYYCQQRSN---------------------------WPPWTFG-QGTKVEIK-"/>
    <s v="hv3"/>
    <s v="kv3"/>
    <n v="0.87568336999999996"/>
    <n v="0.99999994000000003"/>
    <n v="0.99999994000000003"/>
    <n v="1"/>
    <n v="1"/>
    <n v="1"/>
  </r>
  <r>
    <x v="498"/>
    <x v="2"/>
    <x v="1"/>
    <s v="QVQ-LQQSGP-ELVRPGASVKISCKASGYTF---------TDYYIN-WVKQ-R-P-G-Q--G-LE-WIGMIHPS-----------GGYTNY--N--Q--KF--K---GKATLTA-D---K-S--SS----T-AYMQLSSLTS-EDSAVYFCARGWQS--------------------------GYFDVWG-QGTAVTVSS"/>
    <s v="DIQ-MTQSPSSLSASVGDRVTITCRASQSV-----------SSAVA-WYQQ-K-P-G-K--A-PK-LLIYSA----------------SSL--Y--S--GV--P---SRFSGSG-------S--GT----D-FTLTISSLQP-EDFATYYCQQYKY----------------------------VPWTFG-QGTKVEIK-"/>
    <s v="hv1"/>
    <s v="kv1"/>
    <n v="0.8088632"/>
    <n v="0.99586600000000003"/>
    <n v="0.87020284000000003"/>
    <n v="1"/>
    <n v="1"/>
    <n v="1"/>
  </r>
  <r>
    <x v="499"/>
    <x v="2"/>
    <x v="1"/>
    <s v="EVQ-LVESGG-GLVKPGGSLKLSCAASGFTF---------SSYAMS-WVRQ-T-P-E-K--R-LE-WVATISGG------------GYTYY--P--D--SV--K---GRFTISR-D---N-A--KN----T-LYLQM---KS-EDTAMYYCARSRGS--------------------------GYYDYWG-QGTSVTVSS"/>
    <s v="DIV-MSQSPSSLAVSAGEKVTMSCKSSQSLLNS-----GNQKNYLA-WYQQ-K-P-G-Q--S-PK-LLIYWA----------------STR--E--S--GV--P---DRFTGSG-------S--GT----D-FTLTISSVQA-EDLAVYYCKQSY-----------------------------NLYTFG-GGTKLEIK-"/>
    <s v="hv3"/>
    <s v="kv4"/>
    <n v="0.86976624000000002"/>
    <n v="8.5865510000000002E-9"/>
    <n v="6.7224909999999999E-2"/>
    <n v="1"/>
    <n v="0"/>
    <n v="0"/>
  </r>
  <r>
    <x v="500"/>
    <x v="3"/>
    <x v="1"/>
    <s v="QVQ-LQESGP-GLVKPSETLSLTCTVSGGSI----------SSYWS-WVRQ-P-P-G-K--G-LE-WIGEIYHS------------GNTNY--N--P--SL--K---SRVTISV-D---T-S--KN----Q-FSLKLSSVTA-ADTAVYYCARVYSS--------------------------YSGDYWG-RGTLVTVSS"/>
    <s v="DIQ-MTQSPSSLSASVGDRVTITCRASQGI-----------SNYLN-WYQQ-K-P-G-K--A-PK-LLIYAA----------------SSL--Q--S--GV--P---SRFSGSG-------S--GT----D-FTLTISSLQP-EDFATYYCQQANS----------------------------FPFTFG-PGTKVDIK-"/>
    <s v="hv4"/>
    <s v="kv1"/>
    <n v="0.99999979999999999"/>
    <n v="0.99999994000000003"/>
    <n v="0.99991363"/>
    <n v="1"/>
    <n v="1"/>
    <n v="1"/>
  </r>
  <r>
    <x v="501"/>
    <x v="3"/>
    <x v="1"/>
    <e v="#NAME?"/>
    <s v="DIQ-MTQSPSSLSASVGDRVTITCRASQSV-----------SSAVA-WYQQ-K-P-G-K--A-PK-LLIYSA----------------SSL--Y--S--GV--P---SRFSGSR-------S--GT----D-FTLTISSLQP-EDFATYYCQQSYY---------------------------SSLITFG-QGTKVEIK-"/>
    <s v="hv3"/>
    <s v="kv1"/>
    <n v="0.99999340000000003"/>
    <n v="0.99999970000000005"/>
    <n v="3.2564590000000002E-3"/>
    <n v="1"/>
    <n v="1"/>
    <n v="0"/>
  </r>
  <r>
    <x v="502"/>
    <x v="3"/>
    <x v="1"/>
    <s v="EVQ-LQQSGA-ELVKPGASVKLSCTASGFNI---------KDTYMY-WVKQ-R-P-E-Q--G-LE-WIGRIDPA-----------NGYTKY--D--P--KF--Q---GKATITA-D---T-S--SN----T-AYLQLSSLTS-EDTAVYYCVRPLYD-------------------------YYAMDYWG-QGTSVTVSS"/>
    <s v="DIV-LTQSPASLAVSLGQRATISCRASESVEY--------HSITMN-WFQQ-K-P-G-Q--P-PK-LLIYAA----------------SNL--D--S--GI--P---ARFSGSG-------S--GT----D-FTLNIHPVEE-EDAATYYCQQNNE----------------------------DPITFG-PGTKVDIK-"/>
    <s v="hv1"/>
    <s v="lv3"/>
    <n v="5.2406813E-6"/>
    <n v="2.2154793E-4"/>
    <n v="0.1381802"/>
    <n v="0"/>
    <n v="0"/>
    <n v="0"/>
  </r>
  <r>
    <x v="503"/>
    <x v="3"/>
    <x v="1"/>
    <s v="EVQ-LVQSGA-EVKKPGASVKVSCKASGYTF---------TGYYMH-WVRQ-A-P-G-Q--G-LE-WMGWINPN-----------SGGTNY--A--Q--KF--Q---GRVTMTR-D---T-S--IS----T-AYMELSRLRS-DDTAVYYCARDRPPNYG--------------------SSYYPMDVWG-QGTTVTVSS"/>
    <s v="EIV-LTQSPGTLSLSPGERATLSCRASQSVS----------SSYLA-WYQQ-K-P-G-Q--A-PR-LLIYGA----------------SSR--A--T--GI--P---DRFSGSG-------S--GT----D-FTLTISRLEP-EDFAVYYCQQHD-----------------------------TSLTFG-GGTKVEIK-"/>
    <s v="hv1"/>
    <s v="kv3"/>
    <n v="0.99654549999999997"/>
    <n v="0.99999994000000003"/>
    <n v="0.99991149999999995"/>
    <n v="1"/>
    <n v="1"/>
    <n v="1"/>
  </r>
  <r>
    <x v="504"/>
    <x v="3"/>
    <x v="1"/>
    <s v="QVQ-LVQSGA-EVKKPGASVKVSCKASGYTF---------TSYAMH-WVRQ-A-P-G-Q--G-LE-WMGIINSG------------GSTSY--A--Q--KF--Q---GRVTMTT-D---T-S--TS----T-AYMELRSLRS-DDTAVYYCAREGYYG-----------------------SYYYFDYWG-QGTLVTVSS"/>
    <s v="DIQ-MTQSPSSLSASVGDRVTITCQASQDI-----------RSYLN-WYQQ-K-P-G-K--A-PK-LLIYAA----------------STL--Q--S--GV--P---SRFSGSG-------S--GT----D-FTLTISSLQP-EDFATYYCQQFNS----------------------------YPLTFG-QGTKLEIK-"/>
    <s v="hv1"/>
    <s v="kv1"/>
    <n v="0.91621655000000002"/>
    <n v="0.99999994000000003"/>
    <n v="3.1055892000000002E-2"/>
    <n v="1"/>
    <n v="1"/>
    <n v="0"/>
  </r>
  <r>
    <x v="505"/>
    <x v="3"/>
    <x v="1"/>
    <s v="EVQ-LVESGG-GLVQPGGSLRLSCAASGFNI---------SSSSIH-WVRQ-A-P-G-K--G-LE-WVASIYSY-----------SGYTSY--A--D--SV--K---GRFTISA-D---T-S--KN----T-AYLQMNSLRA-EDTAVYYCARVSG----------------------------GSDYWG-QGTLVTVSS"/>
    <s v="DIQ-MTQSPSSLSASVGDRVTITCRASQSV-----------SSAVA-WYQQ-K-P-G-K--A-PK-LLIYSA----------------SSL--Y--S--GV--P---SRFSGSR-------S--GT----D-FTLTISSLQP-EDFATYYCQQYSS----------------------------WPLTFG-QGTKVEIK-"/>
    <s v="hv3"/>
    <s v="kv1"/>
    <n v="0.9999979"/>
    <n v="0.99947580000000003"/>
    <n v="0.99406570000000005"/>
    <n v="1"/>
    <n v="1"/>
    <n v="1"/>
  </r>
  <r>
    <x v="506"/>
    <x v="3"/>
    <x v="1"/>
    <s v="EVQ-LVESGG-GLVQPGGSLRLSCAASGFTF---------STYAMS-WVRQ-A-P-G-K--G-LE-WVSGISWN-----------SGNTYY--A--D--SV--K---GRFTISR-D---N-S--KN----T-LYLQMNSLRA-EDTAVYYCARGLWGQGFG------------------PWVYGAMDYWG-QGTLVTVSS"/>
    <s v="DIQ-MTQSPSSLSASVGDRVTITCQASQDI-----------SNYLN-WYQQ-K-P-G-K--A-PK-LLIYDA----------------SNL--E--T--GV--P---SRFSGSG-------S--GT----D-FTFTISSLQP-EDIATYYCQQYDN----------------------------LPLTFG-GGTKVEIK-"/>
    <s v="hv3"/>
    <s v="kv1"/>
    <n v="0.99999970000000005"/>
    <n v="0.99999994000000003"/>
    <n v="0.99998456000000002"/>
    <n v="1"/>
    <n v="1"/>
    <n v="1"/>
  </r>
  <r>
    <x v="507"/>
    <x v="3"/>
    <x v="1"/>
    <s v="EVQ-LVESGG-GLVQPGGSLRLSCAASGFNL---------YSSSIH-WVRQ-A-P-G-K--G-LE-WVASIYPY-----------SGYTRY--A--D--SV--K---GRFTISA-D---T-S--KN----T-AYLQMNSLRA-EDTAVYYCARGYRDLWW-------------------DSYYSG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10000000003"/>
    <n v="0.9999903"/>
    <n v="0.99686944"/>
    <n v="1"/>
    <n v="1"/>
    <n v="1"/>
  </r>
  <r>
    <x v="508"/>
    <x v="3"/>
    <x v="1"/>
    <s v="QVQ-LVQSGA-EVKKPGASVKVSCKASGYTF---------TSYGIS-WVRQ-A-P-G-Q--G-LE-WMGIIPIF------------GDTSY--A--Q--KF--Q---GRVTMTR-D---T-S--TS----T-VYMELSSLRS-DDTAVYYCARGYYGY-----------------------YRYSYDYWG-QGTLVTVSS"/>
    <s v="EIV-LTQSPGTLSLSPGERATLSCRASQSV-----------SSYLA-WYQQ-K-P-G-Q--A-PR-LLIYGA----------------SSR--A--T--GI--P---DRFSGSG-------S--GT----D-FTLTISRLEP-EDFAVYYCQQYGT----------------------------SPWTFG-QGTKVEIK-"/>
    <s v="hv1"/>
    <s v="kv3"/>
    <n v="0.99996907000000002"/>
    <n v="0.99999994000000003"/>
    <n v="0.99991184"/>
    <n v="1"/>
    <n v="1"/>
    <n v="1"/>
  </r>
  <r>
    <x v="509"/>
    <x v="3"/>
    <x v="1"/>
    <s v="EVQ-LVESGG-GLVQPGGSLRLSCAASGFNV---------SYSSIH-WVRQ-A-P-G-K--G-LE-WVASISSY-----------YGYTSY--A--D--SV--K---GRFTISA-D---T-S--KN----T-AYLQMNSLRA-EDTAVYYCARSRQFW------------------------YSG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45999999995"/>
    <n v="0.9999903"/>
    <n v="0.98918019999999995"/>
    <n v="1"/>
    <n v="1"/>
    <n v="1"/>
  </r>
  <r>
    <x v="510"/>
    <x v="3"/>
    <x v="1"/>
    <s v="QVQ-LVQSGA-EVKKPGASVKVSCKASGYTF---------TSYAMH-WVRQ-A-P-G-Q--G-LE-WMGWINTY-----------NGNTNY--A--Q--KF--Q---GRVTMTT-D---T-S--TS----T-AYMEL---RS-EDTAVYYCARADYGYG----------------------DLWFLDYWG-QGTLVTVSS"/>
    <s v="EIV-LTQSPGTLSLSPGERATLSCRASQVS-----------SSYLA-WYQQ-K-P-G-Q--A-PR-LLIYGA----------------SSR--A--T--GI--P---DRFSGSG-------S--GT----D-FTLTISRLEP-EDFAVYYCQQYGS----------------------------SPRTFG-QGTKLEIK-"/>
    <s v="hv1"/>
    <s v="kv3"/>
    <n v="0.99999243000000004"/>
    <n v="0.99999994000000003"/>
    <n v="8.0635980000000004E-4"/>
    <n v="1"/>
    <n v="1"/>
    <n v="0"/>
  </r>
  <r>
    <x v="511"/>
    <x v="3"/>
    <x v="1"/>
    <s v="EVQ-LVESGG-GLVQPGGSLRLSCAASGFTF---------SNYAMS-WVRQ-A-P-G-K--G-LE-WVSAISGS-----------GGSTYY--A--D--SV--K---GRFTISR-D---N-S--KN----T-LYLQMNSLRA-EDTAVYYCARQTPWSS----------------------GNYGFDYWG-QGTLVTVSS"/>
    <s v="DIV-MTQSPSSLSASVGDRVTITCRASQSI-----------SSYLN-WYQQ-K-P-G-K--A-PK-LLIYAA----------------SSL--Q--S--GV--P---SRFSGSG-------S--GT----D-FTLTISSLQP-EDFATYYCQQSYY----------------------------WPLTFG-GGTKVEIK-"/>
    <s v="hv3"/>
    <s v="kv1"/>
    <n v="0.99950176000000002"/>
    <n v="0.99999994000000003"/>
    <n v="0.99930596000000005"/>
    <n v="1"/>
    <n v="1"/>
    <n v="1"/>
  </r>
  <r>
    <x v="512"/>
    <x v="3"/>
    <x v="1"/>
    <s v="EVQ-LQQSGP-ELVKPGASVKISCKTSGYTF---------TEYTMY-WVKQ-R-P-G-Q--G-LE-WIGEIDPS------------DSDTY--T--Q--KF--K---GKATLTV-D---K-S--SS----T-AYMQL---TS-EDSAVYYCARSGG---------------------------YRYDYWG-QGTSVTVSS"/>
    <s v="DIV-MTQSPDSLAVSLGERATINCKSSQSVLYS-----SNNKNYLA-WYQQ-K-P-G-Q--P-PK-LLIYWA----------------STR--E--S--GV--P---DRFSGSG-------S--GT----D-FTLTISSLQA-EDVAVYYCQQYYS----------------------------TPYTFG-QGTKVEIK-"/>
    <s v="hv1"/>
    <s v="kv4"/>
    <n v="3.363043E-3"/>
    <n v="0.99999994000000003"/>
    <n v="1.0630782E-7"/>
    <n v="0"/>
    <n v="1"/>
    <n v="0"/>
  </r>
  <r>
    <x v="513"/>
    <x v="3"/>
    <x v="1"/>
    <s v="EVQ-LVESGG-GLVQPGGSLRLSCAASGFNV---------YSSSIH-WVRQ-A-P-G-K--G-LE-WVASISSY-----------YGSTSY--A--D--SV--K---GRFTISA-D---T-S--KN----T-AYLQMNSLRA-EDTAVYYCARQGYW--------------------------YGMDVWG-QGTTVTVSS"/>
    <s v="DIQ-MTQSPSSLSASVGDRVTITCRASQSV-----------SSAVA-WYQQ-K-P-G-K--A-PK-LLIYSA----------------SSL--Y--S--GV--P---SRFSGSR-------S--GT----D-FTLTISSLQP-EDFATYYCQQYLY---------------------------YSLVTFG-QGTKVEIK-"/>
    <s v="hv3"/>
    <s v="kv1"/>
    <n v="0.99998575000000001"/>
    <n v="0.99999875000000005"/>
    <n v="0.97496859999999996"/>
    <n v="1"/>
    <n v="1"/>
    <n v="1"/>
  </r>
  <r>
    <x v="514"/>
    <x v="3"/>
    <x v="1"/>
    <s v="QVQ-LQQSGA-ELVRPGASVKMSCKASGYTF---------TSYWMH-WVKQ-R-P-G-Q--G-LE-WIGYINPNS----------GGTTNY--N--E--KF--K---GKATFTA-D---T-S--SN----T-AYMQLSSLTS-EDSAVYYCTRGRGN-------------------------YWAMDYWG-QGTSVTVSS"/>
    <s v="DIV-LTQSPASLAVSLGQRATISCRASKSVST-------SGYSYMH-WYQQ-K-P-G-Q--P-PK-LLIYLA----------------SNL--E--S--GV--P---ARFSGSG-------S--RT----D-FTLTIDPVEA-DDAATYYCQQSNE----------------------------DPFTFG-SGTKLEIK-"/>
    <s v="hv1"/>
    <s v="kv4"/>
    <n v="0.50943470000000002"/>
    <n v="3.5014269999999998E-7"/>
    <n v="1.4512824999999999E-8"/>
    <n v="1"/>
    <n v="0"/>
    <n v="0"/>
  </r>
  <r>
    <x v="515"/>
    <x v="3"/>
    <x v="1"/>
    <s v="-VQ-LQQSGP-ELVKPGASVKISCKASGYTF---------TDYSIH-WVKQ-R-P-G-H--G-LE-WIGEIIPS-----------YGRANY--N--E--KI--QVV-TKKEIAD-T---ATA--TG----K-AFYDM-ELRS-DDTAVYYCARDYDY-------------------------DYAMDYWG-QGTSVTVSS"/>
    <s v="DIV-MSQSPSSLAVSAGEKVTMSCKSSQSLLNS-----RTRKNYLA-WYQQ-K-P-G-Q--S-PK-LLIYWA----------------SAR--H--T--GV--P---DRFTGSG-------S--GT----D-FTLTISSVQA-EDLAVYYCQQHYS----------------------------TPRTFG-GGTKLEIK-"/>
    <s v="hv1"/>
    <s v="kv4"/>
    <n v="0.99563880000000005"/>
    <n v="3.0813180000000001E-7"/>
    <n v="1.2238972E-10"/>
    <n v="1"/>
    <n v="0"/>
    <n v="0"/>
  </r>
  <r>
    <x v="516"/>
    <x v="3"/>
    <x v="1"/>
    <s v="QVQ-LQESGP-GLVKPSQTLSLTCTVSGGSIT--------SDYYWS-WIRQ-S-P-G-K--G-LE-WIGYISD-------------SDTKY--N--P--SL--Q---SRVTL-T-D---T-S--T-------YYMELSSLKS-EDTAVYYCARDGSG--------------------------GYYDVWG-AGTTVTVSS"/>
    <s v="EIV-LTQSPGTLSLSPGETAIISCRTSQY-------------GSLA-WYQQ-K-P-G-Q--A-PR-LLIYGA----------------SSR--A--T--GI--P---DRFSGSG-------S--GT----D-FTLTISRLEP-EDFAVYYCQQYGS----------------------------SPLTFG-GGTKVEIK-"/>
    <s v="hv4"/>
    <s v="kv3"/>
    <n v="0.6659699"/>
    <n v="0.99999994000000003"/>
    <n v="0.82800335000000003"/>
    <n v="1"/>
    <n v="1"/>
    <n v="1"/>
  </r>
  <r>
    <x v="517"/>
    <x v="3"/>
    <x v="1"/>
    <s v="EVQ-LVQSGA-EVKKPGSSVKVSCKASGGPF---------RSYFTS-WVRQ-A-P-G-Q--G-LE-WMGRIIPI-----------LGIANY--A--Q--KF--Q---GRVTITA-D---K-S--TS----T-AYMELSSLRS-EDTAVYYCAREGSS--------------------------WVYFGSG-QGTLVTVSS"/>
    <s v="DIQ-MTQSPSSLSASVGDRVTITCRASQSI-----------SSYLN-WYQQ-K-P-G-K--A-PK-LLIYAA----------------SSL--Q--S--GV--P---SRFSGSG-------S--GT----D-FTLTISSLQP-EDFATYYCQQYNN---------------------------YPPYTFG-QGTKLEIK-"/>
    <s v="hv1"/>
    <s v="kv1"/>
    <n v="0.99998430000000005"/>
    <n v="0.99999994000000003"/>
    <n v="0.27802680000000002"/>
    <n v="1"/>
    <n v="1"/>
    <n v="0"/>
  </r>
  <r>
    <x v="518"/>
    <x v="3"/>
    <x v="1"/>
    <s v="EVQ-LVESGG-GLVQPGGSLRLSCAASGFTF---------SSYWMS-WVRQ-A-P-G-K--G-LE-WVSGISGS-----------GGTVYY--A--D--SV--K---GRFTISR-D---N-S--KN----T-LYLQMNSLRA-EDTAVYYCARLQGHQYRGLP-------------YSYVYSGWFFDYWG-QGTLVTVSS"/>
    <s v="DIQ-MTQSPSSLSASVGDRVTITCRASQSV-----------SSAVA-WYQQ-K-P-G-K--A-PK-LLIYSA----------------SFL--Y--S--GV--P---SRFSGSR-------S--GT----D-FTLTISSLQP-EDFATYYCQQSSS----------------------------SLITFG-QGTKVEIK-"/>
    <s v="hv3"/>
    <s v="kv1"/>
    <n v="0.99988670000000002"/>
    <n v="0.99999859999999996"/>
    <n v="1.8143075E-3"/>
    <n v="1"/>
    <n v="1"/>
    <n v="0"/>
  </r>
  <r>
    <x v="519"/>
    <x v="3"/>
    <x v="1"/>
    <s v="QVQ-LQQSGA-ELVKPGASVKLSCTASGFNI---------KDTYIH-WVKQ-R-P-E-Q--G-LE-WIGRIDPA-----------NGDTKY--D--P--KF--Q---GKATITT-D---T-F--SN----T-AYLQLSSLTS-EDTAVYYCARGGYDG------------------------YYAMDYWG-QGTSVTVSS"/>
    <s v="DIL-LTQSPAILSVSPGERVSFSCRASQSI-----------GTDIH-WYQQ-R-T-N-G--S-PR-LLIKYA----------------SES--I--S--GI--P---SRFSGSG-------S--GT----D-FTLSINSVES-EDIANYYCQQSNR----------------------------WPFTFG-SGTKLEIK-"/>
    <s v="hv1"/>
    <s v="kv3"/>
    <n v="5.261216E-3"/>
    <n v="3.9501170000000004E-6"/>
    <n v="0.97680736000000001"/>
    <n v="0"/>
    <n v="0"/>
    <n v="1"/>
  </r>
  <r>
    <x v="520"/>
    <x v="3"/>
    <x v="1"/>
    <s v="EVQ-LVESGG-GLVQPGGSLRLSCAASGFNL---------YSSSIH-WVRQ-A-P-G-K--G-LE-WVAYISSS-----------SGSTSY--A--D--SV--K---GRFTISA-D---T-S--KN----T-AYLQMNSLRA-EDTAVYYCARHYDY-------------------------YYGMDVWG-QGTTVTVSS"/>
    <s v="DIQ-MTQSPSSLSASVGDRVTITCRASQSV-----------SSAVA-WYQQ-K-P-G-K--A-PK-LLIYSA----------------SSL--Y--S--GV--P---SRFSGSR-------S--GT----D-FTLTISSLQP-EDFATYYCQQSSS----------------------------SYPTFG-QGTKVEIK-"/>
    <s v="hv3"/>
    <s v="kv1"/>
    <n v="0.99999934000000001"/>
    <n v="0.9999787"/>
    <n v="0.93476652999999998"/>
    <n v="1"/>
    <n v="1"/>
    <n v="1"/>
  </r>
  <r>
    <x v="521"/>
    <x v="3"/>
    <x v="1"/>
    <s v="QVQ-LQESGP-GLVKPSETLSLTCTVSGASVS--------SGYYWN-WIRQ-P-P-G-K--G-LE-WIGYISGS------------GSTNY--N--P--SL--K---SRVTISV-D---T-S--KN----Q-FSLKLSSVTA-ADTAVYYCARGVWY--------------------------GSDDYWG-QGTLVTVSS"/>
    <s v="DIQ-MTQSPSSLSASVGDRVTITCRASQSI-----------SSYLN-WYQQ-K-P-G-K--A-PK-LLIYAA----------------SSL--Q--S--GV--P---SRFSGSG-------S--GT----D-FTLTISSLQP-EDFATYYCQQYNS----------------------------YSITFG-QGTKVEIK-"/>
    <s v="hv4"/>
    <s v="kv1"/>
    <n v="0.99994713000000002"/>
    <n v="0.99999994000000003"/>
    <n v="0.99976489999999996"/>
    <n v="1"/>
    <n v="1"/>
    <n v="1"/>
  </r>
  <r>
    <x v="522"/>
    <x v="3"/>
    <x v="1"/>
    <s v="EVQ-LVESGG-GLVQPGGSLRLSCAASGFNI----------SSSIH-WVRQ-A-P-G-K--G-LE-WVASISSY-----------YGSTSY--A--D--SV--K---GRFTISA-D---T-S--KN----T-AYLQMNSLRA-EDTAVYYCARSPYGGG---------------------YGYWYFDVWG-AGTTVTVSS"/>
    <s v="DIQ-MTQSPSSLSASVGDRVTITCRASQSV-----------SSAVA-WYQQ-K-P-G-K--A-PK-LLIYSA----------------SSL--Y--S--GV--P---SRFSGSR-------S--GT----D-FTLTISSLQP-EDFATYYCQQSSS----------------------------SLITFG-QGTKVEIK-"/>
    <s v="hv3"/>
    <s v="kv1"/>
    <n v="0.99833209999999994"/>
    <n v="0.9999903"/>
    <n v="0.98787429999999998"/>
    <n v="1"/>
    <n v="1"/>
    <n v="1"/>
  </r>
  <r>
    <x v="523"/>
    <x v="3"/>
    <x v="1"/>
    <s v="EVQ-LVQSGA-EVKKPGASVKVSCKASGYTF---------TDYYIH-WVRQ-A-P-G-Q--G-LE-WMGWVNTE-----------DGSVNY--A--Q--KF--Q---GRVTMTR-D---T-S--IT----T-AYMELSRLRS-DDTAVYYCARGSPGYVS--------------------DSWSGLDYWG-QGTLVTVSS"/>
    <s v="DIQ-MTQSPSSLSASVGDRVTITCRASQSI-----------SSYLN-WYQQ-K-P-G-K--A-PK-LLIYAA----------------SSL--Q--S--GV--P---SRFSGSG-------S--GT----D-FTLTISSLQP-EDFATYYCQQYSS----------------------------YSHTFG-QGTKVEIK-"/>
    <s v="hv1"/>
    <s v="kv1"/>
    <n v="0.99999959999999999"/>
    <n v="0.99999994000000003"/>
    <n v="0.99908719999999995"/>
    <n v="1"/>
    <n v="1"/>
    <n v="1"/>
  </r>
  <r>
    <x v="524"/>
    <x v="3"/>
    <x v="1"/>
    <s v="EVQ-LQQSGA-ELVKPGASVKLSCTASGFNI---------KDTYMY-WVKQ-R-P-E-Q--G-LE-WIGRIDPA-----------NGDTKY--D--P--KF--Q---GKATITT-D---T-F--SN----T-AYLQLSSLTS-EDTAVYYCVRPLYD-------------------------YYAMDYWG-QGTSVTVSS"/>
    <s v="DIV-MTQSPSSLAVSAGEKVTMSCKSSQSLFSS-----SNQKNYLA-WYQQ-K-P-G-Q--S-PK-LLIYWA----------------STR--E--S--GV--P---DRFTGSG-------S--GT----D-FTLTISSVQA-EDLAVYYCKQSYN----------------------------LPLTFG-GGTKLEIK-"/>
    <s v="hv1"/>
    <s v="kv4"/>
    <n v="8.1934610000000004E-6"/>
    <n v="1.0363546499999999E-7"/>
    <n v="0.90971729999999995"/>
    <n v="0"/>
    <n v="0"/>
    <n v="1"/>
  </r>
  <r>
    <x v="525"/>
    <x v="3"/>
    <x v="1"/>
    <s v="QVQ-LVQSGA-EVKKPGASVKVSCKASGYTF---------TSYHIH-WVRQ-A-P-G-Q--G-LE-WMGWISAY-----------NGNTNY--A--Q--KF--Q---GRVTMTT-D---T-S--TT----T-GYMELRRLRS-DDTAVYYCAREGAWICA-------------------SGSGYYFDVWG-QGTLVTVSS"/>
    <s v="DIQ-MTQSPSSLSASVGDRVTITCRASQSV-----------SSAVA-WYQQ-K-P-G-K--A-PK-LLIYSA----------------SSL--Y--S--GV--P---SRFSGSR-------S--GT----D-FTLTISSLQP-EDFATYYCQQSY-----------------------------NLVTFG-QGTKVEIK-"/>
    <s v="hv1"/>
    <s v="kv1"/>
    <n v="0.99999780000000005"/>
    <n v="0.99999994000000003"/>
    <n v="0.98366796999999995"/>
    <n v="1"/>
    <n v="1"/>
    <n v="1"/>
  </r>
  <r>
    <x v="526"/>
    <x v="3"/>
    <x v="1"/>
    <s v="QVQ-LVQSGA-EVKKPGASVKVSCKASGYTF---------TDYYIH-WVRQ-A-P-G-Q--G-LE-WMGWINPN-----------SGGTNY--A--Q--KF--Q---GRVTMTR-D---T-S--IS----T-AYMEL---RS-DDTAVYYCARGVY---------------------------GNEMDWG-QGTLVTVSS"/>
    <s v="DIQ-MTQSPSSLSASVGDRVTITCRASQSV-----------SSAVA-WYQQ-K-P-G-K--A-PK-LLIYSA----------------SSL--Y--S--GV--P---SRFSGSR-------S--GT----D-FTLTISSLQP-EDFATYYCQQSY-----------------------------IYYSFG-QGTKVEIK-"/>
    <s v="hv1"/>
    <s v="kv1"/>
    <n v="0.99999994000000003"/>
    <n v="0.99999859999999996"/>
    <n v="0.19013938"/>
    <n v="1"/>
    <n v="1"/>
    <n v="0"/>
  </r>
  <r>
    <x v="527"/>
    <x v="3"/>
    <x v="1"/>
    <s v="EVQ-LVESGG-GLVQPGGSLRLSCAASGFNI---------SSSSIH-WVRQ-A-P-G-K--G-LE-WVASIYSY-----------SGYTSY--A--D--SV--K---GRFTISA-D---T-S--KN----T-AYLQMNSLRA-EDTAVYYCARWGYW-------------------------YYGMDVWG-QGTTVTVSS"/>
    <s v="DIQ-MTQSPSSLSASVGDRVTITCRASQSV-----------SSAVA-WYQQ-K-P-G-K--A-PK-LLIYSA----------------SSL--Y--S--GV--P---SRFSGSR-------S--GT----D-FTLTISSLQP-EDFATYYCQQYKY----------------------------VPVTFG-QGTKVEIK-"/>
    <s v="hv3"/>
    <s v="kv1"/>
    <n v="0.99995809999999996"/>
    <n v="0.99933510000000003"/>
    <n v="0.98197299999999998"/>
    <n v="1"/>
    <n v="1"/>
    <n v="1"/>
  </r>
  <r>
    <x v="528"/>
    <x v="3"/>
    <x v="1"/>
    <s v="EVQ-LVQSGA-EVKKPGASVKVSCKASGYTF---------TSYGIS-WVRQ-A-P-G-Q--G-LE-WMGWISYN------------GNTNY--A--Q--KF--Q---GRVTMTR-D---T-S--IS----T-AYMELRSLRS-DDTAVYYCARDGS----------------------------GYDVWG-QGTLVTVSS"/>
    <s v="EIV-LTQSPGTLSLSPGERATLSCRASQVS-----------SSYLA-WYQQ-K-P-G-Q--A-PR-LLIYGA----------------SSR--A--T--GI--P---DRFSGSG-------S--GT----D-FTLTISRLEP-EDFAVYYCQQYGS----------------------------SPWTFG-QGTKVEIK-"/>
    <s v="hv1"/>
    <s v="kv3"/>
    <n v="0.96064775999999996"/>
    <n v="0.99999994000000003"/>
    <n v="0.52676153000000003"/>
    <n v="1"/>
    <n v="1"/>
    <n v="1"/>
  </r>
  <r>
    <x v="529"/>
    <x v="3"/>
    <x v="1"/>
    <s v="EVQ-LVESGG-GLVQPGGSLRLSCAASGFTF---------SDYYMN-WVRQ-A-P-G-K--G-LE-WVSTISGS-----------GGSIYY--A--D--SV--K---GRFTISR-D---N-A--KN----S-LYLQMNSLRA-EDTALYYCARLSY----------------------------GSDYWG-QGTLVTVSS"/>
    <s v="DIQ-MTQSPSSLSASVGDRVTITCRASQSV-----------SSAVA-WYQQ-K-P-G-K--A-PK-LLIYSA----------------SSL--Y--S--GV--P---SRFSGSR-------S--GT----D-FTLTISSLQP-EDFATYYCQQSSS----------------------------SLITFG-QGTKVEIK-"/>
    <s v="hv3"/>
    <s v="kv1"/>
    <n v="0.98123956000000001"/>
    <n v="0.9999903"/>
    <n v="0.80385655"/>
    <n v="1"/>
    <n v="1"/>
    <n v="1"/>
  </r>
  <r>
    <x v="530"/>
    <x v="3"/>
    <x v="1"/>
    <s v="EVQ-LQQSGA-ELVRPGASVKLSCTASGFNI---------KDTYMY-WVKQ-R-P-E-Q--G-LE-WIGRIDPA-----------NGYTKY--D--P--KF--Q---GKASITV-D---K-S--IS----T-AYLQLSSLTS-EDTAVYYCAGGFGY--------------------------YGFAYWG-QGTLVTVSA"/>
    <s v="DIV-MTQSPSFLSASVGDRVTITCRASQGI-----------SSYLA-WYQQ-K-P-G-K--A-PK-LLIYAA----------------STL--Q--S--GV--P---SRFSGSG-------S--GT----E-FTLTISSLQP-EDFATYYCQHLDS----------------------------YPFTFG-PGTKVDIK-"/>
    <s v="hv1"/>
    <s v="kv1"/>
    <n v="1.2558383E-9"/>
    <n v="0.99999994000000003"/>
    <n v="1.6300900000000001E-3"/>
    <n v="0"/>
    <n v="1"/>
    <n v="0"/>
  </r>
  <r>
    <x v="531"/>
    <x v="3"/>
    <x v="1"/>
    <s v="EVQ-LVQSGA-EVKKPGASVKVSCKASGYTF---------TSYYMH-WVRQ-A-P-G-Q--G-LE-WIGEINPT-----------SGDTNY--A--Q--KF--Q---GRVTMTR-D---T-S--IS----T-AYMEL---RS-DDTAVYYCARGNGYYG---------------------SGYYYFDYWG-QGTLVTVS-"/>
    <s v="DIQ-MTQSPSSLSASVGDRVTITCRASQSV-----------SSSLA-WYQQ-K-P-G-K--A-PK-LLIYSA----------------SSL--Y--S--GV--P---SRFSGSR-------S--GT----D-FTLTISSLQP-EDFATYYCQQYKY----------------------------VPWTFG-QGTKVEIK-"/>
    <s v="hv1"/>
    <s v="kv1"/>
    <n v="0.99526733000000001"/>
    <n v="0.98461739999999998"/>
    <n v="0.1542154"/>
    <n v="1"/>
    <n v="1"/>
    <n v="0"/>
  </r>
  <r>
    <x v="532"/>
    <x v="3"/>
    <x v="1"/>
    <s v="EVQ-LQQSGP-ELVKPGASMKISCKASGYSF---------TGYTMN-WVKQ-S-H-G-K--N-LE-WIGLINPY-----------NGGTSY--N--Q--KF--K---GKATLTV-D---K-S--SS----T-AYMELLSLTS-EDSAVYYCARSGGYRY----------------------NSYAMDYWG-QGTSVTVSS"/>
    <s v="DIL-LTQSPAILSVSPGERVSFSCRASQSI-----------GTDIH-WYQQ-R-T-N-G--S-PR-LLIKYA----------------SES--I--S--GI--P---SRFSGSG-------S--GT----D-FTLSINSVES-EDIADYYCQQSNR----------------------------WPFTFG-SGTKLEIK-"/>
    <s v="hv1"/>
    <s v="kv6"/>
    <n v="6.0663284000000003E-3"/>
    <n v="7.2599790000000002E-7"/>
    <n v="2.7017145999999998E-3"/>
    <n v="0"/>
    <n v="0"/>
    <n v="0"/>
  </r>
  <r>
    <x v="533"/>
    <x v="3"/>
    <x v="1"/>
    <s v="QVQ-LVQSGA-EVKKPGASVKVSCKASGYTF---------TGYYMH-WVRQ-A-P-G-Q--G-LE-WMGWINPN-----------SGGTNY--A--Q--KF--Q---GRVTMTR-D---T-S--IS----T-AYMELSRLRS-DDTAVYYCAREGSS-------------------------WYGSDYWG-QGTLVTVSS"/>
    <s v="DIQ-MTQSPSSLSASVGDRVTITCQASQDI-----------SNYLN-WYQQ-K-P-G-K--A-PK-LLIYDA----------------SNL--E--T--GV--P---SRFSGSG-------S--GT----D-FTFTISSLQP-EDIATYYCQQYDN----------------------------LPLTFG-QGTKVEIK-"/>
    <s v="hv1"/>
    <s v="kv1"/>
    <n v="0.99997466999999995"/>
    <n v="0.99999994000000003"/>
    <n v="0.99999839999999995"/>
    <n v="1"/>
    <n v="1"/>
    <n v="1"/>
  </r>
  <r>
    <x v="534"/>
    <x v="3"/>
    <x v="1"/>
    <s v="EVQ-LVESGG-GLVQPGGSLRLSCAASGFNV---------SYSSIH-WVRQ-A-P-G-K--G-LE-WVAYIYPY-----------SGYTSY--A--D--SV--K---GRFTISA-D---T-S--KN----T-AYLQMNSLRA-EDTAVYYCARVYGRYYGY-----------------WGFAYYGLDVWG-QGTLVTVSS"/>
    <s v="DIQ-MTQSPSSLSASVGDRVTITCRASQSV-----------SSAVA-WYQQ-K-P-G-K--A-PK-LLIYSA----------------SSL--Y--S--GV--P---SRFSGSR-------S--GT----D-FTLTISSLQP-EDFATYYCQQSYV----------------------------PPSYFG-QGTKVEIK-"/>
    <s v="hv3"/>
    <s v="kv1"/>
    <n v="0.99999994000000003"/>
    <n v="0.99999970000000005"/>
    <n v="0.99972830000000001"/>
    <n v="1"/>
    <n v="1"/>
    <n v="1"/>
  </r>
  <r>
    <x v="535"/>
    <x v="3"/>
    <x v="1"/>
    <s v="EVQ-LVESGG-GLVQPGGSLRLSCAASGFNV---------YSSSIH-WVRQ-A-P-G-K--G-LE-WVASIYSG------------GSTYY--A--D--SV--K---GRFTISA-D---T-S--KN----T-AYLQMNSLRA-EDTAVYYCARGYGYR------------------------SGY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8313000000005"/>
    <n v="0.9999903"/>
    <n v="0.93868620000000003"/>
    <n v="1"/>
    <n v="1"/>
    <n v="1"/>
  </r>
  <r>
    <x v="536"/>
    <x v="3"/>
    <x v="1"/>
    <s v="QVQ-LQQSGP-ELVRPGASVKISCKASGYTF---------TSDWIH-WVKQ-R-P-G-Q--G-LE-WIGRIYPG-----------DGDTNY--N--G--KF--K---GKATLTA-D---K-S--SS----T-AYMQL---TS-EDSAVYYCARSGY---------------------------DYADYWG-QGTSVTVSS"/>
    <s v="DIV-MTQSPDSLAVSLGERATINCKSSQNN-----------KNYLA-WYQQ-K-P-G-Q--P-PK-LLIYWA----------------STR--E--S--GV--P---DRFSGSG-------S--GT----D-FTLTISSLQA-EDVAVYYCQQYYS----------------------------TPRTFG-GGTKVEIK-"/>
    <s v="hv1"/>
    <s v="kv4"/>
    <n v="0.95123296999999996"/>
    <n v="0.99999994000000003"/>
    <n v="1.3138863E-4"/>
    <n v="1"/>
    <n v="1"/>
    <n v="0"/>
  </r>
  <r>
    <x v="537"/>
    <x v="3"/>
    <x v="1"/>
    <s v="QVQ-LVQSGA-EVKKPGASVKVSCKASGYTF---------TSYAMH-WVRQ-A-P-G-Q--G-LE-WMGWINPN-----------SGGTNY--A--Q--KF--Q---GRVTMTR-D---T-S--IS----T-AYMELSRLRS-DDTAVYYCARGLGSG-----------------------WYQHYSYWG-QGTLVTVSS"/>
    <s v="EIV-LTQSPGTLSLSPGERATLSCRASQSV-----------SSYLA-WYQQ-K-P-G-Q--A-PR-LLIYGA----------------SSR--A--T--GI--P---DRFSGSG-------S--GT----D-FTLTISRLEP-EDFAVYYCQQYGS----------------------------SPRTFG-QGTKVEIK-"/>
    <s v="hv1"/>
    <s v="kv3"/>
    <n v="0.99999945999999995"/>
    <n v="0.99999994000000003"/>
    <n v="0.99999400000000005"/>
    <n v="1"/>
    <n v="1"/>
    <n v="1"/>
  </r>
  <r>
    <x v="538"/>
    <x v="3"/>
    <x v="1"/>
    <s v="EVQ-LVQSGA-EVKKPGSSVKVSCKASGGTF---------SSYSFT-WVRQ-A-P-G-Q--G-LE-WMGRIIPI-----------LGIANY--A--Q--KF--Q---GRVTITA-D---E-S--TS----T-AYMELSSLRS-EDTAVYYCARDLHG-------------------------GVNYDYWG-QGTLVTVSS"/>
    <s v="-SV-LTQPPS-VSGAPGQRVTISCTGSSSNIG--------AGYDVH-WYQQ-L-P-G-T--A-PK-LLIYGN----------------INR--P--S--GV--P---DRFSGSK-------S--GT----S-ASLAITGLQA-EDEADYYCQSYDR----------------------------SLWVFG-GGTKLTVG-"/>
    <s v="hv1"/>
    <s v="lv1"/>
    <n v="0.99999994000000003"/>
    <n v="0.99999994000000003"/>
    <n v="0.89677673999999996"/>
    <n v="1"/>
    <n v="1"/>
    <n v="1"/>
  </r>
  <r>
    <x v="539"/>
    <x v="3"/>
    <x v="1"/>
    <s v="QVQ-LVQSGA-EVKKPGASVKVSCKASGYTF---------TSYNIH-WVRQ-A-P-G-Q--G-LE-WMGWINPS-----------DSSNSY--A--Q--KF--Q---GRVTMTR-D---T-S--TS----T-VYMEL---RS-EDTAVYYCARETGYGY---------------------SYGNWFDPWG-QGTLVTVSS"/>
    <s v="DIQ-MTQSPSSLSASVGDRVTITCRASQGI-----------RNDLG-WYQQ-K-P-G-K--A-PK-LLIYAA----------------SSL--Q--S--GV--P---SRFSGSG-------S--GT----D-FTLTISSLQP-EDFATYYCQQDYS----------------------------YPLTFG-QGTKLEIK-"/>
    <s v="hv1"/>
    <s v="kv1"/>
    <n v="0.99999945999999995"/>
    <n v="0.99999994000000003"/>
    <n v="0.99609583999999995"/>
    <n v="1"/>
    <n v="1"/>
    <n v="1"/>
  </r>
  <r>
    <x v="540"/>
    <x v="3"/>
    <x v="1"/>
    <s v="-VQ-LQQSGP-ELVKPGASVKISCKASGYAF---------SSYWMH-WVKQ-R-P-G-Q--G-LE-WIGEINPNS----------GGTTNY--N--E--KF--K---GKATFTA-D---T-S--SN----T-AYMQLSSLTS-EDSAVYYCARSAYGY-----------------------VYDGFRPWG-QGTLVTVSA"/>
    <s v="DIV-MSQSPSSLAVSAGEKVTMSCKSSQSLLNS-----RTRKNYLA-WYQQ-K-P-G-Q--S-PK-LLIYWA----------------SAR--H--T--GV--P---DRFTGSG-------S--GT----D-FTLTISSVKA-EDLAVYYCQQYYN----------------------------YPYTFG-PGTKVDFK-"/>
    <s v="hv1"/>
    <s v="kv4"/>
    <n v="6.3319889999999997E-3"/>
    <n v="3.7179281999999998E-6"/>
    <n v="1.5269157E-3"/>
    <n v="0"/>
    <n v="0"/>
    <n v="0"/>
  </r>
  <r>
    <x v="541"/>
    <x v="3"/>
    <x v="1"/>
    <s v="QVQ-LVQSGA-EVKKPGSSVKVSCKASGGTF---------SSYAIS-WVRQ-A-P-G-Q--G-LE-WMGRIIPI-----------LGIANY--A--Q--KF--Q---GRVTITA-D---K-S--TS----T-AYMELSSLRS-EDTAVYYCARGFI---------------------------FPNNYWG-QGTLVTVSS"/>
    <s v="EIV-LTQSPGTLSLSPGERATLSCRASQVS-----------SSYLA-WYQQ-K-P-G-Q--A-PR-LLIYGA----------------SSR--A--T--GI--P---DRFSGSG-------S--GT----D-FTLTISRLEP-EDFAVYYCQQYGT----------------------------SPWTFG-QGTKVEIK-"/>
    <s v="hv1"/>
    <s v="kv3"/>
    <n v="0.99999979999999999"/>
    <n v="0.99999994000000003"/>
    <n v="6.9430476E-5"/>
    <n v="1"/>
    <n v="1"/>
    <n v="0"/>
  </r>
  <r>
    <x v="542"/>
    <x v="3"/>
    <x v="1"/>
    <s v="QVQ-LQQPGA-ELVKPGASVKLSCKASGYTF---------TSYWMH-WVKQ-R-P-G-H--G-LE-WIGEIIPS-----------YGRANY--N--E--KF--K---GKATLTA-D---K-S--SS----T-AFMQLSSLTS-EDSAVYYCARERGD--------------------------GYFAVWG-AGTTVTVSS"/>
    <s v="DIQ-MTQSPSSLSASVGDRVTITCRASQSI-----------SSYLN-WYQQ-K-P-G-K--A-PK-LLIYAA----------------SSL--Q--S--GV--P---SRFSGSG-------S--GT----D-FTLTISSLQP-EDFATYYCQQSYS----------------------------TPRTFG-QGTKVEIK-"/>
    <s v="hv1"/>
    <s v="kv1"/>
    <n v="0.84413700000000003"/>
    <n v="0.99999994000000003"/>
    <n v="5.2469463000000001E-11"/>
    <n v="1"/>
    <n v="1"/>
    <n v="0"/>
  </r>
  <r>
    <x v="543"/>
    <x v="3"/>
    <x v="1"/>
    <e v="#NAME?"/>
    <s v="DIQ-MTQSPSSLSASVGDRVTITCRASQSV-----------SSAVA-WYQQ-K-P-G-K--A-PK-LLIYSA----------------SSL--Y--S--GV--P---SRFSGSR-------S--GT----D-FTLTISSLQP-EDFATYYCQQSY-----------------------------VPPWFG-QGTKVEIK-"/>
    <s v="hv3"/>
    <s v="kv1"/>
    <n v="0.99999970000000005"/>
    <n v="0.99999899999999997"/>
    <n v="0.98157030000000001"/>
    <n v="1"/>
    <n v="1"/>
    <n v="1"/>
  </r>
  <r>
    <x v="544"/>
    <x v="3"/>
    <x v="1"/>
    <s v="EVQ-LVQSGA-EVKKPGASVKVSCKASGYTF---------TGYYMH-WVRQ-A-P-G-Q--G-LE-WVGWINKT-----------GDTN----N--Q--KF--K---DRFTITA-D---T-S--TS----T-AYLSSLNSRS-EDTAVYYCARGGTTGT----------------------TGAWFAYWG-QGTLVTVSS"/>
    <s v="EIV-LTQSPGTLSLSPGERATLSCRASQVS-----------SSYLA-WYQQ-K-P-G-Q--A-PR-LLIYGA----------------SSR--A--T--GI--P---DRFSGSG-------S--GT----D-FTLTISRLEP-EDFAVYYCQQYGS----------------------------SPWTFG-QGTKVEIK-"/>
    <s v="hv1"/>
    <s v="kv3"/>
    <n v="0.45578972000000001"/>
    <n v="0.99999994000000003"/>
    <n v="9.0984619999999999E-3"/>
    <n v="0"/>
    <n v="1"/>
    <n v="0"/>
  </r>
  <r>
    <x v="545"/>
    <x v="3"/>
    <x v="1"/>
    <s v="EVQ-LQQSGA-ELVRPGALVKLSCKASGFNI---------KDYYMH-WVKQ-R-P-E-Q--G-LE-WIGRIDPA-----------NGYTKY--D--P--KF--Q---GKASITT-N---T-N--TN----T-VYMELSSLTS-EDTAVYYCARSGG---------------------------SGFAYWG-QGTLVTVSA"/>
    <s v="DIQ-MTQSPSSLSASVGDRVTITCRASQSI-----------STWLH-WYQQ-K-P-G-K--A-PK-LLIYKA----------------SSL--E--S--GV--P---SRFSGSG-------S--GT----D-FTLTISSLQP-EDFATYYCQQYN-----------------------------NYWTFG-QGTKLEIK-"/>
    <s v="hv1"/>
    <s v="kv1"/>
    <n v="4.6931728999999999E-7"/>
    <n v="0.99999386000000001"/>
    <n v="5.6096595999999998E-6"/>
    <n v="0"/>
    <n v="1"/>
    <n v="0"/>
  </r>
  <r>
    <x v="546"/>
    <x v="3"/>
    <x v="1"/>
    <e v="#NAME?"/>
    <s v="DIQ-MTQSPSSLSASVGDRVTITCRASQSV-----------SSAVA-WYQQ-K-P-G-K--A-PK-LLIYSA----------------SSL--Y--S--GV--P---SRFSGSR-------S--GT----D-FTLTISSLQP-EDFATYYCQQYKY----------------------------VPVTFG-QGTKVEIK-"/>
    <s v="hv3"/>
    <s v="kv1"/>
    <n v="0.99999802999999998"/>
    <n v="0.99933510000000003"/>
    <n v="0.99719329999999995"/>
    <n v="1"/>
    <n v="1"/>
    <n v="1"/>
  </r>
  <r>
    <x v="547"/>
    <x v="3"/>
    <x v="1"/>
    <s v="QVQ-LQQWGA-GLLKPSETLSLTCGVYGDSV---------SSSFWS-WIRQ-S-P-G-K--G-LE-WIGEINHS------------GSTNY--N--P--SL--K---SRVTISV-D---T-S--KN----Q-FSLKLTSVTA-ADTAVYYCARGLG---------------------------QVFDVWG-QGTTVTVSS"/>
    <s v="DIQ-MTQSPSSLSASVGDRVTITCRASQSI-----------SSYLN-WYQQ-K-P-G-K--A-PK-LLIYAA----------------SSL--Q--S--GV--P---SRFSGSG-------S--GT----D-FTLTISSLQP-EDFATYYCQQSYS----------------------------TPRTFG-QGTKLEIK-"/>
    <s v="hv4"/>
    <s v="kv1"/>
    <n v="0.99999994000000003"/>
    <n v="0.99999994000000003"/>
    <n v="0.99588489999999996"/>
    <n v="1"/>
    <n v="1"/>
    <n v="1"/>
  </r>
  <r>
    <x v="548"/>
    <x v="3"/>
    <x v="1"/>
    <s v="EVQ-LVESGG-GLVQPGGSLRLSCAASGFTF---------SSYWMS-WVRQ-A-P-G-K--G-LE-WVAYISSG------------GSTYY--A--D--SV--K---GRFTISA-D---T-S--KN----T-AYLQMNSLRA-EDTAVYYCARHGYYSYS--------------------SGYYGMDYWG-QGTLVTVSS"/>
    <s v="-IQ-MTQSPSSLSASVGDRVTITCRASQSV-----------SSAVA-WYQQ-K-P-G-K--A-PK-LLIYSA----------------SSL--Y--S--GV--P---SRFSGSR-------S--GT----D-FTLTISSLQP-EDFATYYCQQSSS----------------------------SLITFG-QGTKVEIK-"/>
    <s v="hv3"/>
    <s v="kv1"/>
    <n v="0.99997884000000004"/>
    <n v="0.99999590000000005"/>
    <n v="2.2335125000000001E-7"/>
    <n v="1"/>
    <n v="1"/>
    <n v="0"/>
  </r>
  <r>
    <x v="549"/>
    <x v="3"/>
    <x v="1"/>
    <s v="QVQ-LQESGP-GLVKPSETLSLTCTVSGASVS-------RDSYYWG-WIRQ-P-P-G-K--G-LE-WIGSIYYS------------GSTNY--N--P--SL--K---SRVTISV-D---T-S--KN----Q-FSLKL---TA-ADTAVYYCARHNGWV------------------------YGSFDYWG-QGTLVTVSS"/>
    <s v="-SV-LTQPPS-VSGAPGQRVTISCTGSSSNIG--------AGYDVH-WYQQ-L-P-G-T--A-PK-LLIYGN----------------NNR--P--S--GV--P---DRFSGSK-------S--GT----S-ASLAITGLQA-EDEADYYCQSYDSS--------------------------LSGWVFG-GGTKLTVL-"/>
    <s v="hv4"/>
    <s v="lv1"/>
    <n v="0.99999979999999999"/>
    <n v="0.99999994000000003"/>
    <n v="0.17056799"/>
    <n v="1"/>
    <n v="1"/>
    <n v="0"/>
  </r>
  <r>
    <x v="550"/>
    <x v="4"/>
    <x v="1"/>
    <s v="QVQ-LQQPGA-ELVKPGASVKLSCKASGYTF---------TSYWMH-WVKQ-R-P-G-Q--G-LE-WIGRIDPS-----------SGNTNY--N--E--KF--K---GKATLTA-D---K-S--SS----T-AYMQLSSLTS-EDSAVYYCARERGD-------------------------GYAMDYWG-QGTSVTVSS"/>
    <s v="DIV-MSQSPSSLAVSAGEKVTMSCKSSQSLLYS-----SNQKNYLA-WYQQ-K-P-G-Q--S-PK-LLIYWA----------------STR--E--S--GV--P---DRFTGSG-------S--GT----D-FTLTISSVKA-EDLAVYYCQQYYS----------------------------YPLTFG-AGTKLELK-"/>
    <s v="hv1"/>
    <s v="kv4"/>
    <n v="0.80073700000000003"/>
    <n v="1.6166158000000001E-8"/>
    <n v="5.1370429999999996E-9"/>
    <n v="1"/>
    <n v="0"/>
    <n v="0"/>
  </r>
  <r>
    <x v="551"/>
    <x v="4"/>
    <x v="1"/>
    <s v="QVQ-LVESGG-GVVQPGRSLRLSCAASGFTF---------SNYGMS-WVRQ-A-P-G-K--G-LE-WVAVISYD-----------GSNKYY--A--D--SV--K---GRFTISR-D---N-S--KN----T-LYLQMNSLRA-EDTAVYYCARVYG----------------------------GDDYWG-QGTLVTVSS"/>
    <s v="QIV-LTQSPAIMSASPGEKVTMTCSASSSV------------SYMH-WYQQ-K-P-G-S--S-PK-PWIYRT----------------SNL--A--S--GV--P---ARFSGSG-------S--GT----S-YSLTISSMEA-EDAATYYCQQWSS----------------------------NPPTFG-GGTKVEIK-"/>
    <s v="hv3"/>
    <s v="lv1"/>
    <n v="0.99995785999999998"/>
    <n v="4.5987240000000001E-9"/>
    <n v="1.0681981999999999E-11"/>
    <n v="1"/>
    <n v="0"/>
    <n v="0"/>
  </r>
  <r>
    <x v="552"/>
    <x v="4"/>
    <x v="1"/>
    <s v="QVQ-LVQSGA-EVKKPGASVKVSCKASGYTF---------TSYGIS-WVRQ-A-P-G-Q--G-LE-WMGWISAY-----------NGNTNY--A--Q--KL--Q---GRVTMTT-D---T-S--TS----T-AYMELRSLRS-DDTAVYYCAREGAY--------------------------YYYDYWG-QGTLVTVSS"/>
    <s v="DIQ-MTQSPSTLSASVGDRVTITCRASQSI-----------SSWLA-WYQQ-K-P-G-K--A-PK-LLIYKA----------------SSL--E--S--GV--P---SRFSGSG-------S--GT----E-FTLTISSLQP-DDFATYYCQQYN-----------------------------NYWTFG-QGTKVEIK-"/>
    <s v="hv1"/>
    <s v="kv1"/>
    <n v="0.96180449999999995"/>
    <n v="0.99999994000000003"/>
    <n v="0.99999945999999995"/>
    <n v="1"/>
    <n v="1"/>
    <n v="1"/>
  </r>
  <r>
    <x v="553"/>
    <x v="4"/>
    <x v="1"/>
    <s v="EVQ-LVESGG-GLVQPGGSLRLSCAASGFTF---------SSYSMN-WVRQ-A-P-G-K--G-LE-WVSVIYSG------------GSTYY--A--D--SV--K---GRFTISR-D---N-S--KN----T-LYLQMNSLRA-EDTAVYYCAKFGP---------------------------GG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5345000000002"/>
    <n v="0.9999903"/>
    <n v="6.1161050000000002E-4"/>
    <n v="1"/>
    <n v="1"/>
    <n v="0"/>
  </r>
  <r>
    <x v="554"/>
    <x v="4"/>
    <x v="1"/>
    <s v="EVQ-LVESGG-GLVQPGGSLRLSCAASGFNI---------SSSSIH-WVRQ-A-P-G-K--G-LE-WVASIYSY-----------YGSTYY--A--D--SV--K---GRFTISA-D---T-S--KN----T-AYLQMNSLRA-EDTAVYYCARYYSS-------------------------VYG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88189999999999"/>
    <n v="0.9999903"/>
    <n v="0.91808175999999997"/>
    <n v="1"/>
    <n v="1"/>
    <n v="1"/>
  </r>
  <r>
    <x v="555"/>
    <x v="4"/>
    <x v="1"/>
    <s v="EVQ-LQQSGP-ELVKPGASVKMSCKASGYTF---------TSYYMH-WVKQ-K-P-G-Q--G-LE-WIGQIYPG-----------DGDTNY--N--G--KF--K---GKATLTA-D---K-S--SS----T-AYMQLSSLTS-EDSAVYYCARRPNSG------------------------QYWFAYWG-QGTLVTVSA"/>
    <s v="DIV-MTQTPASVEVSLGERVTITCRASQDV-----------STAVA-WYQQ-K-P-G-Q--A-PK-LLIYSA----------------SFL--K--S--GV--P---SRFSGSG-------S--GT----E-FTLTISSLQP-DDFATYYCQQYNS----------------------------YPLTFG-AGTKLELK-"/>
    <s v="hv1"/>
    <s v="kv1"/>
    <n v="1.9549528999999999E-5"/>
    <n v="0.82465710000000003"/>
    <n v="8.3097179999999996E-4"/>
    <n v="0"/>
    <n v="1"/>
    <n v="0"/>
  </r>
  <r>
    <x v="556"/>
    <x v="4"/>
    <x v="1"/>
    <s v="EVQ-LVESGG-GLVQPGGSLRLSCAASGFNV---------YSSSIH-WVRQ-A-P-G-K--G-LE-WVASIYSS-----------SGYTYY--A--D--SV--K---GRFTISA-D---T-S--KN----T-AYLQMNSLRA-EDTAVYYCARWGT----------------------------S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623999999998"/>
    <n v="0.9999903"/>
    <n v="0.9581769"/>
    <n v="1"/>
    <n v="1"/>
    <n v="1"/>
  </r>
  <r>
    <x v="557"/>
    <x v="4"/>
    <x v="1"/>
    <s v="EVQ-LVESGG-GLVKPGGSLRLSCAASGFTF---------SSYSMN-WVRQ-A-P-G-K--G-LE-WVSSISSS------------SSYYY--A--D--SV--K---GRFTISR-D---N-S--KN----T-LYLQMNSLRA-EDTAVYYCARERQ---------------------------VYGDYWG-QGTLVTVSS"/>
    <s v="-SV-LTQPPS-VSAAPGQKVTISCSGSSSNI---------GSNYVY-WYQQ-L-P-G-T--A-PK-LLIYD-----------------DQR--P--S--GI--P---ERFSGSK-------S--GT----S-ATLGITGLQT-GDEADYYCGTWDS---------------------------SLSVVFG-GGTKLTVL-"/>
    <s v="hv3"/>
    <s v="lv1"/>
    <n v="0.99923943999999998"/>
    <n v="0.99999994000000003"/>
    <n v="0.99631950000000002"/>
    <n v="1"/>
    <n v="1"/>
    <n v="1"/>
  </r>
  <r>
    <x v="558"/>
    <x v="4"/>
    <x v="1"/>
    <s v="EVQ-LVESGG-GLVKPGGSLRLSCAASGFTF---------SSYSMN-WVRQ-A-P-G-K--G-LE-WVSSISSS------------SYIYY--A--D--SV--K---GRFTISR-D---N-A--KN----S-LYLQMNSLRA-EDTAVYYCARDLEWV------------------------SSGLDYWG-QGTLVTVSS"/>
    <s v="DIQ-MTQSPSSLSASVGDRVTITCRASQSV-----------SSAVA-WYQQ-K-P-G-K--A-PK-LLIYSA----------------SSL--Y--S--GV--P---SRFSGSR-------S--GT----D-FTLTISSLQP-EDFATYYCQQYYS---------------------------YSLVTFG-QGTKVEIK-"/>
    <s v="hv3"/>
    <s v="kv1"/>
    <n v="0.99130845000000001"/>
    <n v="0.99999669999999996"/>
    <n v="7.0431833000000003E-3"/>
    <n v="1"/>
    <n v="1"/>
    <n v="0"/>
  </r>
  <r>
    <x v="559"/>
    <x v="4"/>
    <x v="1"/>
    <s v="QVQ-LVESGG-GVVQPGRSLRLSCAASGFTF---------SSYAMH-WVRQ-A-P-G-K--G-LE-WVAVISDG------------SNKYY--A--D--SV--K---GRFTISR-D---N-S--KN----T-LYLQMNSLRA-EDTAVYYCAKAGG---------------------------ALDDVWG-QGTTVTVSS"/>
    <s v="-SV-LTQPPS-VSGAPGQRVTISCTGSSSNIG--------AGYDVH-WYQQ-L-P-G-T--A-PK-LLIYGN----------------NNR--P--S--GV--P---DRFSGSK-------S--GT----S-ASLAITGLQA-EDEADYYCQSYDS----------------------------RLWVFG-GGTKLTVG-"/>
    <s v="hv3"/>
    <s v="lv1"/>
    <n v="0.99999325999999999"/>
    <n v="0.99999994000000003"/>
    <n v="0.25208174999999999"/>
    <n v="1"/>
    <n v="1"/>
    <n v="0"/>
  </r>
  <r>
    <x v="560"/>
    <x v="4"/>
    <x v="1"/>
    <s v="EVQ-LVESGG-GLVQPGGSLRLSCAASGFNV---------SYSSIH-WVRQ-A-P-G-K--G-LE-WVASIYSS------------GYTSY--A--D--SV--K---GRFTISA-D---T-S--KN----T-AYLQMNSLRA-EDTAVYYCARVYGWSSW--------------------SYYYG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9112593999999998"/>
    <n v="1"/>
    <n v="1"/>
    <n v="1"/>
  </r>
  <r>
    <x v="561"/>
    <x v="4"/>
    <x v="1"/>
    <s v="EVQ-LVESGG-GLVQPGGSLRLSCAASGFTF---------SSYAMH-WVRQ-A-P-G-K--G-LE-WVAFIRYD-----------GGNKYY--A--D--SV--K---GRFTISR-D---N-S--KN----T-LYLQMNSLRA-EDTAVYYCARDLVV-------------------------GSGFYYWG-QGTLVTVSS"/>
    <s v="DIQ-MTQSPSSLSASVGDRVTITCRASQSV-----------SSAVA-WYQQ-K-P-G-K--A-PK-LLIYSA----------------SSL--Y--S--GV--P---SRFSGSR-------S--GT----D-FTLTISSLQP-EDFATYYCQQSYV---------------------------SPPWTFG-QGTKVEIK-"/>
    <s v="hv3"/>
    <s v="kv1"/>
    <n v="0.99996655999999995"/>
    <n v="0.99999934000000001"/>
    <n v="1.2212550000000001E-2"/>
    <n v="1"/>
    <n v="1"/>
    <n v="0"/>
  </r>
  <r>
    <x v="562"/>
    <x v="4"/>
    <x v="1"/>
    <e v="#NAME?"/>
    <s v="DIQ-MTQSPSSLSASVGDRVTITCRASQDV-----------STAVA-WYQQ-K-P-G-K--A-PK-LLIYSA----------------SFL--Y--S--GV--P---SRFSGSG-------S--GT----D-FTLTISSLQP-EDFATYYCQQSYS----------------------------TPRTFG-QGTKVEIK-"/>
    <s v="hv1"/>
    <s v="kv1"/>
    <n v="0.99999979999999999"/>
    <n v="0.99999229999999995"/>
    <n v="1.1903252E-5"/>
    <n v="1"/>
    <n v="1"/>
    <n v="0"/>
  </r>
  <r>
    <x v="563"/>
    <x v="4"/>
    <x v="1"/>
    <e v="#NAME?"/>
    <s v="DIQ-MTQSPSSLSASVGDRVTITCRASQSI-----------SSYLN-WYQQ-K-P-G-K--A-PK-LLIYAA----------------SSL--Q--S--GV--P---SRFSGSG-------S--GT----D-FTLTISSLQP-EDFATYYCQQSYS----------------------------TPPTFG-PGTKVEIK-"/>
    <s v="hv3"/>
    <s v="kv1"/>
    <n v="0.99997634000000002"/>
    <n v="0.99999994000000003"/>
    <n v="0.61751020000000001"/>
    <n v="1"/>
    <n v="1"/>
    <n v="1"/>
  </r>
  <r>
    <x v="564"/>
    <x v="4"/>
    <x v="1"/>
    <s v="QVQ-LVQSGA-EVKKPGSSVKVSCKASGGTF---------SSYAIN-WVRQ-A-P-G-Q--G-LE-WMGGIIPI-----------FGTTHY--A--Q--KF--Q---GRVTITA-D---E-S--TT----T-AYMELSSLRS-DDTAVYYCARDPN---------------------------SGSGYWG-QGTLVTVSS"/>
    <s v="EIV-LTQSPGTLSLSPGERATLSCRASQVS-----------SSYLA-WYQQ-K-P-G-Q--A-PR-LLIYGA----------------SSR--A--T--GI--P---DRFSGSG-------S--GT----D-FTLTISRLEP-EDFAVYYCQQYGS----------------------------SPWTFG-QGTKVEIK-"/>
    <s v="hv1"/>
    <s v="kv3"/>
    <n v="0.99999994000000003"/>
    <n v="0.99999994000000003"/>
    <n v="7.9239160000000003E-2"/>
    <n v="1"/>
    <n v="1"/>
    <n v="0"/>
  </r>
  <r>
    <x v="565"/>
    <x v="4"/>
    <x v="1"/>
    <s v="EVQ-LVESGG-GLVKPGGSLRLSCAASGFTF---------SSYAMS-WVRQ-A-P-G-K--G-LE-WVSSISSS-----------SSYIYY--A--D--SV--K---GRFTISR-D---N-A--KN----S-LYLQMNSLRA-EDTAVYYCARVYG---------------------------GVYDYWG-QGTLVTVSS"/>
    <s v="DIQ-MTQSPSSLSASVGDRVTITCRASQSV-----------SSAVA-WYQQ-K-P-G-K--A-PK-LLIYSA----------------SSL--Y--S--GV--P---SRFSGSR-------S--GT----D-FTLTISSLQP-EDFATYYCQQYYN----------------------------YPITFG-QGTKVEIK-"/>
    <s v="hv3"/>
    <s v="kv1"/>
    <n v="0.88148004000000002"/>
    <n v="0.99999530000000003"/>
    <n v="2.5426250000000002E-3"/>
    <n v="1"/>
    <n v="1"/>
    <n v="0"/>
  </r>
  <r>
    <x v="566"/>
    <x v="4"/>
    <x v="1"/>
    <s v="QVQ-LQESGP-GLVKPSETLSLTCTVSGGSI---------SGNYWG-WIRQ-P-P-G-K--G-LE-WIGSIYHS------------GSTNY--N--P--SL--K---SRVTISV-D---T-S--KN----Q-FSLKLSSVTA-ADTAVYYCARSLGSRL----------------------RPGSPVYWG-QGTLVTVSS"/>
    <s v="EIV-LTQSPGTLSLSPGERATLSCRASQSVS----------STYLA-WYQQ-K-P-G-Q--A-PR-LLIYGA----------------SSR--A--T--GI--P---DRFSGSG-------S--GT----D-FTLTISRLEP-EDFAVYYCQQYGS----------------------------SPWTFG-QGTKVEIK-"/>
    <s v="hv4"/>
    <s v="kv3"/>
    <n v="0.99999994000000003"/>
    <n v="0.99999994000000003"/>
    <n v="0.9996389"/>
    <n v="1"/>
    <n v="1"/>
    <n v="1"/>
  </r>
  <r>
    <x v="567"/>
    <x v="4"/>
    <x v="1"/>
    <s v="EVQ-LVESGG-GLVQPGGSLRLSCAASGFTF---------SSYDMH-WVRQ-A-P-G-K--G-LE-WVSVIYSG------------GSTYY--A--D--SV--K---GRFTISR-D---N-S--KN----T-LYLQMNSLRA-EDTAVYYCAKSGSGGDLW-----------------VSGFYYGMDVWG-QGTTVTVSS"/>
    <s v="DIQ-MTQSPSSLSASVGDRVTITCRASQSV-----------SSAVA-WYQQ-K-P-G-K--A-PK-LLIYSA----------------SSL--Y--S--GV--P---SRFSGSR-------S--GT----D-FTLTISSLQP-EDFATYYCQQSSS----------------------------SLITFG-QGTKVEIK-"/>
    <s v="hv3"/>
    <s v="kv1"/>
    <n v="0.99987219999999999"/>
    <n v="0.9999903"/>
    <n v="2.4014805E-4"/>
    <n v="1"/>
    <n v="1"/>
    <n v="0"/>
  </r>
  <r>
    <x v="568"/>
    <x v="4"/>
    <x v="1"/>
    <s v="QVQ-LVQSGA-EVKKPGASVKVSCKASGYTF---------TSYGMH-WVRQ-A-P-G-Q--G-LE-WMGWINNS------------GGTNY--A--Q--KF--Q---GRVTMTR-D---T-S--IS----T-AYMELSRLRS-DDTAVYYCARDVL---------------------------YGSDYWG-QGTLVTVSS"/>
    <s v="EIV-LTQSPATLSLSPGERATLSCRASQSV-----------SSYLA-WYQQ-K-P-G-Q--A-PR-LLIYDA----------------SNR--A--T--GI--P---ARFSGSG-------S--GT----D-FTLTISSLEP-EDFAVYYCQQHE-----------------------------DPYTFG-GGTKVEIK-"/>
    <s v="hv1"/>
    <s v="kv3"/>
    <n v="0.99992913000000005"/>
    <n v="0.99999994000000003"/>
    <n v="0.10837366399999999"/>
    <n v="1"/>
    <n v="1"/>
    <n v="0"/>
  </r>
  <r>
    <x v="569"/>
    <x v="4"/>
    <x v="1"/>
    <s v="-VQ-LQQSGP-ELVKPGASVKISCKASGYAFS--------SYYWMH-WVKQ-R-P-G-Q--G-LE-WIGAIYPG-----------DGDTKY--N--E--KF--K---GKATLTA-D---K-S--SS----T-AYMQLSSLTS-EDSAVYYCARSYYGY------------------------YDGFAYWG-QGTSVTVSS"/>
    <s v="DIV-MTQSPDSLAVSLGERATINCKSSQSVLYS-----SNNKNYLA-WYQQ-K-P-G-Q--P-PK-LLIYWA----------------STR--E--S--GV--P---DRFSGSG-------S--GT----D-FTLTISSLQA-EDVAVYYCQQYYS----------------------------TPYTFG-GGTKLEIK-"/>
    <s v="hv1"/>
    <s v="kv4"/>
    <n v="0.25071265999999998"/>
    <n v="0.99999994000000003"/>
    <n v="6.9175559999999997E-7"/>
    <n v="0"/>
    <n v="1"/>
    <n v="0"/>
  </r>
  <r>
    <x v="570"/>
    <x v="4"/>
    <x v="1"/>
    <s v="EVQ-LVESGG-GLVQPGGSLRLSCAASGFNF---------SSSSIH-WVRQ-A-P-G-K--G-LE-WVASIYSS-----------SGYTSY--A--D--SV--K---GRFTISA-D---T-S--KN----T-AYLQMNSLRA-EDTAVYYCARG-------------------------------RWYWG-QGTLVTVSS"/>
    <s v="DIQ-MTQSPSSLSASVGDRVTITCRASQSV-----------SSAVA-WYQQ-K-P-G-K--A-PK-LLIYSA----------------SSL--Y--S--GV--P---SRFSGSR-------S--GT----D-FTLTISSLQP-EDFATYYCQQSYH----------------------------TLWTFG-QGTKVEIK-"/>
    <s v="hv3"/>
    <s v="kv1"/>
    <n v="0.99999729999999998"/>
    <n v="0.99999979999999999"/>
    <n v="0.83326255999999999"/>
    <n v="1"/>
    <n v="1"/>
    <n v="1"/>
  </r>
  <r>
    <x v="571"/>
    <x v="4"/>
    <x v="1"/>
    <s v="EVQ-LVESGG-GLVQPGGSLRLSCAASGFNV---------YSSSIH-WVRQ-A-P-G-K--G-LE-WVASISSY-----------YGYTYY--A--D--SV--K---GRFTISA-D---T-S--KN----T-AYLQMNSLRA-EDTAVYYCARSYYG-------------------------SRGFDYWG-QGTLVTVSS"/>
    <s v="DIQ-MTQSPSSLSASVGDRVTITCRASQSV-----------SSAVA-WYQQ-K-P-G-K--A-PK-LLIYSA----------------SSL--Y--S--GV--P---SRFSGSR-------S--GT----D-FTLTISSLQP-EDFATYYCQQSYY----------------------------YPITFG-QGTKVEIK-"/>
    <s v="hv3"/>
    <s v="kv1"/>
    <n v="0.99999636000000003"/>
    <n v="0.99999994000000003"/>
    <n v="0.99956279999999997"/>
    <n v="1"/>
    <n v="1"/>
    <n v="1"/>
  </r>
  <r>
    <x v="572"/>
    <x v="4"/>
    <x v="1"/>
    <s v="EVQ-LVESGG-GLVKPGGSLRLSCAASGFTF---------SSYAMS-WVRQ-A-P-G-K--G-LE-WVSSISSS------------SYIYY--A--D--SV--K---GRFTISR-D---N-A--KN----S-LYLQMNSLRA-EDTAVYYCARGGS----------------------------GFYYWG-QGTLVTVSS"/>
    <s v="-SV-LTQPPS-VSGAPGQRVTISCTGSSSNIG--------AGYDVH-WYQQ-L-P-G-T--A-PK-LLIYGN----------------NNR--P--S--GV--P---DRFSGSK-------S--GT----S-ASLAITGLQA-EDEADYYCQSYDS---------------------------SLSGVFG-TGTKVTVL-"/>
    <s v="hv3"/>
    <s v="lv1"/>
    <n v="0.88998944000000002"/>
    <n v="0.99999994000000003"/>
    <n v="0.37762746000000003"/>
    <n v="1"/>
    <n v="1"/>
    <n v="0"/>
  </r>
  <r>
    <x v="573"/>
    <x v="4"/>
    <x v="1"/>
    <s v="EVQ-LVESGG-GLVQPGGSLRLSCAASGFNV---------SYSSIH-WVRQ-A-P-G-K--G-LE-WVASISSY-----------YGYTYY--A--D--SV--K---GRFTISA-D---T-S--KN----T-AYLQMNSLRA-EDTAVYYCARQYGYW------------------------YYG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459999999996"/>
    <n v="0.9999903"/>
    <n v="0.95993620000000002"/>
    <n v="1"/>
    <n v="1"/>
    <n v="1"/>
  </r>
  <r>
    <x v="574"/>
    <x v="4"/>
    <x v="1"/>
    <s v="EVQ-LVESGG-GLVQPGGSLRLSCAASGFNV---------SYSSIH-WVRQ-A-P-G-K--G-LE-WVASISSY-----------YGYTYY--A--D--SV--K---GRFTISA-D---T-S--KN----T-AYLQMNSLRA-EDTAVYYCARGGSG--------------------------WY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6202999999995"/>
    <n v="0.9999903"/>
    <n v="0.98984059999999996"/>
    <n v="1"/>
    <n v="1"/>
    <n v="1"/>
  </r>
  <r>
    <x v="575"/>
    <x v="4"/>
    <x v="1"/>
    <s v="QVQ-LQQSGP-ELVRPGASVKMSCKASGYTF---------TSYWMH-WVKQ-R-P-G-Q--G-LE-WIGAIYPG-----------DGDTKY--N--G--KF--K---GKATLTA-D---K-S--SS----T-AYMQL---TS-EDSAVYFCARGYR---------------------------DYFDYWG-QGTTLTVSS"/>
    <s v="DIV-MTQSQKFMSTSVGDRVSITCKASQDV-----------STAVA-WYQQ-K-P-G-Q--S-PK-LLIYSA----------------SYR--Y--T--GV--P---DRFTGSG-------S--GT----D-FTFTISSVQA-EDLAVYYCQQYF-----------------------------RYRTFG-GGTKLEIK-"/>
    <s v="hv1"/>
    <s v="kv1"/>
    <n v="0.31134932999999998"/>
    <n v="9.4003369999999996E-7"/>
    <n v="8.1801039999999997E-7"/>
    <n v="0"/>
    <n v="0"/>
    <n v="0"/>
  </r>
  <r>
    <x v="576"/>
    <x v="4"/>
    <x v="1"/>
    <s v="EVQ-LVESGG-GLVQPGGSLRLSCAASGFNV---------SYSSIH-WVRQ-A-P-G-K--G-LE-WVASISSY-----------YGYTYY--A--D--SV--K---GRFTISA-D---T-S--KN----T-AYLQMNSLRA-EDTAVYYCARYYYGSLD-------------------WYGNYPM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994000000003"/>
    <n v="0.99933510000000003"/>
    <n v="0.99797809999999998"/>
    <n v="1"/>
    <n v="1"/>
    <n v="1"/>
  </r>
  <r>
    <x v="577"/>
    <x v="4"/>
    <x v="1"/>
    <s v="QVQ-LQESGP-GLVKPSETLSLTCTVSGGSV---------SSGGYY-WIRQ-P-P-G-K--G-LE-WIGIIYYS------------GSTYY--N--P--SL--K---SRVTISV-D---T-S--KN----Q-FSLKLSSVTA-ADTAVYYCARGRYY-------------------------GSSGAYWG-QGTLVTVSS"/>
    <s v="EIV-LTQSPGTLSLSPGERATLSCRASQSV-----------SSYLA-WYQQ-K-P-G-Q--A-PR-LLIYGA----------------SSR--A--T--GI--P---DRFSGSG-------S--GT----D-FTLTISRLEP-EDFAVYYCQQYGS----------------------------SPLTFG-GGTKVEIK-"/>
    <s v="hv4"/>
    <s v="kv3"/>
    <n v="0.99754816000000002"/>
    <n v="0.99999994000000003"/>
    <n v="0.999996"/>
    <n v="1"/>
    <n v="1"/>
    <n v="1"/>
  </r>
  <r>
    <x v="578"/>
    <x v="4"/>
    <x v="1"/>
    <s v="EVQ-LVESGG-GLVQPGGSLRLSCAASGFNF---------SSSSIH-WVRQ-A-P-G-K--G-LE-WVASISSY-----------YGYTSY--A--D--SV--K---GRFTISA-D---T-S--KN----T-AYLQMNSLRA-EDTAVYYCARQGL---------------------------WYFDYWG-QGTLVTVSS"/>
    <s v="DIQ-MTQSPSSLSASVGDRVTITCRASQSV-----------SSAVA-WYQQ-K-P-G-K--A-PK-LLIYSA----------------SSL--Y--S--GV--P---SRFSGSR-------S--GT----D-FTLTISSLQP-EDFATYYCQQSYV----------------------------PPWTFG-QGTKVEIK-"/>
    <s v="hv3"/>
    <s v="kv1"/>
    <n v="0.99998253999999998"/>
    <n v="0.99999934000000001"/>
    <n v="0.90804229999999997"/>
    <n v="1"/>
    <n v="1"/>
    <n v="1"/>
  </r>
  <r>
    <x v="579"/>
    <x v="4"/>
    <x v="1"/>
    <s v="EVQ-LQQSGP-ELVKPGASMKISCKASGYSF---------TGYTMN-WVKQ-S-H-G-K--N-LE-WIGLINPY-----------NGGTSY--N--Q--KF--K---GKATLTV-D---K-S--SS----T-AYMELLSLTS-EDSAVYYCTRSP-----------------------------GYDYWG-QGTTLTVSS"/>
    <s v="DIV-LTQSPASLAVSLGQRATISCRASESVDN-------YGISFMN-WFQQ-K-P-G-Q--P-PK-LLIYAA----------------SNQ--G--S--GV--P---ARFSGSG-------S--GT----D-FSLNIHPVEE-DDTAMYFCQQSKE----------------------------VPYTFG-GGTKLEIK-"/>
    <s v="hv1"/>
    <s v="kv7"/>
    <n v="1.3639319E-3"/>
    <n v="8.0834020000000001E-8"/>
    <n v="9.9484900000000007E-7"/>
    <n v="0"/>
    <n v="0"/>
    <n v="0"/>
  </r>
  <r>
    <x v="580"/>
    <x v="4"/>
    <x v="1"/>
    <s v="EVQ-LVESGG-GLVKPGGSLRLSCAASGFTF---------SDYYMS-WIRQ-A-P-G-K--G-LE-WVSYISSS-----------GSTIYY--A--D--SV--K---GRFTISR-D---N-S--KN----T-LYLQM---RA-EDTAVYYCARGGY----------------------------YFAYWG-QGTLVTVSS"/>
    <s v="DIQ-MTQSPSSLSASVGDRVTITCQASQDI-----------SNYLN-WYQQ-K-P-G-K--A-PK-LLIYDA----------------SNL--E--T--GV--P---SRFSGSG-------S--GT----D-FTFTISSLQP-EDIATYYCQQYDN----------------------------LPYTFG-QGTKLEIK-"/>
    <s v="hv3"/>
    <s v="kv1"/>
    <n v="0.99761133999999996"/>
    <n v="0.99999994000000003"/>
    <n v="0.18068339999999999"/>
    <n v="1"/>
    <n v="1"/>
    <n v="0"/>
  </r>
  <r>
    <x v="581"/>
    <x v="4"/>
    <x v="1"/>
    <s v="EVQ-LVQSGA-EVKKPGASVKVSCKASGYTF---------TSYAIH-WVRQ-A-P-G-Q--G-LE-WIGWIDPE-----------SNGTNY--N--E--KF--K---SRATLTV-D---T-S--TS----T-AYLELNSLTS-EDTAVYYCARGYYSY-----------------------EGSWFAYWG-QGTLVTVSA"/>
    <s v="DIQ-MTQSPSSLSASVGDRVTITCRASQSV-----------SSAVA-WYQQ-K-P-G-K--A-PK-LLIYSA----------------SSL--Y--S--GV--P---SRFSGSR-------S--GT----D-FTLTISSLQP-EDFATYYCQQYYS----------------------------YPLTFG-GGTKVEIK-"/>
    <s v="hv1"/>
    <s v="kv1"/>
    <n v="2.6450094E-3"/>
    <n v="0.99996275000000001"/>
    <n v="0.98929160000000005"/>
    <n v="0"/>
    <n v="1"/>
    <n v="1"/>
  </r>
  <r>
    <x v="582"/>
    <x v="4"/>
    <x v="1"/>
    <e v="#NAME?"/>
    <s v="DIQ-MTQSPSSLSASVGDRVTITCRASQSV-----------SSAVA-WYQQ-K-P-G-K--A-PK-LLIYSA----------------SSL--Y--S--GV--P---SRFSGSR-------S--GT----D-FTLTISSLQP-EDFATYYCQQSHE----------------------------DPYTFG-QGTKVEIK-"/>
    <s v="hv3"/>
    <s v="kv1"/>
    <n v="0.99999875000000005"/>
    <n v="0.98566823999999997"/>
    <n v="0.99171494999999998"/>
    <n v="1"/>
    <n v="1"/>
    <n v="1"/>
  </r>
  <r>
    <x v="583"/>
    <x v="4"/>
    <x v="1"/>
    <s v="QVQ-LQESGP-GLVKPSETLSLTCTVSGGSF---------SSYYWS-WIRQ-P-P-G-K--G-LE-WIGSIYYS------------GSTNY--N--P--SL--K---SRVTISV-D---T-S--KN----Q-FSLKLSSVTA-ADTAVYYCARHSGY-------------------------SGSWDYWG-QGTLVTVSS"/>
    <s v="EIV-LTQSPGTLSLSPGERATLSCRASQSIS----------SSYLA-WYQQ-K-P-G-Q--A-PR-LLIYGA----------------SSR--A--T--GI--P---DRFSGSG-------S--GT----D-FTLTISRLEP-EDFAVYYCQQYGS----------------------------SPLTFG-GGTKVEIK-"/>
    <s v="hv4"/>
    <s v="kv3"/>
    <n v="0.89951959999999997"/>
    <n v="0.99999994000000003"/>
    <n v="0.99916357"/>
    <n v="1"/>
    <n v="1"/>
    <n v="1"/>
  </r>
  <r>
    <x v="584"/>
    <x v="4"/>
    <x v="1"/>
    <s v="EVQ-LVESGG-GLVQPGGSLRLSCAASGFNI---------SSSSIH-WVRQ-A-P-G-K--G-LE-WVASIYSY-----------YGSTYY--A--D--SV--K---GRFTISA-D---T-S--KN----T-AYLQMNSLRA-EDTAVYYCARGSPV--------------------------SSYDVWG-QGTTVTVSS"/>
    <s v="DIQ-MTQSPSSLSASVGDRVTITCRASQSV-----------SSAVA-WYQQ-K-P-G-K--A-PK-LLIYSA----------------SSL--Y--S--GV--P---SRFSGSR-------S--GT----D-FTLTISSLQP-EDFATYYCQQSSS----------------------------SLITFG-QGTKVEIK-"/>
    <s v="hv3"/>
    <s v="kv1"/>
    <n v="0.99993926"/>
    <n v="0.9999903"/>
    <n v="0.97674364000000002"/>
    <n v="1"/>
    <n v="1"/>
    <n v="1"/>
  </r>
  <r>
    <x v="585"/>
    <x v="4"/>
    <x v="1"/>
    <s v="EVQ-LVESGG-GLVQPGGSLRLSCAASGFNF---------SSSSIH-WVRQ-A-P-G-K--G-LE-WVASIYSS-----------SGYTSY--A--D--SV--K---GRFTISA-D---T-S--KN----T-AYLQMNSLRA-EDTAVYYCARQGYWS-----------------------SSYYDG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70000000005"/>
    <n v="0.9999903"/>
    <n v="0.73174435000000004"/>
    <n v="1"/>
    <n v="1"/>
    <n v="1"/>
  </r>
  <r>
    <x v="586"/>
    <x v="4"/>
    <x v="1"/>
    <s v="EVQ-LVESGG-GLVQPGGSLRLSCAASGFNF---------SSSSIH-WVRQ-A-P-G-K--G-LE-WVASIYSY-----------YGSTYY--A--D--SV--K---GRFTISA-D---T-S--KN----T-AYLQMNSLRA-EDTAVYYCAREYDY-------------------------FYGMDVWG-QGTTVTVSS"/>
    <s v="DIQ-MTQSPSSLSASVGDRVTITCRASQSV-----------SSAVA-WYQQ-K-P-G-K--A-PK-LLIYSA----------------SSL--Y--S--GV--P---SRFSGSR-------S--GT----D-FTLTISSLQP-EDFATYYCQQYYV---------------------------YYSVTFG-QGTKVEIK-"/>
    <s v="hv3"/>
    <s v="kv1"/>
    <n v="0.99995800000000001"/>
    <n v="0.99999979999999999"/>
    <n v="0.77793579999999996"/>
    <n v="1"/>
    <n v="1"/>
    <n v="1"/>
  </r>
  <r>
    <x v="587"/>
    <x v="4"/>
    <x v="1"/>
    <s v="QVQ-LQESGP-GLVKPSETLSLTCTVSGGSIS--------SGGYWS-WIRQ-P-P-G-K--G-LE-WIGSIYYS------------GNTYY--N--P--SL--K---SRVTISV-D---T-S--KN----Q-FSLKLSSVTA-ADTAVYYCARASRGD------------------------DTAMDYWG-QGTLVTVSS"/>
    <s v="EIV-LTQSPGTLSLSPGERATLSCRASQSVS----------SSYLA-WYQQ-K-P-G-Q--A-PR-LLIYGA----------------SSR--A--T--GI--P---DRFSGSG-------S--GT----D-FTLTISRLEP-EDFAVYYCQQYGS----------------------------SPWTFG-QGTKVEIK-"/>
    <s v="hv4"/>
    <s v="kv3"/>
    <n v="0.99999839999999995"/>
    <n v="0.99999994000000003"/>
    <n v="0.99999899999999997"/>
    <n v="1"/>
    <n v="1"/>
    <n v="1"/>
  </r>
  <r>
    <x v="588"/>
    <x v="4"/>
    <x v="1"/>
    <s v="QVQ-LQESGP-GLVKPSETLSLTCTVSGDSVS--------SGGYWN-WIRQ-P-P-G-K--G-LE-WIGSIYYS------------GSTYY--N--P--SL--K---SRVTISV-D---T-S--KN----Q-FSLKLSSVTA-ADTAVYYCARGPQD-------------------------YYYFDVWG-KGTTVTVSS"/>
    <s v="EIV-LTQSPGTLSLSPGERATLSCRASQSVS----------SSYLA-WYQQ-K-P-G-Q--A-PR-LLIYGA----------------SSR--A--T--GI--P---DRFSGSG-------S--GT----D-FTLTISRLEP-EDFAVYYCQQYGS----------------------------SPWTFG-QGTKVEIK-"/>
    <s v="hv4"/>
    <s v="kv3"/>
    <n v="0.99999994000000003"/>
    <n v="0.99999994000000003"/>
    <n v="0.99999979999999999"/>
    <n v="1"/>
    <n v="1"/>
    <n v="1"/>
  </r>
  <r>
    <x v="589"/>
    <x v="4"/>
    <x v="1"/>
    <s v="EVQ-LVESGG-GLVQPGGSLRLSCAASGFNV---------YSSSIH-WVRQ-A-P-G-K--G-LE-WVASIYSS-----------SGYTSY--A--D--SV--K---GRFTISA-D---T-S--KN----T-AYLQMNSLRA-EDTAVYYCARVGGW--------------------------YFESG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9164220000000003"/>
    <n v="1"/>
    <n v="1"/>
    <n v="1"/>
  </r>
  <r>
    <x v="590"/>
    <x v="4"/>
    <x v="1"/>
    <s v="EVQ-LVESGG-GLVQPGGSLRLSCAASGFNV---------SYSSIH-WVRQ-A-P-G-K--G-LE-WVASISSY-----------YGYTYY--A--D--SV--K---GRFTISA-D---T-S--KN----T-AYLQMNSLRA-EDTAVYYCARYRY---------------------------YGMDVWG-QGTTVTVSS"/>
    <s v="DIQ-MTQSPSSLSASVGDRVTITCRASQSV-----------SSAVA-WYQQ-K-P-G-K--A-PK-LLIYSA----------------SSL--Y--S--GV--P---SRFSGSR-------S--GT----D-FTLTISSLQP-EDFATYYCQQSYV---------------------------YSLVTFG-QGTKVEIK-"/>
    <s v="hv3"/>
    <s v="kv1"/>
    <n v="0.99996879999999999"/>
    <n v="0.99999994000000003"/>
    <n v="0.99463380000000001"/>
    <n v="1"/>
    <n v="1"/>
    <n v="1"/>
  </r>
  <r>
    <x v="591"/>
    <x v="4"/>
    <x v="1"/>
    <s v="EVQ-LVESGG-GLVQPGGSLRLSCAASGFTF---------SSYAMS-WVRQ-A-P-G-K--G-LE-WVSAISSG-----------GGSTYY--A--D--SV--K---GRFTISR-D---N-S--KN----T-LYLQMNSLRA-EDTAVYYCARWGYW-------------------------GSYYDYWG-QGTLVTVSS"/>
    <s v="DIQ-MTQSPSSLSASVGDRVTITCRASQDV-----------NTAVA-WYQQ-K-P-G-K--A-PK-LLIYSA----------------SSL--Y--S--GV--P---SRFSGSR-------S--GT----D-FTLTISSLQP-EDFATYYCQQSYV----------------------------PPPTFG-QGTKVEIK-"/>
    <s v="hv3"/>
    <s v="kv1"/>
    <n v="0.67200680000000002"/>
    <n v="0.99999919999999998"/>
    <n v="3.3085274000000002E-5"/>
    <n v="1"/>
    <n v="1"/>
    <n v="0"/>
  </r>
  <r>
    <x v="592"/>
    <x v="4"/>
    <x v="1"/>
    <s v="EVQ-LQQSGP-ELVKPGASVKISCKASGYSF---------TGYSMN-WVKQ-S-H-G-K--N-LE-WIGLINPY-----------NGDTTY--N--Q--KF--K---GKATLTV-D---K-S--SS----T-AYMELRSLTS-EDSAVYYCATGYYGS------------------------RWYFDVWG-AGTTVTVSS"/>
    <s v="DIV-LTQSPASLAVSLGQRATISCRASESVDS-------FGNSFMH-WYQQ-K-P-G-Q--P-PK-LLIYLA----------------SNL--E--S--GV--P---ARFSGSG-------S--RT----D-FTLTIDPVEA-DDAATYYCQQSNE----------------------------DPYTFG-SGTKLEIK-"/>
    <s v="hv1"/>
    <s v="kv7"/>
    <n v="4.2898335000000003E-2"/>
    <n v="2.9129652E-7"/>
    <n v="8.1376589999999995E-6"/>
    <n v="0"/>
    <n v="0"/>
    <n v="0"/>
  </r>
  <r>
    <x v="593"/>
    <x v="4"/>
    <x v="1"/>
    <s v="QVQ-LQESGP-GLVKPSQTLSLTCTVSGGSI---------SSGDYY-WIRQ-S-P-G-K--G-LE-WIGYISDG------------GSTNY--N--P--SL--K---SRVTISV-D---T-S--KN----Q-FSLKLSSVTA-ADTAVYYCAREGQS-------------------------SWYFDVWG-QGTTVTVSS"/>
    <s v="EIV-LTQSPGTLSLSPGERATLSCRASQSVS----------SSYLA-WYQQ-K-P-G-Q--A-PR-LLIYGA----------------SSR--A--T--GI--P---DRFSGSG-------S--GT----D-FTLTISRLEP-EDFAVYYCQQYGS----------------------------SPWTFG-QGTKVEIK-"/>
    <s v="hv4"/>
    <s v="kv3"/>
    <n v="0.99998790000000004"/>
    <n v="0.99999994000000003"/>
    <n v="0.99865395000000001"/>
    <n v="1"/>
    <n v="1"/>
    <n v="1"/>
  </r>
  <r>
    <x v="594"/>
    <x v="4"/>
    <x v="1"/>
    <s v="EVQ-LQQSGP-ELVKPGASVKISCKASGYTF---------TDYYMH-WVKQ-R-P-G-Q--G-LE-WIGEINPAN----------GGTANY--N--E--KF--K---GKATLTA-D---K-S--SS----T-AYMQLSSLTS-EDSAVYYCARERGDYR---------------------YDYYAMDYWG-QGTSVTVSS"/>
    <s v="DIV-MSQSPSSLAVSAGEKVTMSCKSSQSLLNS-----RTRKNYLA-WYQQ-K-P-G-Q--S-PK-LLIYWA----------------STR--E--S--GV--P---DRFTGSG-------S--GT----D-FTLTISSVKA-EDLAVYYCQQYYS----------------------------YPLTFG-AGTKLELK-"/>
    <s v="hv1"/>
    <s v="kv4"/>
    <n v="0.60899579999999998"/>
    <n v="3.3338884999999998E-8"/>
    <n v="4.1447560000000003E-3"/>
    <n v="1"/>
    <n v="0"/>
    <n v="0"/>
  </r>
  <r>
    <x v="595"/>
    <x v="4"/>
    <x v="1"/>
    <s v="QVQ-LVQSGA-EVKKPGSSVKVSCKASGGTF---------SSYAIS-WVRQ-A-P-G-Q--G-LE-WMGRIIPI-----------LGIANY--A--Q--KF--Q---GRVTITA-D---K-S--TS----T-AYMELSSLRS-EDTAVYYCAREGGRGRR--------------------FGYYGMDVWG-QGTTVTVSS"/>
    <s v="DIQ-MTQSPSTLSASVGDRVTITCRASQSI-----------SSWLA-WYQQ-K-P-G-K--A-PK-LLIYKA----------------SSL--E--S--GV--P---SRFSGSG-------S--GT----E-FTLTISSLQP-DDFATYYCQQYNS----------------------------YPLTFG-QGTKVEIK-"/>
    <s v="hv1"/>
    <s v="kv1"/>
    <n v="0.99999945999999995"/>
    <n v="0.99999994000000003"/>
    <n v="0.99998980000000004"/>
    <n v="1"/>
    <n v="1"/>
    <n v="1"/>
  </r>
  <r>
    <x v="596"/>
    <x v="4"/>
    <x v="1"/>
    <s v="EVQ-LQQSGA-ELVRPGALVKLSCKASGFNI---------KDYYMH-WVKQ-R-P-E-Q--G-LE-WIGRIDPA-----------NGYTKY--D--P--KF--Q---GKATITT-D---T-S--SN----T-AYLQLSSLTS-EDTAVYYCARSG-----------------------------YFDYWG-QGTLVTVSS"/>
    <s v="DIV-LTQSPASLAVSLGQRATISCRASESVDS-------YGNSFMH-WYQQ-K-P-G-Q--P-PK-LLIYLA----------------SNL--E--S--GV--P---ARFSGSG-------S--RT----D-FTLTINPVEA-DDVATYYCQQNNE----------------------------DPYTFG-GGTKLEIK-"/>
    <s v="hv1"/>
    <s v="kv4"/>
    <n v="5.3808380000000003E-5"/>
    <n v="6.1669859999999996E-7"/>
    <n v="6.3262385999999999E-3"/>
    <n v="0"/>
    <n v="0"/>
    <n v="0"/>
  </r>
  <r>
    <x v="597"/>
    <x v="4"/>
    <x v="1"/>
    <s v="EVQ-LVESGG-GLVQPGGSLRLSCAASGFNV---------YSSSIH-WVRQ-A-P-G-K--G-LE-WVASIYSS------------GYTYY--A--D--SV--K---GRFTISA-D---T-S--KN----T-AYLQMNSLRA-EDTAVYYCARGPW----------------------------YF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636000000003"/>
    <n v="0.99933510000000003"/>
    <n v="0.99688595999999996"/>
    <n v="1"/>
    <n v="1"/>
    <n v="1"/>
  </r>
  <r>
    <x v="598"/>
    <x v="4"/>
    <x v="1"/>
    <s v="EVQ-LVESGG-GLVQPGGSLRLSCAASGFTF---------STYAMH-WVRQ-A-P-G-K--G-LE-WVSSISSS------------SYIYY--A--D--SV--K---GRFTISR-D---N-A--KN----S-LYLQMNSLRA-EDTAVYYCARQSGYFSGY------------------SGVYGAMDYWG-QGTLVTVSS"/>
    <s v="-SV-LTQPPS-VSGAPGQTVTISCTGGSGA-----------GYDVH-WYQQ-L-P-G-T--A-PK-LLIYGN----------------NNR--P--S--GV--P---DRFSGSK-------S--GT----S-ASLAITGLQA-EDEADYYCQSYDSS--------------------------LSGWVFG-GGTKLTVL-"/>
    <s v="hv3"/>
    <s v="lv1"/>
    <n v="0.99999979999999999"/>
    <n v="0.99999994000000003"/>
    <n v="0.99887382999999996"/>
    <n v="1"/>
    <n v="1"/>
    <n v="1"/>
  </r>
  <r>
    <x v="599"/>
    <x v="4"/>
    <x v="1"/>
    <s v="EVQ-LVESGG-GLVQPGGSLRLSCAASGFTF---------SRYAMN-WVRQ-A-P-G-K--G-LE-WVSAIYD-------------GGRFY--A--D--SV--K---GRFTISR-D---N-S--KN----T-LYLQMNSLRA-EDTAVYYCARGGSS--------------------------YSGS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610000000005"/>
    <n v="0.9999903"/>
    <n v="0.93242769999999997"/>
    <n v="1"/>
    <n v="1"/>
    <n v="1"/>
  </r>
  <r>
    <x v="600"/>
    <x v="5"/>
    <x v="1"/>
    <s v="EVQ-LVQSGA-EVKKPGASVKVSCKASGYTF---------TSYAMH-WVRQ-A-P-G-Q--R-LE-WMGWINNG-----------NGNTKY--S--Q--KF--Q---GRVTITR-D---T-S--AS----T-AYMELRSLRS-DDTAVYYCARGGTS--------------------------YYFISWG-QGTLVTVSS"/>
    <s v="DIQ-MTQSPSSLSASVGDRVTITCRASQSV-----------SSAVA-WYQQ-K-P-G-K--A-PK-LLIYSA----------------SSL--Y--S--GV--P---SRFSGSR-------S--GT----D-FTLTISSLQP-EDFATYYCQQYYK---------------------------YPPWTFG-QGTKVEIK-"/>
    <s v="hv1"/>
    <s v="kv1"/>
    <n v="0.97069320000000003"/>
    <n v="0.99997835999999996"/>
    <n v="0.35853200000000002"/>
    <n v="1"/>
    <n v="1"/>
    <n v="0"/>
  </r>
  <r>
    <x v="601"/>
    <x v="5"/>
    <x v="1"/>
    <s v="EVQ-LVESGG-GLVQPGGSLRLSCAASGFTF---------SSYAMH-WVRQ-A-P-G-K--G-LE-WVSGISWN-----------SGTIGY--A--D--SV--K---GRFTISR-D---N-A--KN----S-LYLQMNSLRA-EDTALYYCARDV-----------------------------YFDYWG-QGTLVTVSS"/>
    <s v="DIQ-MTQSPSSLSASVGDRVTITCRASQSV-----------SSAVA-WYQQ-K-P-G-K--A-PK-LLIYSA----------------SSL--Y--S--GV--P---SRFSGSR-------S--GT----D-FTLTISSLQP-EDFATYYCQQYKY----------------------------VPVTFG-QGTKVEIK-"/>
    <s v="hv3"/>
    <s v="kv1"/>
    <n v="0.95797670000000001"/>
    <n v="0.99933510000000003"/>
    <n v="1.2765790000000001E-2"/>
    <n v="1"/>
    <n v="1"/>
    <n v="0"/>
  </r>
  <r>
    <x v="602"/>
    <x v="5"/>
    <x v="1"/>
    <s v="EVQ-LVESGG-GLVQPGGSLRLSCAASGFNI---------SSSSIH-WVRQ-A-P-G-K--G-LE-WVAYIYSS-----------SGYTSY--A--D--SV--K---GRFTISA-D---T-S--KN----T-AYLQMNSLRA-EDTAVYYCARPSYGY-----------------------FWSYFDYWG-QGTLVTVSS"/>
    <s v="DIV-MTQSPSSLAVSVGEKVTMSCKSSQSLLYS-----SNQKNFLA-WYQQ-K-P-G-Q--S-PK-LLIYWA----------------STR--E--S--GV--P---DRFTGSG-------S--GT----D-FTLTISSVQA-EDLAVYYCQQYYS----------------------------YPLTFG-AGTKLELK-"/>
    <s v="hv3"/>
    <s v="kv4"/>
    <n v="0.99999945999999995"/>
    <n v="1.8075932000000001E-7"/>
    <n v="2.7645074E-3"/>
    <n v="1"/>
    <n v="0"/>
    <n v="0"/>
  </r>
  <r>
    <x v="603"/>
    <x v="5"/>
    <x v="1"/>
    <s v="EVQ-LVESGG-GLVQPGGSLRLSCAASGFNV---------SYYSIH-WVRQ-A-P-G-K--G-LE-WVASISSY-----------YYSTSY--A--D--SV--K---GRFTISA-D---T-S--KN----T-AYLQMNSLRA-EDTAVYYCARGRWY--------------------------FGESHWG-QGTLVTVSS"/>
    <s v="DIQ-MTQSPSSLSASVGDRVTITCRASQSV-----------SSAVA-WYQQ-K-P-G-K--A-PK-LLIYSA----------------SSL--Y--S--GV--P---SRFSGSR-------S--GT----D-FTLTISSLQP-EDFATYYCQQYYG----------------------------YPWTFG-QGTKVEIK-"/>
    <s v="hv3"/>
    <s v="kv1"/>
    <n v="0.99999959999999999"/>
    <n v="0.99996569999999996"/>
    <n v="0.99475659999999999"/>
    <n v="1"/>
    <n v="1"/>
    <n v="1"/>
  </r>
  <r>
    <x v="604"/>
    <x v="5"/>
    <x v="1"/>
    <s v="EVQ-LVESGG-GLVQPGGSLRLSCAASGFNF---------SSSSIH-WVRQ-A-P-G-K--G-LE-WVASISSS-----------SGSTSY--A--D--SV--K---GRFTISA-D---T-S--KN----T-AYLQMNSLRA-EDTAVYYCARYSSY--------------------------YGMDVWG-QGTTVTVSS"/>
    <s v="DIQ-MTQSPSSLSASVGDRVTITCRASQSV-----------SSAVA-WYQQ-K-P-G-K--A-PK-LLIYSA----------------SSL--Y--S--GV--P---SRFSGSR-------S--GT----D-FTLTISSLQP-EDFATYYCQQSSS----------------------------SLITFG-QGTKVEIK-"/>
    <s v="hv3"/>
    <s v="kv1"/>
    <n v="0.99999433999999998"/>
    <n v="0.9999903"/>
    <n v="0.71731800000000001"/>
    <n v="1"/>
    <n v="1"/>
    <n v="1"/>
  </r>
  <r>
    <x v="605"/>
    <x v="5"/>
    <x v="1"/>
    <s v="QVQ-LVQSGA-EVKKPGSSVKVSCKASGGTF---------SSYTIS-WVRQ-A-P-G-Q--G-LE-WMGGIIPI-----------FGTANY--A--Q--KF--Q---GRVTITA-D---K-S--TS----T-AYMELSSLRS-EDTAVYYCAREGSG--------------------------GSGSYWG-QGTLVTVSS"/>
    <s v="DIQ-MTQSPSSLSASVGDRVTITCRASQSI-----------SSYLN-WYQQ-K-P-G-K--A-PK-LLIYAA----------------SSL--Q--S--GV--P---SRFSGSG-------S--GT----D-FTLTISSLQP-EDFATYYCQQYSS---------------------------YSLITFG-QGTKVEIK-"/>
    <s v="hv1"/>
    <s v="kv1"/>
    <n v="0.99999373999999996"/>
    <n v="0.99999994000000003"/>
    <n v="0.99999919999999998"/>
    <n v="1"/>
    <n v="1"/>
    <n v="1"/>
  </r>
  <r>
    <x v="606"/>
    <x v="5"/>
    <x v="1"/>
    <s v="QVQ-LVQSGA-EVKKPGASVKVSCKASGYTF---------TSSYIH-WVRQ-A-P-G-Q--G-LE-WMGWINNS------------GGTNY--A--Q--KF--Q---GRVTMTR-D---T-S--TS----T-VYMEL---RS-EDTAVYYCARDLQ---------------------------VVGDVWG-QGTTVTVSS"/>
    <s v="EIV-LTQSPGTLSLSPGERATLSCRASQVS-----------SSYLA-WYQQ-K-P-G-Q--A-PR-LLIYGA----------------SSR--A--T--GI--P---DRFSGSG-------S--GT----D-FTLTISRLEP-EDFAVYYCQQYGS----------------------------SPPTFG-QGTKVEIK-"/>
    <s v="hv1"/>
    <s v="kv3"/>
    <n v="0.999973"/>
    <n v="0.99999994000000003"/>
    <n v="0.28609266999999999"/>
    <n v="1"/>
    <n v="1"/>
    <n v="0"/>
  </r>
  <r>
    <x v="607"/>
    <x v="5"/>
    <x v="1"/>
    <s v="QVQ-LVQSGA-EVKKPGSSVKVSCKASGGTF---------SSYAIS-WVRQ-A-P-G-Q--G-LE-WMGGIIPI-----------VGTANY--A--Q--KF--Q---GRVTITA-D---K-S--TS----T-AYMELSSLRS-EDTAVYYCARGYSPYY---------------------PYEGWFDIWG-QGTMVTVSS"/>
    <s v="EIV-LTQSPGTLSLSPGERATLSCRASQSVS----------SSYLA-WYQQ-K-P-G-Q--A-PR-LLIYGA----------------SSR--A--T--GI--P---DRFSGSG-------S--GT----D-FTLTISRLEP-EDFAVYYCQQYGS----------------------------SPLTFG-GGTKVEIK-"/>
    <s v="hv1"/>
    <s v="kv3"/>
    <n v="0.99999839999999995"/>
    <n v="0.99999994000000003"/>
    <n v="0.99999576999999995"/>
    <n v="1"/>
    <n v="1"/>
    <n v="1"/>
  </r>
  <r>
    <x v="608"/>
    <x v="5"/>
    <x v="1"/>
    <e v="#NAME?"/>
    <s v="DIQ-MTQSPSSLSASVGDRVTITCRASQDV-----------NTAVA-WYQQ-K-P-G-K--A-PK-LLIYSA----------------SFL--Y--S--GV--P---SRFSGSG-------S--GT----D-FTLTISSLQP-EDFATYYCQQSYS----------------------------TLWTFG-QGTKVEIK-"/>
    <s v="hv1"/>
    <s v="kv1"/>
    <n v="0.97308899999999998"/>
    <n v="0.99999979999999999"/>
    <n v="0.68828814999999999"/>
    <n v="1"/>
    <n v="1"/>
    <n v="1"/>
  </r>
  <r>
    <x v="609"/>
    <x v="5"/>
    <x v="1"/>
    <s v="QVQ-LVQSGA-EVKKPGSSVKVSCKASGGTF---------SSYFTS-WVRQ-A-P-G-Q--G-LE-WMGGIIPT-----------FGTANY--A--Q--KF--Q---GRVTITA-D---E-S--TS----T-AYMEL---RS-EDTAVYYCAREGSS--------------------------GTFDYWG-QGTLVTVSS"/>
    <s v="DIQ-MTQSPSTLSASVGDRVTITCRASQSV-----------SSAVA-WYQQ-K-P-G-K--A-PK-LLIYSA----------------SSL--Y--S--GV--P---SRFSGSR-------S--GT----D-FTLTISSLQP-EDFATYYCQQYYS---------------------------YSLITFG-QGTKVEIK-"/>
    <s v="hv1"/>
    <s v="kv1"/>
    <n v="0.99999875000000005"/>
    <n v="0.99999994000000003"/>
    <n v="6.0427270000000001E-4"/>
    <n v="1"/>
    <n v="1"/>
    <n v="0"/>
  </r>
  <r>
    <x v="610"/>
    <x v="5"/>
    <x v="1"/>
    <s v="EVQ-LVESGG-GLVQPGGSLRLSCAASGFTF---------SSYAMS-WVRQ-A-P-G-K--G-LE-WVAYISSS-----------SGSTSY--A--D--SV--K---GRFTISA-D---T-S--KN----T-AYLQMNSLRA-EDTAVYYCAREG------------------------------WSGWG-QGTLVTVSS"/>
    <s v="DIQ-MTQSPSSLSASVGDRVTITCRASQSV-----------SSAVA-WYQQ-K-P-G-K--A-PK-LLIYSA----------------SSL--Y--S--GV--P---SRFSGSR-------S--GT----D-FTLTISSLQP-EDFATYYCQQYLY---------------------------YSLVTFG-QGTKVEIK-"/>
    <s v="hv3"/>
    <s v="kv1"/>
    <n v="0.99999919999999998"/>
    <n v="0.99999875000000005"/>
    <n v="4.6925255E-5"/>
    <n v="1"/>
    <n v="1"/>
    <n v="0"/>
  </r>
  <r>
    <x v="611"/>
    <x v="5"/>
    <x v="1"/>
    <s v="EVQ-LQQSGP-ELVKPGASVKMSCKASGYTF---------TDYYMH-WVKQ-S-H-G-K--S-LE-WIGEINPN-----------SGGTTY--N--Q--KF--K---GKATLTV-D---K-S--SS----T-AYMELRSLTS-EDSAVYYCAREI-----------------------------YGDYWG-QGTSVTVSS"/>
    <s v="DVL-MTQTPLSLPVSLGDQASISCRSSQSIVHS------NGNTYLE-WYLQ-K-P-G-Q--S-PK-LLIYKV----------------SNR--F--S--GV--P---DRFSGSG-------S--GT----D-FTLKISRVEA-EDLGVYYCFQGSH----------------------------VPYTFG-GGTKLEIK-"/>
    <s v="hv1"/>
    <s v="kv2"/>
    <n v="0.10178924"/>
    <n v="1.4855740000000001E-8"/>
    <n v="1.5215425999999999E-5"/>
    <n v="0"/>
    <n v="0"/>
    <n v="0"/>
  </r>
  <r>
    <x v="612"/>
    <x v="5"/>
    <x v="1"/>
    <s v="EVQ-LVESGG-GLVQPGGSLRLSCAASGFNL---------YSSSIH-WVRQ-A-P-G-K--G-LE-WVASIYYS-----------SYYTSY--A--D--SV--K---GRFTISA-D---T-S--KN----T-AYLQMNSLRA-EDTAVYYCARQSYG-------------------------YWYFDYWG-QGTLVTVSS"/>
    <s v="DIQ-MTQSPSSLSASVGDRVTITCRASQSV-----------SSAVA-WYQQ-K-P-G-K--A-PK-LLIYSA----------------SSL--Y--S--GV--P---SRFSGSR-------S--GT----D-FTLTISSLQP-EDFATYYCQQDTH----------------------------WPITFG-QGTKVEIK-"/>
    <s v="hv3"/>
    <s v="kv1"/>
    <n v="0.99999934000000001"/>
    <n v="0.99999289999999996"/>
    <n v="0.98841100000000004"/>
    <n v="1"/>
    <n v="1"/>
    <n v="1"/>
  </r>
  <r>
    <x v="613"/>
    <x v="5"/>
    <x v="1"/>
    <s v="EVQ-LVESGG-GLVQPGGSLRLSCAASGFTF---------SSYAMH-WVRQ-A-P-G-K--G-LE-WVAVIYDG-----------SSSTYY--A--D--SV--K---GRFTISR-D---N-S--KN----T-LYLQMNSLRA-EDTAVYYCARDLG---------------------------GSGDYWG-QGTLVTVSS"/>
    <s v="DIQ-MTQSPSSLSASVGDRVTITCRASQSV-----------SSAVA-WYQQ-K-P-G-K--A-PK-LLIYSA----------------SSL--Y--S--GV--P---SRFSGSR-------S--GT----D-FTLTISSLQP-EDFATYYCQQGDS----------------------------WLFTFG-QGTKVEIK-"/>
    <s v="hv3"/>
    <s v="kv1"/>
    <n v="0.98541254"/>
    <n v="0.99997250000000004"/>
    <n v="2.3320806E-3"/>
    <n v="1"/>
    <n v="1"/>
    <n v="0"/>
  </r>
  <r>
    <x v="614"/>
    <x v="5"/>
    <x v="1"/>
    <s v="EVQ-LVESGG-GLVQPGGSLRLSCAASGFNI----------SSYIH-WVRQ-A-P-G-K--G-LE-WVASISPY------------GYTSY--A--D--SV--K---GRFTISA-D---T-S--KN----T-AYLQMNSLRA-EDTAVYYCARGTGGK------------------------YYYFN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228"/>
    <n v="0.99706477000000004"/>
    <n v="0.99866319999999997"/>
    <n v="1"/>
    <n v="1"/>
    <n v="1"/>
  </r>
  <r>
    <x v="615"/>
    <x v="5"/>
    <x v="1"/>
    <s v="EVQ-LVESGG-GLVQPGGSLRLSCAASGFTF---------SSYAMS-WVRQ-A-P-G-K--G-LE-WVSAISGS-----------GGSTYY--A--D--SV--K---GRFTISR-D---N-S--KN----T-LYLQMNSLRA-EDTAVYYCARGLQS--------------------------SPLDYWG-QGTLVTVSS"/>
    <s v="DIQ-MTQSPSSLSASVGDRVTITCRASQSV-----------SSAVA-WYQQ-K-P-G-K--A-PK-LLIYSA----------------SSL--Y--S--GV--P---SRFSGSR-------S--GT----D-FTLTISSLQP-EDFATYYCQQHSS----------------------------WPLTFG-QGTKVEIK-"/>
    <s v="hv3"/>
    <s v="kv1"/>
    <n v="0.83677654999999995"/>
    <n v="0.9826686"/>
    <n v="2.1925120000000002E-3"/>
    <n v="1"/>
    <n v="1"/>
    <n v="0"/>
  </r>
  <r>
    <x v="616"/>
    <x v="5"/>
    <x v="1"/>
    <s v="EVQ-LVESGG-GLVKPGGSLKLSCAASGFTF---------SSYAMS-WVRQ-T-P-E-K--R-LE-WVATISSG-----------GSYTYY--P--D--SV--K---GRFTISR-D---N-A--KN----T-LYLQMSSLKS-EDTAMYYCARSAA----------------------------YYDYWG-QGTTVTVSS"/>
    <s v="DIV-MTQSPSSLAVSVGEKVTMSCKSSQSLLYS-----SNQKNYLA-WYQQ-K-P-G-Q--S-PK-LLIYWA----------------STR--E--S--GV--P---DRFTGSG-------S--GT----D-FTLTISSVQA-EDLAVYYCKQSY-----------------------------NLYTFG-GGTKLEIK-"/>
    <s v="hv3"/>
    <s v="kv4"/>
    <n v="0.90513765999999996"/>
    <n v="3.319068E-7"/>
    <n v="4.4657645000000001E-4"/>
    <n v="1"/>
    <n v="0"/>
    <n v="0"/>
  </r>
  <r>
    <x v="617"/>
    <x v="5"/>
    <x v="1"/>
    <s v="EVQ-LVESGG-GLVQPGGSLRLSCAASGFTF---------SSYAMS-WVRQ-A-P-G-K--G-LE-WVSAISGS-----------GGSTYY--A--D--SV--K---GRFTISR-D---N-S--KN----T-LYLQMNSLRA-EDTAVYYCARQGDV-------------------------PPYFDYWG-QGTLVTVSS"/>
    <s v="DIQ-MTQSPSSLSASVGDRVTITCRASQSV-----------SSAVA-WYQQ-K-P-G-K--A-PK-LLIYSA----------------SSL--Y--S--GV--P---SRFSGSR-------S--GT----D-FTLTISSLQP-EDFATYYCQQSNT----------------------------WPITFG-QGTKVEIK-"/>
    <s v="hv3"/>
    <s v="kv1"/>
    <n v="0.55960480000000001"/>
    <n v="0.99999919999999998"/>
    <n v="1.1937215E-3"/>
    <n v="1"/>
    <n v="1"/>
    <n v="0"/>
  </r>
  <r>
    <x v="618"/>
    <x v="5"/>
    <x v="1"/>
    <s v="QVQ-LQQPGA-ELVKPGASVKLSCKASGYTF---------TSDWIH-WVKQ-R-P-G-H--G-LE-WIGEIIPS-----------YGRANY--N--E--KI--Q---KKATLTA-D---K-S--SS----T-AYMQLSSLTS-EDSAVYYCARERGD--------------------------GYFAVWG-AGTTVTVSS"/>
    <s v="DIQ-MTQSPSSLSASVGDRVTITCRASQDI-----------SNYLN-WYQQ-K-P-G-K--A-PK-LLIYAA----------------STL--Q--S--GV--P---SRFSGSG-------S--GT----D-FTLTISSLQP-EDFATYYCQQYN-----------------------------NYWTFG-QGTKVEIK-"/>
    <s v="hv1"/>
    <s v="kv1"/>
    <n v="0.87064355999999998"/>
    <n v="0.99999744000000002"/>
    <n v="2.6033735999999999E-6"/>
    <n v="1"/>
    <n v="1"/>
    <n v="0"/>
  </r>
  <r>
    <x v="619"/>
    <x v="5"/>
    <x v="1"/>
    <s v="QVQ-LVQSGA-EVKKPGSSVKVSCKASGGTF---------SSYAIS-WVRQ-A-P-G-Q--G-LE-WMGRIIPI-----------LGIANY--A--Q--KF--Q---GRVTITA-D---K-S--TS----T-AYMEL---RS-EDTAVYYCAAPYCYG------------------------GHAFDYWG-QGTLVTVSS"/>
    <s v="DIQ-MTQSPSSLSASVGDRVTITCRASQDI-----------SNYLN-WYQQ-K-P-G-K--A-PK-LLIYDA----------------SNL--E--T--GV--P---SRFSGSG-------S--GT----D-FTFTISSLQP-EDIATYYCQQYDN----------------------------LPLTFG-GGTKVEIK-"/>
    <s v="hv1"/>
    <s v="kv1"/>
    <n v="0.99999994000000003"/>
    <n v="0.99999994000000003"/>
    <n v="2.9911200999999998E-2"/>
    <n v="1"/>
    <n v="1"/>
    <n v="0"/>
  </r>
  <r>
    <x v="620"/>
    <x v="5"/>
    <x v="1"/>
    <e v="#NAME?"/>
    <s v="DIQ-MTQSPSSLSASVGDRVTITCRASQDV-----------STAVA-WYQQ-K-P-G-K--A-PK-LLIYSA----------------SFL--Y--S--GV--P---SRFSGSG-------S--GT----D-FTLTISSLQP-EDFATYYCQQSYS----------------------------TPRTFG-QGTKVEIK-"/>
    <s v="hv1"/>
    <s v="kv1"/>
    <n v="0.99999539999999998"/>
    <n v="0.99999229999999995"/>
    <n v="1.5078575E-2"/>
    <n v="1"/>
    <n v="1"/>
    <n v="0"/>
  </r>
  <r>
    <x v="621"/>
    <x v="5"/>
    <x v="1"/>
    <s v="EVQ-LQQSGA-ELVRPGASVKMSCKASGYTF---------TSYWMH-WVKQ-R-P-G-Q--G-LE-WIGYINPY-----------NGGTTY--N--Q--KF--K---GKATLTA-D---K-S--SS----T-AYMQLSSLTS-EDSAVYYCARGG-----------------------------GFAYWG-QGTSVTVSS"/>
    <s v="DIV-LTQSPASLAVSLGQRATISCRASESVDNYG--ISSNNMNFLH-WYQQ-K-P-G-Q--P-PK-LLIYAA----------------SNL--E--S--GI--P---ARFSGSG-------S--RT----D-FTLTIDPVEA-DDAATYYCQQSNE----------------------------DPFTFG-GGTKLEIK-"/>
    <s v="hv1"/>
    <s v="kv4"/>
    <n v="4.5036099999999999E-3"/>
    <n v="1.3538290999999999E-4"/>
    <n v="5.8212029999999994E-11"/>
    <n v="0"/>
    <n v="0"/>
    <n v="0"/>
  </r>
  <r>
    <x v="622"/>
    <x v="5"/>
    <x v="1"/>
    <s v="EVQ-LVESGG-GLVQPGGSLRLSCAASGFTF---------STYAMS-WVRQ-A-P-G-K--G-LE-WVAFISYD-----------GSNIYY--A--D--SV--K---GRFTISR-D---N-S--KN----T-LYLQMNSLRA-EDTAVYYCARGYYSYYV-------------------WNSGYYFDYWG-QGTLVTVSS"/>
    <s v="-SV-LTQPPS-VSGAPGQRVTISCTGSSSNIG--------AGYDVH-WYQQ-L-P-G-T--A-PK-LLIYGN----------------SNR--P--S--GV--P---DRFSGSK-------S--GT----S-ASLAITGLQA-EDEADYYCQSYDS---------------------------SLSYVFG-TGTKVTVL-"/>
    <s v="hv3"/>
    <s v="lv1"/>
    <n v="0.99999839999999995"/>
    <n v="0.99999994000000003"/>
    <n v="0.54905932999999996"/>
    <n v="1"/>
    <n v="1"/>
    <n v="1"/>
  </r>
  <r>
    <x v="623"/>
    <x v="5"/>
    <x v="1"/>
    <s v="EVQ-LVQSGA-EVKKPGESLKISCKGSGYSF---------TSYWIG-WVRQ-M-P-G-K--G-LE-WMGIIYPG-----------DSDTRY--S--P--SF--Q---GQVTISA-D---K-S--IS----T-AYLQW---KA-SDTAMYYCARGGSG--------------------------YAMDYWG-QGTSVTVSS"/>
    <s v="DIQ-MTQSPSSLSASVGDRVTITCRASQSV-----------SSAVA-WYQQ-K-P-G-K--A-PK-LLIYSA----------------SSL--Y--S--GV--P---SRFSGSR-------S--GT----D-FTLTISSLQP-EDFATYYCQQSSS----------------------------SLITFG-QGTKVEIK-"/>
    <s v="hv5"/>
    <s v="kv1"/>
    <n v="0.99980449999999998"/>
    <n v="0.9999903"/>
    <n v="5.3175645999999997E-3"/>
    <n v="1"/>
    <n v="1"/>
    <n v="0"/>
  </r>
  <r>
    <x v="624"/>
    <x v="5"/>
    <x v="1"/>
    <s v="EVQ-LVESGG-GLVQPGGSLRLSCAASGFNI---------SSSSIH-WVRQ-A-P-G-K--G-LE-WVASISPY------------GYTSY--A--D--SV--K---GRFTISA-D---T-S--KN----T-AYLQMNSLRA-EDTAVYYCARYDYY--------------------------GA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8885000000004"/>
    <n v="0.9999903"/>
    <n v="0.98041654"/>
    <n v="1"/>
    <n v="1"/>
    <n v="1"/>
  </r>
  <r>
    <x v="625"/>
    <x v="5"/>
    <x v="1"/>
    <s v="EVQ-LVESGG-GLVQPGGSLRLSCAASGFTF---------SSYAMS-WVRQ-A-P-G-K--G-LE-WVSAISGS-----------GGSTYY--A--D--SV--K---GRFTISR-D---N-S--KN----T-LYLQMNSLRA-EDTAVYYCARDVY---------------------------SGSDIWG-QGTMVTVSS"/>
    <s v="DIQ-MTQSPSSLSASVGDRVTITCRASQDV-----------NTAVA-WYQQ-K-P-G-K--A-PK-LLIYSA----------------SSL--Y--S--GV--P---SRFSGSR-------S--GT----D-FTLTISSLQP-EDFATYYCQQSSS----------------------------SLITFG-QGTKVEIK-"/>
    <s v="hv3"/>
    <s v="kv1"/>
    <n v="0.98437569999999996"/>
    <n v="0.99997705000000003"/>
    <n v="1.7888723999999999E-5"/>
    <n v="1"/>
    <n v="1"/>
    <n v="0"/>
  </r>
  <r>
    <x v="626"/>
    <x v="5"/>
    <x v="1"/>
    <s v="QVQ-LVQSGA-EVKKPGSSVKVSCKASGGTF---------SSYGIS-WVRQ-A-P-G-Q--G-LE-WMGGIIPI-----------FGTTKY--A--Q--KF--Q---GRVTITA-D---E-S--TS----T-AYMELSSLRS-EDTAVYYCARQGSGS-----------------------GFYGMDVWG-QGTTVTVSS"/>
    <s v="EIV-LTQSPGTLSLSPGERATLSCRASQTVS----------STSLA-WYQQ-K-P-G-Q--A-PR-LLIYGA----------------SSR--A--T--GI--P---DRFSGSG-------S--GT----D-FTLTISRLEP-EDFAVYYCQQYGS----------------------------SPWTFG-QGTKVEIK-"/>
    <s v="hv1"/>
    <s v="kv3"/>
    <n v="0.99991289999999999"/>
    <n v="0.99999994000000003"/>
    <n v="0.87394344999999996"/>
    <n v="1"/>
    <n v="1"/>
    <n v="1"/>
  </r>
  <r>
    <x v="627"/>
    <x v="5"/>
    <x v="1"/>
    <s v="QVQ-LVQSGA-EVKKPGASVKVSCKASGYTF---------TSYYMH-WVRQ-A-P-G-Q--G-LE-WMGWISYN------------GNTNY--A--Q--KF--Q---GRVTMTR-D---T-S--IS----T-AYMEL---RS-EDTAVYYCAKGGD----------------------------FFDYWG-QGTLVTVSS"/>
    <s v="-SV-LTQPPS-VSGAPGQRVTISCTGSSSNIG--------AGYDVH-WYQQ-L-P-G-T--A-PK-LLIYGN----------------SNR--P--S--GV--P---DRFSGSK-------S--GT----S-ASLAITGLQA-EDEADYYCQSYDR---------------------------RLAWVFG-GGTKLTVG-"/>
    <s v="hv1"/>
    <s v="lv1"/>
    <n v="0.99999899999999997"/>
    <n v="0.99999994000000003"/>
    <n v="8.1123979999999998E-2"/>
    <n v="1"/>
    <n v="1"/>
    <n v="0"/>
  </r>
  <r>
    <x v="628"/>
    <x v="5"/>
    <x v="1"/>
    <s v="EVQ-LVESGG-GLVQPGGSLRLSCAASGFTF---------SSYAMH-WVRQ-A-P-G-K--G-LE-WVSAISSS-----------GSTIYY--A--D--SV--K---GRFTISR-D---N-S--KN----T-LYLQMNSLRA-EDTAVYYCARDLSSG------------------------YSYDSSWG-QGTLVTVSS"/>
    <s v="-SV-LTQPPS-VSGAPGQRVTISCTGSSSNIG--------AGYDVH-WYQQ-L-P-G-T--A-PK-LLIYGN----------------NNR--P--S--GV--P---DRFSGSK-------S--GT----S-ASLAITGLQA-EDEADYYCQSYDS---------------------------RLAWVFG-GGTKLTVG-"/>
    <s v="hv3"/>
    <s v="lv1"/>
    <n v="0.99965179999999998"/>
    <n v="0.99999994000000003"/>
    <n v="0.47915834000000002"/>
    <n v="1"/>
    <n v="1"/>
    <n v="0"/>
  </r>
  <r>
    <x v="629"/>
    <x v="5"/>
    <x v="1"/>
    <s v="QVQ-LQESGP-GLVKPSQTLSLTCTVSGGSIS--------NGYYWS-WIRQ-P-P-G-K--G-LE-WIGYIYYS------------GSTYY--N--P--SL--K---SRVTISV-D---T-S--KN----Q-FSLKLSSVTA-ADTAVYYCARDLPP-------------------------VSGVGVWG-AGV-VTVSS"/>
    <s v="DIQ-MTQSPSSLSASVGDRVTITCRASQGI-----------SSWLA-WYQQ-K-P-G-K--A-PK-LLIYAA----------------SSL--Q--S--GV--P---SRFSGSG-------S--GT----D-FTLTISSLQP-EDFATYYCQQYSS----------------------------YSITFG-QGTKVEIK-"/>
    <s v="hv4"/>
    <s v="kv1"/>
    <n v="0.99893290000000001"/>
    <n v="0.99997369999999997"/>
    <n v="0.9990329"/>
    <n v="1"/>
    <n v="1"/>
    <n v="1"/>
  </r>
  <r>
    <x v="630"/>
    <x v="5"/>
    <x v="1"/>
    <s v="QVQ-LVQSGA-EVKKPGSSVKVSCKASGGTF---------SSYTIS-WVRQ-A-P-G-Q--G-LE-WMGGIIPI-----------LGIANY--A--Q--KF--Q---GRVTITA-D---K-S--TS----T-AYMELSSLRS-EDTAVYYCARGSGF-------------------------YGAMDYWG-QGTLVTVSS"/>
    <s v="DIQ-MTQSPSSLSASVGDRVTITCRASQSV-----------SSAVA-WYQQ-K-P-G-K--A-PK-LLIYSA----------------SSL--Y--S--GV--P---SRFSGSR-------S--GT----D-FTLTISSLQP-EDFATYYCQQYKY----------------------------VPVTFG-QGTKVEVK-"/>
    <s v="hv1"/>
    <s v="kv1"/>
    <n v="0.99999979999999999"/>
    <n v="0.99992829999999999"/>
    <n v="3.3637285E-4"/>
    <n v="1"/>
    <n v="1"/>
    <n v="0"/>
  </r>
  <r>
    <x v="631"/>
    <x v="5"/>
    <x v="1"/>
    <s v="EVQ-LVESGG-GLVQPGGSLRLSCAASGFNV---------SYSSIH-WVRQ-A-P-G-K--G-LE-WVASISSY-----------YGYTSY--A--D--SV--K---GRFTISA-D---T-S--KN----T-AYLQMNSLRA-EDTAVYYCARGSG----------------------------YSGYWG-QGTLVTVFN"/>
    <s v="DIQ-MTQSPSSLSASVGDRVTITCRASQSV-----------SSAVA-WYQQ-K-P-G-K--A-PK-LLIYSA----------------SSL--Y--S--GV--P---SRFSGSR-------S--GT----D-FTLTISSLQP-EDFATYYCQQYKY----------------------------VPVTFG-QGTKVEIK-"/>
    <s v="hv3"/>
    <s v="kv1"/>
    <n v="0.99999979999999999"/>
    <n v="0.99933510000000003"/>
    <n v="0.9976235"/>
    <n v="1"/>
    <n v="1"/>
    <n v="1"/>
  </r>
  <r>
    <x v="632"/>
    <x v="5"/>
    <x v="1"/>
    <s v="QVQ-LVQSGA-EVKKPGSSVKVSCKASGGTF---------SSYGIS-WVRQ-A-P-G-Q--G-LE-WMGGIIPI-----------SGTANY--A--Q--KF--Q---GRVTITA-D---K-S--TS----T-AYMELSSLRS-EDTAVYYCAREGSGS-----------------------GSGYFDVWG-QGTLVTVSS"/>
    <s v="DIQ-MTQSPSSLSASVGDRVTITCRASQSV-----------SSAVA-WYQQ-K-P-G-K--A-PK-LLIYSA----------------SSL--Y--S--GV--P---SRFSGSR-------S--GT----D-FTLTISSLQP-EDFATYYCQQYSY----------------------------SPLTFG-GGTKVEIK-"/>
    <s v="hv1"/>
    <s v="kv1"/>
    <n v="0.99999815000000003"/>
    <n v="0.98166310000000001"/>
    <n v="1.7499620000000001E-3"/>
    <n v="1"/>
    <n v="1"/>
    <n v="0"/>
  </r>
  <r>
    <x v="633"/>
    <x v="5"/>
    <x v="1"/>
    <e v="#NAME?"/>
    <s v="DIQ-MTQSPSSLSASVGDRVTITCQASQDI-----------SNYLN-WYQQ-K-P-G-K--A-PK-LLIYDA----------------SNL--K--T--GV--P---SRFSGSG-------S--GT----D-FTFTISSLQP-EDIATYYCQQYDN----------------------------LPLTFG-QGTKVEIK-"/>
    <s v="hv4"/>
    <s v="kv1"/>
    <n v="0.99999660000000001"/>
    <n v="0.99999994000000003"/>
    <n v="0.87187713"/>
    <n v="1"/>
    <n v="1"/>
    <n v="1"/>
  </r>
  <r>
    <x v="634"/>
    <x v="5"/>
    <x v="1"/>
    <s v="QVQ-LVESGG-GVVQPGRSLRLSCAASGFTF---------SNYGMH-WVRQ-A-P-G-K--G-LE-WVAVISYD-----------GSNKYY--A--D--SV--K---GRFTISR-D---N-S--KN----T-LYLQMNSLRA-EDTAVYYCAKDRG----------------------------LYDYWG-QGTLVTVSS"/>
    <s v="DIQ-MTQSPSSLSASVGDRVTITCRASQDV-----------STAVA-WYQQ-K-P-G-K--A-PK-LLIYSA----------------SSL--Y--S--GV--P---SRFSGSR-------S--GT----D-FTLTISSLQP-EDFATYYCQQSYF----------------------------DPYTFG-QGTKVEIK-"/>
    <s v="hv3"/>
    <s v="kv1"/>
    <n v="0.76469310000000001"/>
    <n v="0.99396209999999996"/>
    <n v="1.8335721999999999E-2"/>
    <n v="1"/>
    <n v="1"/>
    <n v="0"/>
  </r>
  <r>
    <x v="635"/>
    <x v="5"/>
    <x v="1"/>
    <s v="EVQ-LVQSGA-EVKKPGSSVKVSCKASGYTF---------TDYYIH-WVRQ-A-P-G-Q--G-LE-WMGWMNPD-----------GDTTYY--A--Q--KF--Q---GRVTMTR-D---T-S--TS----T-VYMELSSLRS-DDTAVYYCARDWYD-------------------------GGRGQVWG-PG-LVTVSS"/>
    <s v="DIQ-MTQSPSSLSASVGDRVTITCRASQSV-----------SSAVA-WYQQ-K-P-G-K--A-PK-LLIYSA----------------SSL--Y--S--GV--P---SRFSGSR-------S--GT----D-FTLTISSLQP-EDFATYYCQQYSS---------------------------YSLVTFG-QGTKVEIK-"/>
    <s v="hv1"/>
    <s v="kv1"/>
    <n v="0.56592107000000003"/>
    <n v="0.99993675999999998"/>
    <n v="0.99933749999999999"/>
    <n v="1"/>
    <n v="1"/>
    <n v="1"/>
  </r>
  <r>
    <x v="636"/>
    <x v="5"/>
    <x v="1"/>
    <s v="EVQ-LVESGG-GLVQPGGSLRLSCAASGFNI---------KDTYIH-WVRQ-A-P-G-K--G-LE-WVASISSY-----------YGSTSY--A--D--SV--K---GRFTISA-D---T-S--KN----T-AYLQMNSLRA-EDTAVYYCARLRYF--------------------------GA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7429999999998"/>
    <n v="0.9999903"/>
    <n v="0.99485003999999999"/>
    <n v="1"/>
    <n v="1"/>
    <n v="1"/>
  </r>
  <r>
    <x v="637"/>
    <x v="5"/>
    <x v="1"/>
    <s v="QVQ-LVQSGA-EVKKPGSSVKVSCKASGGTF---------SSYTIS-WVRQ-A-P-G-Q--G-LE-WMGGIIPL-----------FGTTNY--A--Q--KF--Q---GRVTITA-D---E-S--TS----T-AYMELSSLRS-EDTAVYYCAKTTGKS------------------------GGWFDSWG-QGTLVTVSS"/>
    <s v="DIQ-MTQSPSSLSASVGDRVTITCRASQSI-----------GSWLA-WYQQ-K-P-G-K--A-PK-LLIYRA----------------SNL--E--T--GV--P---SRFSGSG-------S--GT----D-FTFTISSLQP-EDIATYYCQQYDN----------------------------LPPTFG-GGTKVEIK-"/>
    <s v="hv1"/>
    <s v="kv1"/>
    <n v="0.99999994000000003"/>
    <n v="0.97006619999999999"/>
    <n v="0.98893719999999996"/>
    <n v="1"/>
    <n v="1"/>
    <n v="1"/>
  </r>
  <r>
    <x v="638"/>
    <x v="5"/>
    <x v="1"/>
    <s v="EVQ-LVESGG-GLVQPGGSLRLSCAASGFTF---------SSYAMS-WVRQ-A-P-G-K--G-LE-WVSSISSS-----------SGSTYY--A--D--SV--K---GRFTISR-D---N-S--KN----T-LYLQMNSLRA-EDTAVYYCAKDGGFSGSSDYY------------WSSYSGLYAMDYWG-QGTLVTVSS"/>
    <s v="EIV-LTQSPATLSLSPGERATLSCRASQSV-----------SSYLA-WYQQ-K-P-G-Q--A-PR-LLIYDA----------------SNR--A--T--GI--P---ARFSGSG-------S--GT----D-FTLTISSLEP-EDFAVYYCQQRSN----------------------------WPITFG-QGTRLEIK-"/>
    <s v="hv3"/>
    <s v="kv3"/>
    <n v="0.99998920000000002"/>
    <n v="0.99999994000000003"/>
    <n v="0.99999970000000005"/>
    <n v="1"/>
    <n v="1"/>
    <n v="1"/>
  </r>
  <r>
    <x v="639"/>
    <x v="5"/>
    <x v="1"/>
    <s v="EVQ-LVESGG-GLVQPGGSLRLSCAASGFNI---------KDTYIH-WVRQ-A-P-G-K--G-LE-WVASIYPY-----------YGSTSY--A--D--SV--K---GRFTISA-D---T-S--KN----T-AYLQMNSLRA-EDTAVYYCARWGYGSG----------------------VWYA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6629999999997"/>
    <n v="0.9999903"/>
    <n v="0.99947540000000001"/>
    <n v="1"/>
    <n v="1"/>
    <n v="1"/>
  </r>
  <r>
    <x v="640"/>
    <x v="5"/>
    <x v="1"/>
    <s v="EVQ-LVESGG-GLVQPGGSLRLSCAASGFTF---------SSYAMS-WVRQ-A-P-G-K--G-LE-WVSAISGS-----------GGSTYY--A--D--SV--K---GRFTISR-D---N-S--KN----T-LYLQMNSLRA-EDTAVYYCARQVGS-------------------------SWYFDVWG-QGTTVTVSS"/>
    <s v="DIQ-MTQSPSSLSASVGDRVTITCRASQSI-----------SSYLN-WYQQ-K-P-G-K--A-PK-LLIYAA----------------SSL--Q--S--GV--P---SRFSGSG-------S--GT----D-FTLTISSLQP-EDFATYYCQQSYS----------------------------TPRTFG-QGTKVEIK-"/>
    <s v="hv3"/>
    <s v="kv1"/>
    <n v="0.53786193999999998"/>
    <n v="0.99999994000000003"/>
    <n v="0.99999934000000001"/>
    <n v="1"/>
    <n v="1"/>
    <n v="1"/>
  </r>
  <r>
    <x v="641"/>
    <x v="5"/>
    <x v="1"/>
    <s v="EVQ-LVESGG-GLVKPGGSLRLSCAASGFTF---------SSYAMS-WVRQ-A-P-G-K--G-LE-WVSSISSS-----------SSYIYY--A--D--SV--K---GRFTISR-D---N-A--KN----S-LYLQMNSLRA-EDTAVYYCARDLLT-------------------------YYGMDVWG-QGTTVTVSS"/>
    <s v="EIV-LTQSPGTLSLSPGERATLSCRASQSVS----------SSYLA-WYQQ-K-P-G-Q--A-PR-LLIYGA----------------SSR--A--T--GI--P---DRFSGSG-------S--GT----D-FTLTISRLEP-EDFAVYYCQQYGS----------------------------SPLTFG-QGTKVEIK-"/>
    <s v="hv3"/>
    <s v="kv3"/>
    <n v="0.86743650000000005"/>
    <n v="0.99999994000000003"/>
    <n v="0.99999576999999995"/>
    <n v="1"/>
    <n v="1"/>
    <n v="1"/>
  </r>
  <r>
    <x v="642"/>
    <x v="5"/>
    <x v="1"/>
    <s v="QVQ-LVESGG-GVVQPGRSLRLSCAASGFTF---------SSYGMH-WVRQ-A-P-G-K--G-LE-WVAVISDG------------SNKYY--A--D--SV--K---GRFTISR-D---N-S--KN----T-LYLQMNSLRA-EDTAVYYCARDV------------------------------YDVWG-QGTLVTVSS"/>
    <s v="-SV-LTQPPS-VSGAPGQRVTISCTGSSGA-----------GYDVH-WYQQ-L-P-G-T--A-PK-LLIYGN----------------INR--P--S--GV--P---DRFSGSK-------S--GT----S-ASLAITGLQA-EDEADYYCQSYDSS-------------------------LSGTYVFG-TGTKVTVL-"/>
    <s v="hv3"/>
    <s v="lv1"/>
    <n v="0.99998980000000004"/>
    <n v="0.99999994000000003"/>
    <n v="0.20654596"/>
    <n v="1"/>
    <n v="1"/>
    <n v="0"/>
  </r>
  <r>
    <x v="643"/>
    <x v="5"/>
    <x v="1"/>
    <s v="EVQ-LVESGG-GLVQPGGSLRLSCAASGFNI---------SSSSIH-WVRQ-A-P-G-K--G-LE-WVASISSS-----------YGYTSY--A--D--SV--K---GRFTISA-D---T-S--KN----T-AYLQMNSLRA-EDTAVYYCARVYGS-------------------------SSSS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45999999995"/>
    <n v="0.9999903"/>
    <n v="0.98971900000000002"/>
    <n v="1"/>
    <n v="1"/>
    <n v="1"/>
  </r>
  <r>
    <x v="644"/>
    <x v="5"/>
    <x v="1"/>
    <s v="QVQ-LVQSGA-EVKKPGSSVKVSCKASGGTF---------SSYTIS-WVRQ-A-P-G-Q--G-LE-WMGGIIPI-----------FVTVNY--A--Q--KF--Q---GRVTITA-D---K-S--TS----T-AYMELSSLRS-EDTAVYYCARVSGS--------------------------YGSGYWG-QGTLVTVSS"/>
    <s v="EIV-LTQSPGTLSLSPGERATLSCRASQVS-----------SSYLA-WYQQ-K-P-G-Q--A-PR-LLIYGA----------------SSR--A--T--GI--P---DRFSGSG-------S--GT----D-FTLTISRLEP-EDFAVYYCQQYGS----------------------------SPWTFG-QGTKVEIK-"/>
    <s v="hv1"/>
    <s v="kv3"/>
    <n v="0.99999994000000003"/>
    <n v="0.99999994000000003"/>
    <n v="0.48904222000000003"/>
    <n v="1"/>
    <n v="1"/>
    <n v="0"/>
  </r>
  <r>
    <x v="645"/>
    <x v="5"/>
    <x v="1"/>
    <s v="EVQ-LVESGG-GLVQPGGSLRLSCAASGFTF---------SSYAMH-WVRQ-A-P-G-K--G-LE-WVSAISGS-----------GGSTYY--A--D--SV--K---GRFTISR-D---N-S--KN----T-LYLQMNSLRA-EDTAVYYCARYYR---------------------------SGDGYWG-QGTLVTVSS"/>
    <s v="-SV-LTQPPS-VSGAPGQRVTISCTGSSSNIG--------AGYDVH-WYQQ-L-P-G-T--A-PK-LLIYGN----------------NNR--P--S--GV--P---DRFSGSK-------S--GT----S-ASLAITGLQA-EDEADYYCQSYDR----------------------------RLWVFG-GGTKLTVL-"/>
    <s v="hv3"/>
    <s v="lv1"/>
    <n v="0.9998648"/>
    <n v="0.99999994000000003"/>
    <n v="0.97855080000000005"/>
    <n v="1"/>
    <n v="1"/>
    <n v="1"/>
  </r>
  <r>
    <x v="646"/>
    <x v="5"/>
    <x v="1"/>
    <s v="QVQ-LQESGP-GLVKPSETLSLTCTVSGGSIS-------SSNYYWG-WIRQ-P-P-G-K--G-LE-WIGSIYYS------------GNTNY--N--P--SL--K---SRVTISV-D---T-S--KN----Q-FSLKLSSVTA-ADTAVYYCARGPG---------------------------FYYDYWG-QGTLVTVSS"/>
    <s v="EIV-LTQSPGTLSLSPGETASLSCTASQSV-----------SSYLY-WYQQ-K-S-G-T--S-PK-LLIYDV----------------SNR--F--S--GV--P---DRFSGSG-------S--GT----D-FTLKISRVEA-EDLGVYYCFQGSH----------------------------VPYTFG-GGTKLEIK-"/>
    <s v="hv4"/>
    <s v="kv3"/>
    <n v="0.99999945999999995"/>
    <n v="6.8970909999999997E-4"/>
    <n v="0.87973314999999996"/>
    <n v="1"/>
    <n v="0"/>
    <n v="1"/>
  </r>
  <r>
    <x v="647"/>
    <x v="5"/>
    <x v="1"/>
    <s v="QVQ-LVQSGA-EVKKPGASVKVSCKASGYTF---------TNYGIS-WVRQ-A-P-G-Q--G-LE-WMGWISYN------------GNTNY--A--Q--KF--Q---GRVTMTT-D---T-S--TT----T-GYMELRRLRS-DDTAVYYCARGW-----------------------------YSDYWG-QGTLVTVSS"/>
    <s v="DIQ-MTQSPSSLSASVGDRVTITCRASQSV-----------SSAVA-WYQQ-K-P-G-K--A-PK-LLIYSA----------------SSL--Y--S--GV--P---SRFSGSR-------S--GT----D-FTLTISSLQP-EDFATYYCQQYKY----------------------------VPVTFG-QGTKVEIK-"/>
    <s v="hv1"/>
    <s v="kv1"/>
    <n v="0.99999994000000003"/>
    <n v="0.99933510000000003"/>
    <n v="0.98810019999999998"/>
    <n v="1"/>
    <n v="1"/>
    <n v="1"/>
  </r>
  <r>
    <x v="648"/>
    <x v="5"/>
    <x v="1"/>
    <s v="EVQ-LVQSGA-EVKKPGSSVKVSCKASGGTF---------SSYTIS-WVRQ-A-P-G-Q--G-LE-WMGGIIIF------------GTANY--A--Q--KF--Q---GRVTITA-D---K-S--TS----T-AYMEL---RS-EDTAVYYCAKGDY---------------------------VGSDYWG-QGTLVTVSS"/>
    <s v="DIQ-MTQSPSSLSASVGDRVTITCRASQDV-----------NTAVA-WYQQ-K-P-G-K--A-PK-LLIYSA----------------SFL--Y--S--GV--P---SRFSGSG-------S--GT----D-FTLTISSLQP-EDFATYYCQQSYS----------------------------TPRTFG-QGTKVEIK-"/>
    <s v="hv1"/>
    <s v="kv1"/>
    <n v="0.99999959999999999"/>
    <n v="0.99999755999999995"/>
    <n v="4.2705310000000002E-3"/>
    <n v="1"/>
    <n v="1"/>
    <n v="0"/>
  </r>
  <r>
    <x v="649"/>
    <x v="5"/>
    <x v="1"/>
    <s v="EVQ-LVESGG-GLVQPGGSLRLSCAASGFNI----------KDYIH-WVRQ-A-P-G-K--G-LE-WVASISSY-----------YGSTSY--A--D--SV--K---GRFTISA-D---T-S--KN----T-AYLQMNSLRA-EDTAVYYCARQTYD--------------------------YGYGYWG-QGTLVTVSS"/>
    <s v="DIQ-MTQSPSSLSASVGDRVTITCRASQSV-----------SSAVA-WYQQ-K-P-G-K--A-PK-LLIYSA----------------SSL--Y--S--GV--P---SRFSGSR-------S--GT----D-FTLTISSLQP-EDFATYYCQQYSY---------------------------SAPRTFG-QGTKVEIK-"/>
    <s v="hv3"/>
    <s v="kv1"/>
    <n v="0.99997990000000003"/>
    <n v="0.98743515999999998"/>
    <n v="0.95947355000000001"/>
    <n v="1"/>
    <n v="1"/>
    <n v="1"/>
  </r>
  <r>
    <x v="650"/>
    <x v="6"/>
    <x v="1"/>
    <s v="EVQ-LVESGG-GLVKPGGSLRLSCAASGFTF---------SSYAMS-WVRQ-A-P-G-K--G-LE-WVSSISSS-----------SSYIYY--A--D--SV--K---GRFTISR-D---N-A--KN----S-LYLQMNSLRA-EDTAVYYCARWYGSS------------------------YYGMDYWG-QGTLVTVSS"/>
    <s v="DIQ-MTQSPSSLSASVGDRVTITCRASQSV-----------SSAVA-WYQQ-K-P-G-K--A-PK-LLIYSA----------------SSL--Y--S--GV--P---SRFSGSR-------S--GT----D-FTLTISSLQP-EDFATYYCQQYYS----------------------------YSWTFG-QGTKVEIK-"/>
    <s v="hv3"/>
    <s v="kv1"/>
    <n v="0.8527479"/>
    <n v="0.99999979999999999"/>
    <n v="3.2915120000000001E-5"/>
    <n v="1"/>
    <n v="1"/>
    <n v="0"/>
  </r>
  <r>
    <x v="651"/>
    <x v="6"/>
    <x v="1"/>
    <s v="EVQ-LVESGG-GLVQPGGSLRLSCAASGFTF---------SSYWMS-WVRQ-A-P-G-K--G-LE-WVANIKQD-----------GSEKYY--V--D--SV--K---GRFTISR-D---N-A--KN----S-LYLQMNSLRA-EDTAVYYCAKDTYQDY---------------------GSGVYFDYWG-QGTLVTVSS"/>
    <s v="DIQ-MTQSPSSLSASVGDRVTITCRASQSV-----------SSAVA-WYQQ-K-P-G-K--A-PK-LLIYSA----------------SSL--Y--S--GV--P---SRFSGSR-------S--GT----D-FTLTISSLQP-EDFATYYCQQYYS---------------------------YSLVTFG-QGTKVEIK-"/>
    <s v="hv3"/>
    <s v="kv1"/>
    <n v="0.99992349999999997"/>
    <n v="0.99999669999999996"/>
    <n v="7.284469E-3"/>
    <n v="1"/>
    <n v="1"/>
    <n v="0"/>
  </r>
  <r>
    <x v="652"/>
    <x v="6"/>
    <x v="1"/>
    <s v="EVQ-LVESGG-GLVQPGGSLRLSCAASGFTF---------SSYWMS-WVRQ-A-P-G-K--G-LE-WVSVIYSG------------GSTYY--A--D--SV--K---GRFTISR-D---N-S--KN----T-LYLQM---RA-EDTAVYYCARGGG----------------------------AFDHWG-QGTLVTVSS"/>
    <s v="DIQ-MTQSPSSLSASVGDRVTITCRASQSV-----------SSAVA-WYQQ-K-P-G-K--A-PK-LLIYSA----------------SSL--Y--S--GV--P---SRFSGSR-------S--GT----D-FTLTISSLQP-EDFATYYCQQSYV---------------------------SPPWTFG-QGTKVEIK-"/>
    <s v="hv3"/>
    <s v="kv1"/>
    <n v="0.99990979999999996"/>
    <n v="0.99999934000000001"/>
    <n v="3.6484941E-3"/>
    <n v="1"/>
    <n v="1"/>
    <n v="0"/>
  </r>
  <r>
    <x v="653"/>
    <x v="6"/>
    <x v="1"/>
    <s v="EVQ-LVESGG-GLVQPGGSLRLSCAASGFNV---------SYSSIH-WVRQ-A-P-G-K--G-LE-WVAYIYSS-----------YGYTSY--A--D--SV--K---GRFTISA-D---T-S--KN----T-AYLQMNSLRA-EDTAVYYCARSYYYGS----------------------SYYGMDVWG-QGTTVTVSS"/>
    <s v="DIQ-MTQSPSSLSASVGDRVTITCRASQSV-----------SSAVA-WYQQ-K-P-G-K--A-PK-LLIYSA----------------SSL--Y--S--GV--P---SRFSGSR-------S--GT----D-FTLTISSLQP-EDFATYYCQQSYV---------------------------YYSWTFG-QGTKVEIK-"/>
    <s v="hv3"/>
    <s v="kv1"/>
    <n v="0.99999669999999996"/>
    <n v="0.99999994000000003"/>
    <n v="0.95005700000000004"/>
    <n v="1"/>
    <n v="1"/>
    <n v="1"/>
  </r>
  <r>
    <x v="654"/>
    <x v="6"/>
    <x v="1"/>
    <s v="EVQ-LVESGG-GLVKPGGSLKLSCAASGFTF---------SSYAMS-WVRQ-T-P-E-K--R-LE-WVATISSG-----------GGYTYY--P--D--TV--K---GRFTISR-D---N-A--KN----T-LYLQMSSLKS-EDTAMYYCARQGYV--------------------------GPMDYWG-QGTSVTVSS"/>
    <s v="DIV-MSQSPSSLAVSAGEKVTMSCKSSQSLLNS-----RTRKNYLA-WYQQ-K-P-G-Q--S-PK-LLIYWA----------------STR--E--S--GV--P---DRFTGSG-------S--GT----D-FTLTISSVKA-EDLAVYYCKQSF-----------------------------YLRTFG-GGTKLEIK-"/>
    <s v="hv3"/>
    <s v="kv4"/>
    <n v="0.56308219999999998"/>
    <n v="6.5359176E-9"/>
    <n v="1.2696433000000001E-3"/>
    <n v="1"/>
    <n v="0"/>
    <n v="0"/>
  </r>
  <r>
    <x v="655"/>
    <x v="6"/>
    <x v="1"/>
    <s v="EVQ-LVESGG-GLVQPGGSLRLSCAASGFNI---------SSSSIH-WVRQ-A-P-G-K--G-LE-WVASISSY-----------YGYTSY--A--D--SV--K---GRFTISA-D---T-S--KN----T-AYLQMNSLRA-EDTAVYYCARGYYS--------------------------GYFN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4223999999998"/>
    <n v="0.9999903"/>
    <n v="0.96752459999999996"/>
    <n v="1"/>
    <n v="1"/>
    <n v="1"/>
  </r>
  <r>
    <x v="656"/>
    <x v="6"/>
    <x v="1"/>
    <s v="QVQ-LVQSGA-EVKKPGASVKVSCKASGYTF---------TSYNIH-WVRQ-A-P-G-Q--G-LE-WMGWISTY-----------NGNTNY--A--Q--KF--Q---GRVTMTT-D---T-S--TT----T-GYMELRRLRS-DDTAVYYCARDLQG-------------------------QVYLDYWG-QGTLVTVSS"/>
    <s v="EIV-LTQSPGTLSLSPGERATLSCRASQSVS----------SSYLA-WYQQ-K-P-G-Q--A-PR-LLIYGA----------------SSR--A--T--GI--P---DRFSGSG-------S--GT----D-FTLTISRLEP-EDFAVYYCQQYGS----------------------------SPWTFG-QGTKVEIK-"/>
    <s v="hv1"/>
    <s v="kv3"/>
    <n v="0.99999979999999999"/>
    <n v="0.99999994000000003"/>
    <n v="0.99998385000000001"/>
    <n v="1"/>
    <n v="1"/>
    <n v="1"/>
  </r>
  <r>
    <x v="657"/>
    <x v="6"/>
    <x v="1"/>
    <s v="-VQ-LQQSGA-ELVRPGASVKLSCKASGFNI---------KDYYMH-WVKQ-R-P-E-Q--G-LE-WIGRIDPA-----------NGYTQF--N--Q--KF--K---GKATLTV-D---K-S--SS----T-AYMQLNSLTS-EDSAVYYCAREYN---------------------------YGDDYWG-QGTTLTVSS"/>
    <s v="DIQ-MTQSPSSLSASVGDRVTITCRASQSI-----------SSYLN-WYQQ-K-P-G-K--A-PK-LLIYAA----------------SSL--Q--S--GV--P---SRFSGSG-------S--GT----D-FTLTISSLQP-EDFATYYCQQSYS----------------------------TLWTFG-QGTKVEIK-"/>
    <s v="hv1"/>
    <s v="kv1"/>
    <n v="4.1815884999999997E-3"/>
    <n v="0.99999994000000003"/>
    <n v="6.8002365000000003E-8"/>
    <n v="0"/>
    <n v="1"/>
    <n v="0"/>
  </r>
  <r>
    <x v="658"/>
    <x v="6"/>
    <x v="1"/>
    <s v="EVQ-LVESGG-GLVQPGGSLRLSCAASGFNV---------SYSSIH-WVRQ-A-P-G-K--G-LE-WVAYIYSS-----------YGYTSY--A--D--SV--K---GRFTISA-D---T-S--KN----T-AYLQMNSLRA-EDTAVYYCARVYSGY------------------------YGA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9160170000000003"/>
    <n v="1"/>
    <n v="1"/>
    <n v="1"/>
  </r>
  <r>
    <x v="659"/>
    <x v="6"/>
    <x v="1"/>
    <s v="QVQ-LVQSGA-EVKKPGASVKVSCKASGYTF---------TSYAMH-WVRQ-A-P-G-Q--G-LE-WMGWISYN------------GNTNY--A--Q--KF--Q---GRVTMTR-D---T-S--IS----T-AYMEL---RS-EDTAVYYCARGVR---------------------------GYYDHWG-QGTLVTVSS"/>
    <s v="EIV-LTQSPGTLSLSPGERATLSCRASQSV-----------SSYLA-WYQQ-K-P-G-Q--A-PR-LLIYGA----------------SSR--A--T--GI--P---DRFSGSG-------S--GT----D-FTLTISRLEP-EDFAVYYCQQYGS----------------------------SPRTFG-QGTKVEIK-"/>
    <s v="hv1"/>
    <s v="kv3"/>
    <n v="0.99999979999999999"/>
    <n v="0.99999994000000003"/>
    <n v="0.99574039999999997"/>
    <n v="1"/>
    <n v="1"/>
    <n v="1"/>
  </r>
  <r>
    <x v="660"/>
    <x v="6"/>
    <x v="1"/>
    <s v="EVQ-LVESGG-GLVQPGGSLRLSCAASGFNV---------SSYTIH-WVRQ-A-P-G-K--G-LE-WVAYIYPY-----------SGSTSY--A--D--SV--K---GRFTISA-D---T-S--KN----T-AYLQMNSLRA-EDTAVYYCARSYWYY------------------------DYYDLPWG-SGL-VTVSS"/>
    <s v="DIQ-MTQSPSSLSASVGDRVTITCRASQSV-----------SSAVA-WYQQ-K-P-G-K--A-PK-LLIYSA----------------SSL--Y--S--GV--P---SRFSGSR-------S--GT----D-FTLTISSLQP-EDFATYYCQQYKY----------------------------VPVTFG-QGTKVEIK-"/>
    <s v="hv3"/>
    <s v="kv1"/>
    <n v="0.82369285999999997"/>
    <n v="0.99933510000000003"/>
    <n v="0.99991363"/>
    <n v="1"/>
    <n v="1"/>
    <n v="1"/>
  </r>
  <r>
    <x v="661"/>
    <x v="6"/>
    <x v="1"/>
    <e v="#NAME?"/>
    <s v="DIQ-MTQSPSSLSASVGDRVTITCRASQSV-----------SSAVA-WYQQ-K-P-G-K--A-PK-LLIYSA----------------SSL--Y--S--GV--P---SRFSGSR-------S--GT----D-FTLTISSLQP-EDFATYYCQQYYN----------------------------YPRTFG-QGTKVEIK-"/>
    <s v="hv3"/>
    <s v="kv1"/>
    <n v="0.9996408"/>
    <n v="0.99996980000000002"/>
    <n v="6.3918409999999995E-2"/>
    <n v="1"/>
    <n v="1"/>
    <n v="0"/>
  </r>
  <r>
    <x v="662"/>
    <x v="6"/>
    <x v="1"/>
    <s v="EVQ-LVESGG-GLVQPGGSLRLSCAASGFTF---------SSYDMH-WVRQ-A-P-G-K--G-LE-WVSYISSS-----------SGSTSY--A--D--SV--K---GRFTISA-D---T-S--KN----T-AYLQM---RA-EDTAVYYCARGWT---------------------------LGSDYWG-QGTLVTVSS"/>
    <s v="DIQ-MTQSPSSLSASVGDRVTITCRASQSV-----------SSAVA-WYQQ-K-P-G-K--A-PK-LLIYSA----------------SSL--Y--S--GV--P---SRFSGSR-------S--GT----D-FTLTISSLQP-EDFATYYCQQSHE----------------------------DPYTFG-QGTKVEIK-"/>
    <s v="hv3"/>
    <s v="kv1"/>
    <n v="0.99999934000000001"/>
    <n v="0.98566823999999997"/>
    <n v="5.0346982000000002E-5"/>
    <n v="1"/>
    <n v="1"/>
    <n v="0"/>
  </r>
  <r>
    <x v="663"/>
    <x v="6"/>
    <x v="1"/>
    <s v="EVQ-LVESGG-GLVQPGGSLRLSCAASGFNF---------SSSSIH-WVRQ-A-P-G-K--G-LE-WVASIYSY-----------SGYTSY--A--D--SV--K---GRFTISA-D---T-S--KN----T-AYLQMNSLRA-EDTAVYYCARWGYGR------------------------RWYF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830000000001"/>
    <n v="0.9999903"/>
    <n v="0.95792120000000003"/>
    <n v="1"/>
    <n v="1"/>
    <n v="1"/>
  </r>
  <r>
    <x v="664"/>
    <x v="6"/>
    <x v="1"/>
    <s v="QVQ-LVESGG-GVVQPGRSLRLSCAASGFTF---------SNYGMH-WVRQ-T-P-G-K--G-LE-WVAVIWYD-----------GSNKYY--A--D--SV--K---GRFTISR-D---N-S--KN----T-LYLQMNSLRA-EDTAVYYCARWGYD--------------------------ILTVYWG-QGTLVTVSS"/>
    <s v="EIV-LTQSPGTLSLSPGERATLSCRASQSVS----------SSYLA-WYQQ-K-P-G-Q--A-PR-LLIYGA----------------SSR--A--T--GI--P---DRFSGSG-------S--GT----D-FTLTISRLEP-EDFAVYYCQQYGS----------------------------SPLTFG-QGTKVEIK-"/>
    <s v="hv3"/>
    <s v="kv3"/>
    <n v="0.99983096000000005"/>
    <n v="0.99999994000000003"/>
    <n v="0.99975944000000005"/>
    <n v="1"/>
    <n v="1"/>
    <n v="1"/>
  </r>
  <r>
    <x v="665"/>
    <x v="6"/>
    <x v="1"/>
    <s v="QVQ-LVQSGA-EVKKPGASVKVSCKASGYTF---------TSYGIS-WVRQ-A-P-G-Q--G-LE-WMGWISTY-----------NGNTNY--A--Q--KF--Q---GRVTMTT-D---T-S--TT----T-GYMELRRLRS-DDTAVYYCARDYTRGAWF-----------------GESLIGGFDNWG-QGTLVTVSS"/>
    <s v="EIV-LTQSPGTLSLSPGERATLSCRASQSV-----------SSYLA-WYQQ-K-P-G-Q--A-PR-LLIYGA----------------SSR--A--T--GI--P---DRFSGSG-------S--GT----D-FTLTISRLEP-EDFAVYYCQQYGS----------------------------SPRTFG-QGTKVEIK-"/>
    <s v="hv1"/>
    <s v="kv3"/>
    <n v="0.99999994000000003"/>
    <n v="0.99999994000000003"/>
    <n v="0.99989015000000003"/>
    <n v="1"/>
    <n v="1"/>
    <n v="1"/>
  </r>
  <r>
    <x v="666"/>
    <x v="6"/>
    <x v="1"/>
    <s v="EVQ-LVESGG-GLVQPGGSLRLSCAASGFNV---------SYSSIH-WVRQ-A-P-G-K--G-LE-WVASIYSY-----------SGYTSY--A--D--SV--K---GRFTISA-D---T-S--KN----T-AYLQMNSLRA-EDTAVYYCARG-------------------------------RW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859999999996"/>
    <n v="0.99706477000000004"/>
    <n v="0.99592510000000001"/>
    <n v="1"/>
    <n v="1"/>
    <n v="1"/>
  </r>
  <r>
    <x v="667"/>
    <x v="6"/>
    <x v="1"/>
    <s v="EVQ-LVESGG-GLVQPGGSLRLSCAASGFTF---------SSYAMS-WVRQ-A-P-G-K--G-LE-WVSAISSG------------GSTYY--A--D--SV--K---GRFTISR-D---N-S--KN----T-LYLQMNSLRA-EDTAVYYCAKAGYR--------------------------SLWVYWG-QGTLVTVSS"/>
    <s v="DIQ-MTQSPSSLSASVGDRVTITCRASQDV-----------STAVA-WYQQ-K-P-G-K--A-PK-LLIYSA----------------SSL--Y--S--GV--P---SRFSGSR-------S--GT----D-FTLTISSLQP-EDFATYYCQQGSS----------------------------SLITFG-QGTKVEIK-"/>
    <s v="hv3"/>
    <s v="kv1"/>
    <n v="0.89289324999999997"/>
    <n v="0.9939344"/>
    <n v="1.8145028000000001E-4"/>
    <n v="1"/>
    <n v="1"/>
    <n v="0"/>
  </r>
  <r>
    <x v="668"/>
    <x v="6"/>
    <x v="1"/>
    <s v="EVQ-LVESGG-GLVQPGGSLRLSCAASGFTF---------SSYAMS-WVRQ-A-P-G-K--G-LE-WVSYISDSV----------SGYADY--A--D--SV--K---GRFTISR-D---N-S--KN----T-LYLQMNSLRA-EDTAVYYCAKTT-----------------------------SGWLWG-QGTLVTVSS"/>
    <s v="DIQ-MTQSPSSLSASVGDRVTITCRASQSV-----------SSAVA-WYQQ-K-P-G-K--A-PK-LLIYSA----------------SSL--Y--S--GV--P---SRFSGSR-------S--GT----D-FTLTISSLQP-EDFATYYCQQSSS----------------------------SLITFG-QGTKVEIK-"/>
    <s v="hv3"/>
    <s v="kv1"/>
    <n v="0.99973990000000001"/>
    <n v="0.9999903"/>
    <n v="0.90067105999999997"/>
    <n v="1"/>
    <n v="1"/>
    <n v="1"/>
  </r>
  <r>
    <x v="669"/>
    <x v="6"/>
    <x v="1"/>
    <s v="EVQ-LVESGG-GLVQPGGSLRLSCAASGFNV---------SYSSIH-WVRQ-A-P-G-K--G-LE-WVAYISSS-----------SGSTYY--A--D--SV--K---GRFTISA-D---T-S--KN----T-AYLQMNSLRA-EDTAVYYCARSY-----------------------------YFSSWG-QGTLVTVSS"/>
    <s v="DIQ-MTQSPSSLSASVGDRVTITCRASQSV-----------SSAVA-WYQQ-K-P-G-K--A-PK-LLIYSA----------------SSL--Y--S--GV--P---SRFSGSR-------S--GT----D-FTLTISSLQP-EDFATYYCQQYYS---------------------------YSLITFG-QGTKVEIK-"/>
    <s v="hv3"/>
    <s v="kv1"/>
    <n v="0.99999970000000005"/>
    <n v="0.99999636000000003"/>
    <n v="0.97625209999999996"/>
    <n v="1"/>
    <n v="1"/>
    <n v="1"/>
  </r>
  <r>
    <x v="670"/>
    <x v="6"/>
    <x v="1"/>
    <s v="EVQ-LVESGG-GLVQPGGSLRLSCAASGFNV---------SYSSIH-WVRQ-A-P-G-K--G-LE-WVASISSY-----------YGSTSY--A--D--SV--K---GRFTISA-D---T-S--KN----T-AYLQMNSLRA-EDTAVYYCARQGY---------------------------GYFY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684"/>
    <n v="0.99933510000000003"/>
    <n v="0.99263203"/>
    <n v="1"/>
    <n v="1"/>
    <n v="1"/>
  </r>
  <r>
    <x v="671"/>
    <x v="6"/>
    <x v="1"/>
    <s v="QVQ-LVQSGA-EVKKPGASVKVSCKASGYTF---------TSYAIH-WVRQ-A-P-G-Q--G-LE-WMGWINNS-----------GGNTNY--A--Q--KF--Q---GRVTMTR-D---T-S--TS----T-VYMEL---RS-EDTAVYYCARDV-----------------------------GGSLWG-QGTLVTVSS"/>
    <s v="DIQ-MTQSPSSLSASVGDRVTITCQASQDI-----------SNYLN-WYQQ-K-P-G-K--A-PK-LLIYDA----------------SNL--E--T--GV--P---SRFSGSG-------S--GT----D-FTFTISSLQP-EDIATYYCQQYDN----------------------------LPFTFG-PGTKVDIK-"/>
    <s v="hv1"/>
    <s v="kv1"/>
    <n v="0.99999859999999996"/>
    <n v="0.99999994000000003"/>
    <n v="0.59931599999999996"/>
    <n v="1"/>
    <n v="1"/>
    <n v="1"/>
  </r>
  <r>
    <x v="672"/>
    <x v="6"/>
    <x v="1"/>
    <s v="QVQ-LVQSGA-EVKKPGSSVKVSCKASGGTF---------SSYAIS-WVRQ-A-P-G-Q--G-LE-WMGGIIPI-----------FGTANY--A--Q--KF--Q---GRVTITA-D---K-S--TS----T-AYMELSSLRS-EDTAVYYCARGQGW--------------------------QGFDYWG-QGTLVTVSS"/>
    <s v="EIV-LTQSPGTLSLSPGERATLSCRASQSV-----------SSYLA-WYQQ-K-P-G-Q--A-PR-LLIYGA----------------SSR--A--T--GI--P---DRFSGSG-------S--GT----D-FTLTISRLEP-EDFAVYYCQQYGS----------------------------SPWTFG-QGTKVEIK-"/>
    <s v="hv1"/>
    <s v="kv3"/>
    <n v="0.99998169999999997"/>
    <n v="0.99999994000000003"/>
    <n v="0.9999692"/>
    <n v="1"/>
    <n v="1"/>
    <n v="1"/>
  </r>
  <r>
    <x v="673"/>
    <x v="6"/>
    <x v="1"/>
    <s v="EVQ-LVESGG-GLVQPGGSLRLSCAASGFTF---------SDYYMT-WVRQ-A-P-G-K--G-LE-WVSVIYSG------------GSTYY--A--D--SV--K---GRFTISR-D---N-S--KN----T-LYLQM---RA-EDTAVYYCARG--------------------------------DYWG-QGTLVTVSS"/>
    <s v="DIQ-MTQSPSSLSASVGDRVTITCRASQSV-----------SSAVA-WYQQ-K-P-G-K--A-PK-LLIYSA----------------SSL--Y--S--GV--P---SRFSGSR-------S--GT----D-FTLTISSLQP-EDFATYYCQQSYT----------------------------YPITFG-QGTKVEIK-"/>
    <s v="hv3"/>
    <s v="kv1"/>
    <n v="0.99993449999999995"/>
    <n v="0.99999994000000003"/>
    <n v="0.64917499999999995"/>
    <n v="1"/>
    <n v="1"/>
    <n v="1"/>
  </r>
  <r>
    <x v="674"/>
    <x v="6"/>
    <x v="1"/>
    <s v="QVQ-LQQSGA-ELARPGASVKLSCKASGYTF---------TNYWMH-WVKQ-R-P-G-Q--G-LE-WIGEINPN-----------SGGTNY--N--E--KF--K---GKATLTA-D---K-S--SS----T-AYMQL---TS-EDSAVYYCARERDG--------------------------NYFAYWG-QGTLVTVSA"/>
    <s v="DIQ-MTQSPSTLSASVGDRVTITCRASQSI-----------SSWLA-WYQQ-K-P-G-K--A-PK-LLIYKA----------------SSL--E--S--GV--P---SRFSGSG-------S--GT----E-FTLTISSLQP-DDFATYYCQQYN-----------------------------SYWTFG-QGTKVEIK-"/>
    <s v="hv1"/>
    <s v="kv1"/>
    <n v="4.8854125999999998E-6"/>
    <n v="0.99999994000000003"/>
    <n v="1.5378271E-7"/>
    <n v="0"/>
    <n v="1"/>
    <n v="0"/>
  </r>
  <r>
    <x v="675"/>
    <x v="6"/>
    <x v="1"/>
    <s v="EVQ-LVESGG-GLVQPGGSLRLSCAASGFTF---------SDYDMH-WVRQ-A-P-G-K--G-LE-WVSVIYSG------------GSTYY--A--D--SV--K---GRFTISR-D---N-S--KN----T-LYLQMNSLRA-EDTAVYYCARWGY---------------------------WYFDYWG-QGTLVTVSS"/>
    <s v="DIQ-MTQSPSSLSASVGDRVTITCRASQSV-----------SSAVA-WYQQ-K-P-G-K--A-PK-LLIYSA----------------SSL--Y--S--GV--P---SRFSGSR-------S--GT----D-FTLTISSLQP-EDFATYYCQQYYK---------------------------YLPITFG-QGTKVEIK-"/>
    <s v="hv3"/>
    <s v="kv1"/>
    <n v="0.95550763999999999"/>
    <n v="0.99999744000000002"/>
    <n v="5.3219086999999998E-2"/>
    <n v="1"/>
    <n v="1"/>
    <n v="0"/>
  </r>
  <r>
    <x v="676"/>
    <x v="6"/>
    <x v="1"/>
    <s v="EVQ-LVESGG-GLVQPGGSLRLSCAASGFTF---------SSYDMH-WVRQ-A-P-G-K--G-LE-WVSVIYSG------------GSTYY--A--D--SV--K---GRFTISR-D---N-S--KN----T-LYLQMNSLRA-EDTAVYYCARGP-----------------------------GYSGWG-QGTLVTVSS"/>
    <s v="DIQ-MTQSPSSLSASVGDRVTITCRASQSV-----------SSAVA-WYQQ-K-P-G-K--A-PK-LLIYSA----------------SSL--Y--S--GV--P---SRFSGSR-------S--GT----D-FTLTISSLQP-EDFATYYCQQSY------------------------------VPSFG-QGTKVEIK-"/>
    <s v="hv3"/>
    <s v="kv1"/>
    <n v="0.99698330000000002"/>
    <n v="0.99999839999999995"/>
    <n v="2.5762153999999999E-3"/>
    <n v="1"/>
    <n v="1"/>
    <n v="0"/>
  </r>
  <r>
    <x v="677"/>
    <x v="6"/>
    <x v="1"/>
    <s v="QVQ-LVQSGA-EVKKPGASVKVSCKASGYTF---------TNYGIS-WVRQ-A-P-G-Q--G-LE-WMGWMNPN-----------SGNTNY--A--Q--KF--Q---GRVTMTR-D---T-S--IS----T-AYMELSRLRS-DDTAVYYCARHLE---------------------------QYFDYWG-QGTLVTVSS"/>
    <s v="DIV-MTQSPDSLAVSLGERATINCKSSQSVLYS-----SNNKNYLA-WYQQ-K-P-G-Q--P-PK-LLIYWA----------------STR--E--S--GV--P---DRFSGSG-------S--GT----D-FTLTISSLQA-EDVAVYYCQQYYS----------------------------TPYTFG-QGTKLEIK-"/>
    <s v="hv1"/>
    <s v="kv4"/>
    <n v="0.99999505"/>
    <n v="0.99999994000000003"/>
    <n v="0.99999979999999999"/>
    <n v="1"/>
    <n v="1"/>
    <n v="1"/>
  </r>
  <r>
    <x v="678"/>
    <x v="6"/>
    <x v="1"/>
    <s v="QVQ-LVESGG-GVVQPGRSLRLSCAASGFTF---------SNYGMH-WVRQ-A-P-G-K--G-LE-WVAVISYD-----------GSNKYY--A--D--SV--K---GRFTISR-D---N-S--KN----T-LYLQMNSLRA-EDTAVYYCARDLGVG-----------------------LYYGMDVWG-QGTTVTVSS"/>
    <s v="EIV-LTQSPGTLSLSPGERATLSCRASQVG-----------NNKLA-WYQQ-K-P-G-Q--A-PR-LLIYGA----------------SSR--A--T--GI--P---DRFSGSG-------S--GT----D-FTLTISRLEP-EDFAVYYCQQYGS----------------------------SPWTFG-QGTKVEIK-"/>
    <s v="hv3"/>
    <s v="kv3"/>
    <n v="0.99894709999999998"/>
    <n v="0.99999994000000003"/>
    <n v="2.6610208999999999E-2"/>
    <n v="1"/>
    <n v="1"/>
    <n v="0"/>
  </r>
  <r>
    <x v="679"/>
    <x v="6"/>
    <x v="1"/>
    <s v="QVQ-LQQPGA-ELVKPGASVKLSCKASGYTF---------TSYWMH-WVKQ-R-P-G-Q--G-LE-WIGEINPN-----------GGSTNY--N--E--KF--K---SKATLTV-D---K-S--SS----T-AYMQLSSLTS-EDSAVYYCAREGTYD-----------------------YYYAMDYWG-QGTSVTVSS"/>
    <s v="DIV-MTQSPATLSVSPGERATLSCRASESV-----------SSDLA-WYQQ-K-P-G-Q--A-PR-LLIYGA----------------STR--A--T--GV--P---ARFSGSG-------S--GA----E-FTLTISSLQS-EDFAVYYCQQYNN---------------------------WPPWTFG-QGTKVEIK-"/>
    <s v="hv1"/>
    <s v="kv3"/>
    <n v="0.15960932"/>
    <n v="0.99999994000000003"/>
    <n v="1.4067900000000001E-7"/>
    <n v="0"/>
    <n v="1"/>
    <n v="0"/>
  </r>
  <r>
    <x v="680"/>
    <x v="6"/>
    <x v="1"/>
    <s v="QVQ-LVESGG-GVVQPGRSLRLSCAASGFTF---------SSYGMH-WVRQ-A-P-G-K--G-LE-WVAVIWYD-----------GSNKYY--A--D--SV--K---GRFTISR-D---N-S--KN----T-LYLQMNSLRA-EDTAVYYCARVYGW--------------------------SVYDVWG-QGTTVTVSS"/>
    <s v="DIQ-MTQSPSSLSASVGDRVTITCQASQDI-----------SNYLN-WYQQ-K-P-G-K--A-PK-LLIYDA----------------SNL--E--T--GV--P---SRFSGSG-------S--GT----D-FTFTISSLQP-EDIATYYCQQYDN----------------------------LPITFG-QGTRLEIK-"/>
    <s v="hv3"/>
    <s v="kv1"/>
    <n v="6.5566613999999995E-2"/>
    <n v="0.99999994000000003"/>
    <n v="0.99999970000000005"/>
    <n v="0"/>
    <n v="1"/>
    <n v="1"/>
  </r>
  <r>
    <x v="681"/>
    <x v="6"/>
    <x v="1"/>
    <s v="QVQ-LQQPGA-ELVKPGASVKLSCKASGYTF---------TDYYMN-WVKQ-S-H-G-K--S-LE-WIGGINPY-----------YGTTNY--N--Q--KF--K---GKATLTV-D---K-S--SS----T-AFMELSSLTS-EDSAVYYCARSGY----------------------------GTDYWG-QGTSVTVSS"/>
    <s v="DIV-MSQSPSSLAVSAGEKVTMSCKSSQSLFYS------NNKNYLT-WFQQ-K-P-G-Q--S-PK-LLIYWA----------------STR--E--S--GV--P---DRFTGSG-------S--GT----D-FTLTISSVKA-EDLAVYYCQQYYS----------------------------YPLTFG-GGTKLEIK-"/>
    <s v="hv1"/>
    <s v="kv4"/>
    <n v="0.99952023999999995"/>
    <n v="6.9299430000000002E-8"/>
    <n v="4.0156257000000003E-5"/>
    <n v="1"/>
    <n v="0"/>
    <n v="0"/>
  </r>
  <r>
    <x v="682"/>
    <x v="6"/>
    <x v="1"/>
    <s v="EVQ-LVESGG-GLVQPGGSLRLSCAASGFTF---------SSYAMS-WVRQ-A-P-G-K--G-LE-WVSAISSS-----------GGSTYY--A--D--SV--K---GRFTISR-D---N-S--KN----T-LYLQMNSLRA-EDTAVYYCARAQLWS-----------------------SYWSFDYWG-QGTLVTVSS"/>
    <s v="-IQ-MTQSPSSLSASVGDRVTITCRASQSV-----------SSAVA-WYQQ-K-P-G-K--A-PK-LLIYSA----------------SSL--Y--S--GV--P---SRFSGSR-------S--GT----D-FTLTISSLQP-EDFATYYCQQYSS---------------------------YYSVTFG-QGTKVEIK-"/>
    <s v="hv3"/>
    <s v="kv1"/>
    <n v="0.38111087999999999"/>
    <n v="0.99999859999999996"/>
    <n v="1.3109828E-4"/>
    <n v="0"/>
    <n v="1"/>
    <n v="0"/>
  </r>
  <r>
    <x v="683"/>
    <x v="6"/>
    <x v="1"/>
    <s v="EVQ-LVESGG-GLVQPGGSLRLSCAASGFTF---------SSYAMS-WVRQ-A-P-G-K--G-LE-WVSVIGID------------GNIYY--A--D--SV--K---GRFTISR-D---N-S--KN----T-LYLQMNSLRA-EDTAVYYCARDRG---------------------------SASGYWG-QGTLVTVSS"/>
    <s v="DIQ-MTQSPSSLSASVGDRVTITCRASQSV-----------SSAVA-WYQQ-K-P-G-K--A-PK-LLIYSA----------------SSL--Y--S--GV--P---SRFSGSR-------S--GT----D-FTLTISSLQP-EDFATYYCQQSSS----------------------------SLITFG-QGTKVEIK-"/>
    <s v="hv3"/>
    <s v="kv1"/>
    <n v="0.99400809999999995"/>
    <n v="0.9999903"/>
    <n v="0.66403747000000002"/>
    <n v="1"/>
    <n v="1"/>
    <n v="1"/>
  </r>
  <r>
    <x v="684"/>
    <x v="6"/>
    <x v="1"/>
    <s v="QVQ-LQESGP-GLVKPSQTLSLTCTVSGGSIS-------SGDYYWN-WIRQ-P-P-G-K--G-LE-WIGYIYS-------------GSTSY--N--P--SL--K---SRVTISV-D---T-S--KN----Q-FSLKLSSVTA-ADTAVYYCARRY-----------------------------DYDFWG-RGTLVTVSS"/>
    <s v="DIQ-MTQSPSSLSASVGDRVTITCQASQDI-----------SNYLN-WYQQ-K-P-G-K--A-PK-LLIYDA----------------SNL--E--T--GV--P---SRFSGSG-------S--GT----D-FTFTISSLQP-EDIATYYCQQYDN----------------------------LPFTFG-PGTKVDIK-"/>
    <s v="hv4"/>
    <s v="kv1"/>
    <n v="0.99999994000000003"/>
    <n v="0.99999994000000003"/>
    <n v="0.95653390000000005"/>
    <n v="1"/>
    <n v="1"/>
    <n v="1"/>
  </r>
  <r>
    <x v="685"/>
    <x v="6"/>
    <x v="1"/>
    <s v="EVQ-LVESGG-GLVQPGGSLRLSCAASGFNV---------SYSSIH-WVRQ-A-P-G-K--G-LE-WVAYISSS-----------SGSTSY--A--D--SV--K---GRFTISA-D---T-S--KN----T-AYLQMNSLRA-EDTAVYYCARAAYY--------------------------GYYGY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934000000001"/>
    <n v="0.99706477000000004"/>
    <n v="0.99227124"/>
    <n v="1"/>
    <n v="1"/>
    <n v="1"/>
  </r>
  <r>
    <x v="686"/>
    <x v="6"/>
    <x v="1"/>
    <e v="#NAME?"/>
    <s v="EIV-LTQSPGTLSLSPGERATLSCRASQTV-----------SSYLA-WYQQ-K-P-G-Q--A-PR-LLIYGA----------------SSR--A--T--GI--P---DRFSGSG-------S--GT----D-FTLTISRLEP-EDFAVYYCQQYGS----------------------------SPWTFG-QGTKVEIK-"/>
    <s v="hv1"/>
    <s v="kv3"/>
    <n v="0.99990754999999998"/>
    <n v="0.99999994000000003"/>
    <n v="0.27424288000000002"/>
    <n v="1"/>
    <n v="1"/>
    <n v="0"/>
  </r>
  <r>
    <x v="687"/>
    <x v="6"/>
    <x v="1"/>
    <s v="EVQ-LVQSGA-EVKKPGESLKISCKGSGYSF---------TSYWIG-WVRQ-M-P-G-K--G-LE-WMGIIYPG-----------DSDTRY--S--P--SF--Q---GQVTISA-D---K-S--IS----T-AYLQWSSLKA-SDTAMYYCARQDY---------------------------DWGNYWG-QGTLVTVSS"/>
    <s v="EIV-LTQSPGTLSLSPGERATLSCRASQSVS----------SSYLA-WYQQ-K-P-G-Q--A-PR-LLIYGA----------------SSR--A--T--GI--P---DRFSGSG-------S--GT----D-FTLTISRLEP-EDFAVYYCQQYGS----------------------------SPWTFG-QGTKVEIK-"/>
    <s v="hv5"/>
    <s v="kv3"/>
    <n v="0.32938909999999999"/>
    <n v="0.99999994000000003"/>
    <n v="0.99999994000000003"/>
    <n v="0"/>
    <n v="1"/>
    <n v="1"/>
  </r>
  <r>
    <x v="688"/>
    <x v="6"/>
    <x v="1"/>
    <e v="#NAME?"/>
    <s v="DIV-MTQSPDSLAVSLGERATINCKSSQSVLYS-----SNNKNYLA-WYQQ-K-P-G-Q--P-PK-LLIYWA----------------STR--E--S--GV--P---DRFTGSG-------S--GT----D-FTLTISSVQA-EDLAVYYCQQYYS----------------------------SPLTFG-QGTKVEIK-"/>
    <s v="hv1"/>
    <s v="kv4"/>
    <n v="0.99900465999999999"/>
    <n v="0.99999994000000003"/>
    <n v="3.8654025000000003E-7"/>
    <n v="1"/>
    <n v="1"/>
    <n v="0"/>
  </r>
  <r>
    <x v="689"/>
    <x v="6"/>
    <x v="1"/>
    <s v="EVQ-LVESGG-GLVQPGGSLRLSCAASGFNV---------SYSSIH-WVRQ-A-P-G-K--G-LE-WVASISSY-----------YGYTYY--A--D--SV--K---GRFTISA-D---T-S--KN----T-AYLQMNSLRA-EDTAVYYCARYYYSY------------------------SSYYPYWG-QGTLVTVSS"/>
    <s v="DIQ-MTQSPSSLSASVGDRVTITCRASQSV-----------SSAVA-WYQQ-K-P-G-K--A-PK-LLIYSA----------------SSL--Y--S--GV--P---SRFSGSR-------S--GT----D-FTLTISSLQP-EDFATYYCQQSSY----------------------------GLITFG-QGTKVEIK-"/>
    <s v="hv3"/>
    <s v="kv1"/>
    <n v="0.99999660000000001"/>
    <n v="0.99999373999999996"/>
    <n v="0.99564576000000005"/>
    <n v="1"/>
    <n v="1"/>
    <n v="1"/>
  </r>
  <r>
    <x v="690"/>
    <x v="6"/>
    <x v="1"/>
    <s v="EVQ-LVQSGA-EVKKPGSSVKVSCKASGGTF---------SNYALS-WVRQ-A-P-G-Q--G-LE-WMGGIIPL-----------GTTTKY--A--Q--KF--Q---GRVTITA-D---E-S--TS----T-AYMELSSLRS-EDTAVYYCARDYT---------------------------RGGDYWG-QGTLVTVSS"/>
    <s v="DIQ-MTQSPSSLSASVGDRVTITCRASQSV-----------SSAVA-WYQQ-K-P-G-K--A-PK-LLIYSA----------------SSL--Y--S--GV--P---SRFSGSR-------S--GT----D-FTLTISSLQP-EDFATYYCQQYSK---------------------------YSLVTFG-QGTKVEIK-"/>
    <s v="hv1"/>
    <s v="kv1"/>
    <n v="0.99511930000000004"/>
    <n v="0.99996823000000001"/>
    <n v="0.98769914999999997"/>
    <n v="1"/>
    <n v="1"/>
    <n v="1"/>
  </r>
  <r>
    <x v="691"/>
    <x v="6"/>
    <x v="1"/>
    <s v="EVQ-LVESGG-GLVQPGGSLRLSCAASGFTF---------SSYAMS-WVRQ-A-P-G-K--G-LE-WVSAISSS------------GSTYY--A--D--SV--K---GRFTISR-D---N-S--KN----T-LYLQMNSLRA-EDTAVYYCARGTGGY------------------------SGYFDYWG-QGTLVTVSS"/>
    <s v="DIQ-MTQSPSSLSASVGDRVTITCRASQSV-----------SSAVA-WYQQ-K-P-G-K--A-PK-LLIYSA----------------SSL--Y--S--GV--P---SRFSGSR-------S--GT----D-FTLTISSLQP-EDFATYYCQQYLY---------------------------YSLITFG-QGTKVEIK-"/>
    <s v="hv3"/>
    <s v="kv1"/>
    <n v="0.92582050000000005"/>
    <n v="0.99999875000000005"/>
    <n v="1.8888744000000001E-5"/>
    <n v="1"/>
    <n v="1"/>
    <n v="0"/>
  </r>
  <r>
    <x v="692"/>
    <x v="6"/>
    <x v="1"/>
    <s v="QVQ-LVQSGA-EVKKPGSSVKVSCKASGGTF---------SSYTIS-WVRQ-A-P-G-Q--G-LE-WMGGIIPF-----------VGPTGY--A--Q--KF--Q---GRVTITA-D---K-S--TS----T-AYMELSSLRS-EDTAVYYCARGGSGS------------------------FYGMDVWG-QGTTVTVSS"/>
    <s v="DIQ-MTQSPSSLSASVGDRVTITCQASQDI-----------SNYLN-WYQQ-K-P-G-K--A-PK-LLIYDA----------------SNL--E--T--GV--P---SRFSGSG-------S--GT----D-FTFTISSLQP-EDIATYYCQQYDN----------------------------LPFTFG-PGTKVDFK-"/>
    <s v="hv1"/>
    <s v="kv1"/>
    <n v="0.99936670000000005"/>
    <n v="0.99999994000000003"/>
    <n v="0.15479883999999999"/>
    <n v="1"/>
    <n v="1"/>
    <n v="0"/>
  </r>
  <r>
    <x v="693"/>
    <x v="6"/>
    <x v="1"/>
    <s v="EVQ-LVESGG-GLVQPGGSLRLSCAASGFTF---------SSYAMS-WVRQ-A-P-G-K--G-LE-WVSYISSS------------GYTSY--A--D--SV--K---GRFTISR-D---N-S--KN----T-LYLQMNSLRA-EDTAVYYCAKRGS----------------------------LGDLWG-QGTLVTVSS"/>
    <s v="DIQ-MTQSPSSLSASVGDRVTITCRASQSV-----------SSAVA-WYQQ-K-P-G-K--A-PK-LLIYSA----------------SSL--Y--S--GV--P---SRFSGSR-------S--GT----D-FTLTISSLQP-EDFATYYCQQYKY----------------------------VPVTFG-QGTKVEIK-"/>
    <s v="hv3"/>
    <s v="kv1"/>
    <n v="0.99373745999999996"/>
    <n v="0.99933510000000003"/>
    <n v="0.21237954000000001"/>
    <n v="1"/>
    <n v="1"/>
    <n v="0"/>
  </r>
  <r>
    <x v="694"/>
    <x v="6"/>
    <x v="1"/>
    <s v="EVQ-LVESGG-GLVQPGGSLRLSCAASGFTF---------SSYAMS-WVRQ-A-P-G-K--G-LE-WVSSISSS------------GSTYY--A--D--SV--K---GRFTISR-D---N-S--KN----T-LYLQM---RA-EDTAVYYCARVRS----------------------------SS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806"/>
    <n v="0.9999903"/>
    <n v="2.6768897E-4"/>
    <n v="1"/>
    <n v="1"/>
    <n v="0"/>
  </r>
  <r>
    <x v="695"/>
    <x v="6"/>
    <x v="1"/>
    <s v="EVQ-LVESGG-GLVQPGGSLRLSCAASGFNF---------SSSSIH-WVRQ-A-P-G-K--G-LE-WVASISSY-----------YGYTYY--A--D--SV--K---GRFTISA-D---T-S--KN----T-AYLQMNSLRA-EDTAVYYCARYSGVY-----------------------SYAWFDPWG-QGTLVTVSS"/>
    <s v="DIQ-MTQSPSSLSASVGDRVTITCRASQSV-----------SSAVA-WYQQ-K-P-G-K--A-PK-LLIYSA----------------SSL--Y--S--GV--P---SRFSGSR-------S--GT----D-FTLTISSLQP-EDFATYYCQQSYY---------------------------YLPFTFG-QGTKVEIK-"/>
    <s v="hv3"/>
    <s v="kv1"/>
    <n v="0.99999565000000001"/>
    <n v="0.99999970000000005"/>
    <n v="0.98982270000000006"/>
    <n v="1"/>
    <n v="1"/>
    <n v="1"/>
  </r>
  <r>
    <x v="696"/>
    <x v="6"/>
    <x v="1"/>
    <s v="QVQ-LVESGG-GVVQPGRSLRLSCAASGFTF---------SNFGMH-WVRQ-A-P-G-K--G-LE-WVAVIWYD-----------GSSKYY--A--D--SV--K---GRFTISR-D---N-S--KN----T-LYLQM---RA-EDTAVYYCARSG-----------------------------QYWYWG-QGTLVTVSS"/>
    <s v="DIQ-MTQSPSSLSASVGDRVTITCRASQSV-----------SSAVA-WYQQ-K-P-G-K--A-PK-LLIYSA----------------SSL--Y--S--GV--P---SRFSGSR-------S--GT----D-FTLTISSLQP-EDFATYYCQQYKY----------------------------VPHTFG-QGTKVEIK-"/>
    <s v="hv3"/>
    <s v="kv1"/>
    <n v="0.99998540000000002"/>
    <n v="0.99403319999999995"/>
    <n v="0.72651224999999997"/>
    <n v="1"/>
    <n v="1"/>
    <n v="1"/>
  </r>
  <r>
    <x v="697"/>
    <x v="6"/>
    <x v="1"/>
    <s v="EVQ-LVESGG-GLVQPGGSLRLSCAASGFNV---------SYSSIH-WVRQ-A-P-G-K--G-LE-WVASISSY-----------YGYTSY--A--D--SV--K---GRFTISA-D---T-S--KN----T-AYLQMNSLRA-EDTAVYYCARSYWYY-----------------------DYYAMDYWG-QGTLVTVSS"/>
    <s v="DIQ-MTQSPSSLSASVGDRVTITCRASQSV-----------SSAVA-WYQQ-K-P-G-K--A-PK-LLIYSA----------------SSL--Y--S--GV--P---SRFSGSR-------S--GT----D-FTLTISSLQP-EDFATYYCQQYNY----------------------------WPYTFG-QGTKVEIK-"/>
    <s v="hv3"/>
    <s v="kv1"/>
    <n v="0.99999945999999995"/>
    <n v="0.99981759999999997"/>
    <n v="0.99796474000000002"/>
    <n v="1"/>
    <n v="1"/>
    <n v="1"/>
  </r>
  <r>
    <x v="698"/>
    <x v="6"/>
    <x v="1"/>
    <s v="EVQ-LVESGG-GLVQPGGSLRLSCAASGFNV---------SYSSIH-WVRQ-A-P-G-K--G-LE-WVAYIYSS-----------YGYTSY--A--D--SV--K---GRFTISA-D---T-S--KN----T-AYLQMNSLRA-EDTAVYYCARSSQY-------------------------GYDYQHWG-QGTLVTVSS"/>
    <s v="DIQ-MTQSPSSLSASVGDRVTITCRASQSV-----------SSAVA-WYQQ-K-P-G-K--A-PK-LLIYSA----------------SSL--Y--S--GV--P---SRFSGSR-------S--GT----D-FTLTISSLQP-EDFATYYCQQYKY----------------------------VPWTFG-QGTKVEIK-"/>
    <s v="hv3"/>
    <s v="kv1"/>
    <n v="0.99999970000000005"/>
    <n v="0.99706477000000004"/>
    <n v="0.99951272999999996"/>
    <n v="1"/>
    <n v="1"/>
    <n v="1"/>
  </r>
  <r>
    <x v="699"/>
    <x v="6"/>
    <x v="1"/>
    <s v="-VQ-LQQSGA-ELVKPGASVKLSCTASGFNI---------KDYYMY-WVKQ-R-P-E-Q--G-LE-WIGRIDPA-----------NGDTKY--D--P--KF--Q---GKATITT-D---T-S--SN----T-AYLQLSSLTS-EDTAVYYCARYYFV--------------------------YAMDYWG-QGTSVTVSS"/>
    <s v="DIV-MTQSPATLSVSPGERATLSCRASQSV-----------SSNLA-WYQQ-K-P-G-Q--A-PR-LLIYGA----------------STR--A--T--GI--P---ARFSGSG-------S--GT----E-FTLTISSLQS-EDFAVYYCQQYNN----------------------------WPYTFG-QGTKVEIK-"/>
    <s v="hv1"/>
    <s v="kv3"/>
    <n v="3.1587324000000001E-4"/>
    <n v="0.99999994000000003"/>
    <n v="2.6852050000000002E-4"/>
    <n v="0"/>
    <n v="1"/>
    <n v="0"/>
  </r>
  <r>
    <x v="700"/>
    <x v="0"/>
    <x v="2"/>
    <s v="EVQ-LVESGG-GLVKPGGSLRLSCAASGFTF---------SSYAMS-WVRQ-A-P-G-K--G-LE-WVSSISSS------------SYIYY--A--D--SV--K---GRFTISR-D---N-A--KN----S-LYLQMNSLRA-EDTAVYYCARLYYR-------------------------GYGMDVWG-QGTTVTVSS"/>
    <s v="DIQ-MTQSPSSLSASVGDRVTITCRASQGIRND------LGAVYLN-WYQQ-K-P-G-K--A-PK-LLIYDA----------------SSL--E--S--GV--P---SRFSGSG-------S--GT----E-FTLTISSLQP-EDFATYYCQQSNS---------------------------CPPFTFG-PGTKVDIK-"/>
    <s v="hv3"/>
    <s v="kv1"/>
    <n v="0.99413395000000004"/>
    <n v="0.99988999999999995"/>
    <n v="7.5200910000000002E-4"/>
    <n v="1"/>
    <n v="1"/>
    <n v="0"/>
  </r>
  <r>
    <x v="701"/>
    <x v="0"/>
    <x v="2"/>
    <s v="EVQ-LQQSGA-ELVKPGASVKLSCTASGFNI---------KDTYVH-WVKQ-R-P-E-Q--G-LE-WIGRIDPA-----------NGYTKY--D--P--KF--Q---GKATITA-D---T-S--SN----T-AYLQLSSLTS-EDTAVYYCARSRGY--------------------------SGLDYWG-QGTSVTVSS"/>
    <s v="DIV-MSQSPSSLAVSVGEKVTMSCKSSQSLLYS-----SNQKNYLA-WYQQ-K-P-G-Q--S-PK-LLIYWA----------------STR--E--S--GV--P---DRFTGSG-------S--GT----D-FTLTISSVKA-EDLAVYYCQQYYS----------------------------YPYTFG-GGTKLEIK-"/>
    <s v="hv1"/>
    <s v="kv4"/>
    <n v="4.3790544000000001E-5"/>
    <n v="2.7419279999999999E-7"/>
    <n v="0.45455625999999999"/>
    <n v="0"/>
    <n v="0"/>
    <n v="0"/>
  </r>
  <r>
    <x v="702"/>
    <x v="0"/>
    <x v="2"/>
    <s v="EVQ-LVESGG-GLVQPGGSLRLSCAASGFNFS--------SSYWMS-WVRQ-A-P-G-K--G-LE-WVANIKQD-----------GSEKYY--V--D--SV--K---GRFTISR-D---N-A--KN----S-LFLQMNSLRP-EDTAVYYCATGQGW--------------------------LGFAYWG-QGTLVTVSS"/>
    <s v="DIQ-MTQSPSSLSASVGDRVTITCRASQSI-----------GSYLN-WYQQ-K-P-G-K--A-PK-LLIYAA----------------SNL--Q--S--GV--P---SRFSGSG-------S--GT----D-FTLTISSLQP-EDFATYYCQQYYS---------------------------TYPFTFG-QGTKVEIK-"/>
    <s v="hv3"/>
    <s v="kv1"/>
    <n v="0.99988290000000002"/>
    <n v="0.99999994000000003"/>
    <n v="0.99813485000000002"/>
    <n v="1"/>
    <n v="1"/>
    <n v="1"/>
  </r>
  <r>
    <x v="703"/>
    <x v="0"/>
    <x v="2"/>
    <s v="EVQ-LVESGG-GLVQPGGSLRLSCAASGFTF---------SSYAMS-WVRQ-A-P-G-K--G-LE-WVSAISSG------------GSTYY--A--D--SV--K---GRFTISR-D---N-A--KN----S-LYLQM---RA-EDTAVYYCAKDRY---------------------------YAMDYWG-QGTLVTVSS"/>
    <s v="DIQ-MTQSPSSLSASVGDRVTITCRASQSI-----------SSYLN-WYQQ-K-P-G-K--A-PK-LLIYDA----------------SNL--E--T--GV--P---SRFSGSG-------S--GT----D-FTFTISSLQP-EDIATYYCQQYDN----------------------------LPLTFG-GGTKVEIK-"/>
    <s v="hv3"/>
    <s v="kv1"/>
    <n v="0.99994930000000004"/>
    <n v="0.99999994000000003"/>
    <n v="0.99284640000000002"/>
    <n v="1"/>
    <n v="1"/>
    <n v="1"/>
  </r>
  <r>
    <x v="704"/>
    <x v="0"/>
    <x v="2"/>
    <s v="EVQ-LVESGG-GLVKPGGSLRLSCAASGFTF---------SDYGMS-WVRQ-A-P-G-K--G-LE-WVSTISSSS----------YYGAGY--A--D--SV--K---GRFTISR-D---D-F--N-------MFL---ELRP-EDTAVYYCARDRQ----------------------------HRRGWG--GTLVTVSS"/>
    <s v="EIV-LTQSPATLSLSPGERATLSCRASQSV-----------SSYLA-WYQQ-K-P-G-Q--A-PR-LLIYDA----------------SNR--A--T--GI--P---ARFSGSG-------S--GT----D-FTLTISSLEP-EDFAVYYCQQRSN----------------------------WPRTFG-QGTKVEIK-"/>
    <s v="hv3"/>
    <s v="kv3"/>
    <n v="0.999973"/>
    <n v="0.99999994000000003"/>
    <n v="0.19349200999999999"/>
    <n v="1"/>
    <n v="1"/>
    <n v="0"/>
  </r>
  <r>
    <x v="705"/>
    <x v="0"/>
    <x v="2"/>
    <s v="EVQ-LVESGG-GLVQPGGSLRLSCAASGFNFS--------ATSGIS-WVRQ-A-P-G-K--G-LE-WVSYISSG------------GSTYY--A--D--SV--K---GRFTISR-D---N-A--KN----S-LYLQMNSLRA-EDTAVYYCAREVY----------------------------GGDYWG-QGTLVTVSS"/>
    <s v="EIV-LTQSPGTLSLSPGERATLSCRASQSV-----------RSYLA-WYQQ-K-P-G-Q--A-PR-LLIYGA----------------SSR--A--T--GI--P---DRFSGSG-------S--GT----D-FTLTISRLEP-EDFAVYYCQQYGS----------------------------SPRTFG-QGTKVEIK-"/>
    <s v="hv3"/>
    <s v="kv3"/>
    <n v="0.99999959999999999"/>
    <n v="0.99999994000000003"/>
    <n v="0.99291499999999999"/>
    <n v="1"/>
    <n v="1"/>
    <n v="1"/>
  </r>
  <r>
    <x v="706"/>
    <x v="0"/>
    <x v="2"/>
    <s v="EVQ-LQQSGA-ELVKPGASVKLSCTASGFNI---------KDTYVH-WVKQ-R-P-E-Q--G-LE-WLGHIFNG------------DTIDY--A--Q--KF--Q---GRVTLTA-D---T-S--SS----T-AYMELSSLTS-EDTAVYYCARHG-----------------------------NVDYWG-QGTSVTVSS"/>
    <s v="DIV-LTQSPASLAVSLGQRATISCRASESVDS-------YGHSFMH-WYQQ-K-S-G-Q--P-PK-LLIYRA----------------SNL--E--S--GV--P---DRFSGSG-------S--GT----D-FTLNIHPVEE-DDTAVYFCQQSKE----------------------------VPYTFG-GGTKLEIK-"/>
    <s v="hv1"/>
    <s v="kv7"/>
    <n v="1.5780108E-5"/>
    <n v="1.3652803999999999E-6"/>
    <n v="0.10826291"/>
    <n v="0"/>
    <n v="0"/>
    <n v="0"/>
  </r>
  <r>
    <x v="707"/>
    <x v="0"/>
    <x v="2"/>
    <s v="EVQ-LVESGG-GLVQPGGSLRLSCAASGFTF---------SSYWMS-WVRQ-A-P-G-K--G-LE-WVANIKQD-----------GSEKYY--V--D--SV--K---GRFTISR-D---N-A--KN----S-LYLQM---RA-EDTAVYYCARDGQSDG----------------------YYYGMDVWG-QGTTVTVSS"/>
    <s v="DIQ-MTQSPSSLSASVGDRVTITCRASQGI-----------SSYLN-WYQQ-K-P-G-K--A-PK-LLIYAA----------------SSL--Q--S--GV--P---SRFSGSG-------S--GT----D-FTLTISSLQP-EDFATYYCQQYDY---------------------------SSLITFG-QGTKVEIK-"/>
    <s v="hv3"/>
    <s v="kv1"/>
    <n v="0.99774850000000004"/>
    <n v="0.99999910000000003"/>
    <n v="0.99328539999999998"/>
    <n v="1"/>
    <n v="1"/>
    <n v="1"/>
  </r>
  <r>
    <x v="708"/>
    <x v="0"/>
    <x v="2"/>
    <s v="QVQ-LVQSGG-GLVQPGGSLRLSCAASGYTF---------TDYSIH-WVRQ-A-P-G-K--G-LE-WVAYISSG------------GSYRY--A--D--SV--K---GRFTISR-D---N-S--KN----T-LYLQMNSLRA-EDTAVYYCARVYGYDYD-------------------YYYYYGMDVWG-QGTMVTVSS"/>
    <s v="EIV-LTQSPGTLSLSPGERATLSCRASQSVS----------SSYLA-WYQQ-K-P-G-Q--A-PR-LLIYGA----------------SSR--A--T--GI--P---DRFSGSG-------S--GT----D-FTLTISRLEP-EDFAVYYCQQYGS----------------------------SPLTFG-GGTKVEIK-"/>
    <s v="hv3"/>
    <s v="kv3"/>
    <n v="0.99999994000000003"/>
    <n v="0.99999994000000003"/>
    <n v="0.99965250000000005"/>
    <n v="1"/>
    <n v="1"/>
    <n v="1"/>
  </r>
  <r>
    <x v="709"/>
    <x v="0"/>
    <x v="2"/>
    <e v="#NAME?"/>
    <s v="DIQ-MTQSPSSLSASVGDRVTITCRASQSV-----------SSAVA-WYQQ-K-P-G-K--A-PK-LLIYSA----------------SSL--Y--S--GV--P---SRFSGSR-------S--GT----D-FTLTISSLQP-EDFATYYCQQYYS----------------------------LYWTFG-QGTKVEIK-"/>
    <s v="hv3"/>
    <s v="kv1"/>
    <n v="0.99999802999999998"/>
    <n v="0.99999123999999995"/>
    <n v="0.98922867000000003"/>
    <n v="1"/>
    <n v="1"/>
    <n v="1"/>
  </r>
  <r>
    <x v="710"/>
    <x v="0"/>
    <x v="2"/>
    <s v="QVQ-LVQSGA-EVKKPGASVKVSCKASGYTF---------TSYAIH-WVRQ-A-P-G-Q--G-LE-WMGWINKN-----------SGGTNF--A--Q--KF--Q---GRVTMTR-D---T-S--IS----T-AYMELSRLRS-DDTAVYYCARASYYG------------------------SSGYTANGFEGTLVTVSS"/>
    <s v="DIQ-MTQSPSSLSASVGDRVTITCRASQGI-----------SSYLN-WYQQ-K-P-G-K--A-PK-LLIYAA----------------SSL--Q--S--GV--P---SRFSGSG-------S--GT----D-FTLTISSLQP-EDFATYYCQQSYS---------------------------SFPFTFG-QGTKVEIK-"/>
    <s v="hv1"/>
    <s v="kv1"/>
    <n v="0.99999970000000005"/>
    <n v="0.99999994000000003"/>
    <n v="0.11981593"/>
    <n v="1"/>
    <n v="1"/>
    <n v="0"/>
  </r>
  <r>
    <x v="711"/>
    <x v="0"/>
    <x v="2"/>
    <s v="EVQ-LVESGG-GLVQPGGSLRLSCAASGFTF---------SSYSMN-WVRQ-A-P-G-K--G-LE-WVAYISSS-----------SGSTYY--A--D--SV--K---GRFTISR-D---N-S--KN----T-LYLQMNSLRA-EDTAVYYCARSPYGS-----------------------NFYWYDVWG-QGTTVTVSS"/>
    <s v="DIQ-MTQSPSSLSASVGDRVTITCRASQSV-----------SSAVA-WYQQ-K-P-G-K--A-PK-LLIYSA----------------SYR--Y--S--GV--P---SRFSGSG-------S--GT----D-FTLTISSLQP-EDFATYYCQQSYS---------------------------TPPYTFG-QGTKVEIK-"/>
    <s v="hv3"/>
    <s v="kv1"/>
    <n v="0.99675404999999995"/>
    <n v="0.99997499999999995"/>
    <n v="7.3883200000000003E-3"/>
    <n v="1"/>
    <n v="1"/>
    <n v="0"/>
  </r>
  <r>
    <x v="712"/>
    <x v="0"/>
    <x v="2"/>
    <s v="QVQ-LVQSGA-EVKKPGASVKVSCKASGYTF---------TSYAIH-WVRQ-A-P-G-Q--R-LE-WMGWIKN-------------GGTNY--A--Q--KF--Q---GRVTMTR-D---T-S--IS----T-AYMEL---RS-EDTAVYYCARV-------------------------------KDYWG-QGTLVTVSS"/>
    <s v="NIV-LTQSPGTLSLSPGERATLSCRASQSVS----------SSYLA-WYQQ-K-P-G-Q--A-PR-LLIYGA----------------SSR--A--T--GI--P---DRFSGSG-------S--GT----D-FTLTISRLEP-EDFAVYYCQQYGS----------------------------SPWTFG-QGTKVEIK-"/>
    <s v="hv1"/>
    <s v="kv3"/>
    <n v="0.99999839999999995"/>
    <n v="0.99999994000000003"/>
    <n v="0.93571572999999997"/>
    <n v="1"/>
    <n v="1"/>
    <n v="1"/>
  </r>
  <r>
    <x v="713"/>
    <x v="0"/>
    <x v="2"/>
    <s v="EVQ-LQQSGP-ELVKPGASMKISCKASGYSF---------TGYTMN-WVKQ-S-H-G-K--S-LE-WIGYIFYP-----------NNKTGY--N--Q--KF--K---GKATLTV-D---K-S--SS----T-AYMQLSSLTS-EDSAVYYCARYGY---------------------------SISDVWG-AGTTVTVSS"/>
    <s v="DIV-LTQSPAIMSASPGEKVTMTCSASSSV------------SYMH-WYQQ-K-S-G-T--S-PK-RWIYDT----------------SKL--A--S--GV--P---VRFSGSG-------S--GT----S-YSLTISRMEA-EDAATYYCQQWSS----------------------------NPPTFG-GGTKLEIK-"/>
    <s v="hv1"/>
    <s v="lv3"/>
    <n v="3.5454596000000001E-3"/>
    <n v="4.1035186E-10"/>
    <n v="1.7560484000000001E-12"/>
    <n v="0"/>
    <n v="0"/>
    <n v="0"/>
  </r>
  <r>
    <x v="714"/>
    <x v="0"/>
    <x v="2"/>
    <s v="TGQ-LVQSGG--GVQPGRSLRLSCAASGFTF----------SAAIH-WVRQ-A-P-G-K--G-LE-WVAVISYDG----------SNKTYY--A--D--SV--K---GRFTISR-D---N-S--KN----T-LYLQMNSLRP-EDTAVYYCARDGST-------------------------TGYFDYWG-QGTLVTVSA"/>
    <s v="DIQ-MTQSPSSLSASVGDRVTITCQASQDI-----------RKYLA-WYQQ-K-P-G-K--A-PK-LLIYDA----------------SNL--Q--S--GV--P---SRFSGSG-------S--GT----D-FTLTISSLQP-EDVATYYCQQYK-----------------------------TPPTFG-QGTKVEIK-"/>
    <s v="hv3"/>
    <s v="kv1"/>
    <n v="0.99999886999999998"/>
    <n v="0.99980950000000002"/>
    <n v="0.99727284999999999"/>
    <n v="1"/>
    <n v="1"/>
    <n v="1"/>
  </r>
  <r>
    <x v="715"/>
    <x v="0"/>
    <x v="2"/>
    <s v="EVQ-LVESGG-GLVQPGGSLRLSCAASGFNF---------SSSSIH-WVRQ-A-P-G-K--G-LE-WVASISSS-----------SGSTSY--A--D--SV--K---GRFTISA-D---T-S--KN----T-AYLQMNSLRA-EDTAVYYCARWRY---------------------------GAMDYWG-QGTLVTVSS"/>
    <s v="DIQ-MTQSPSSLSASVGDRVTITCRASQSV-----------SSAVA-WYQQ-K-P-G-K--A-PK-LLIYSA----------------SSL--Y--S--GV--P---SRFSGSR-------S--GT----D-FTLTISSLQP-EDFATYYCQQSST----------------------------FPYTFG-QGTKVEIK-"/>
    <s v="hv3"/>
    <s v="kv1"/>
    <n v="0.99999919999999998"/>
    <n v="0.99999886999999998"/>
    <n v="0.98622480000000001"/>
    <n v="1"/>
    <n v="1"/>
    <n v="1"/>
  </r>
  <r>
    <x v="716"/>
    <x v="0"/>
    <x v="2"/>
    <s v="EVQ-LVESGA-EVKKPGSSVKVSCKASGGTF---------SSYAIS-WVRQ-A-P-G-Q--G-LE-WMGGIIIF------------GTANY--A--Q--KF--Q---GRVTITA-D---E-S--TS----T-AYMELSSLRS-EDTAVYYCAREWA---------------------------GYYDVWG-KGTTVTVSS"/>
    <s v="EIV-LTQSPGTLSLSPGERATLSCRASQSV-----------STYLA-WYQQ-K-P-G-Q--A-PR-LLIYGA----------------SSR--A--T--GI--P---DRFSGSG-------S--GT----D-FTLTISRLEP-EDFAVYYCQQYGS----------------------------SPWTFG-QGTKVEIK-"/>
    <s v="hv1"/>
    <s v="kv3"/>
    <n v="0.99998944999999995"/>
    <n v="0.99999994000000003"/>
    <n v="1.8348944999999998E-2"/>
    <n v="1"/>
    <n v="1"/>
    <n v="0"/>
  </r>
  <r>
    <x v="717"/>
    <x v="0"/>
    <x v="2"/>
    <s v="EVQ-LVESGG-GLVKPGGSLRLSCAASGFTF---------SSYSMN-WVRQ-A-P-G-K--G-LE-WVSAISGS-----------GGSTYY--A--D--SV--K---GRFTISR-D---N-A--KN----S-LYLQMNSLRA-EDTAVYYCARQGKG-------------------------YSGLDYWG-QGTLVTVSS"/>
    <s v="DIQ-MTQSPSSLSASVGDRVTITCRASQSI-----------SSYLN-WYQQ-K-P-G-K--A-PK-LLIYAA----------------SSL--Q--S--GV--P---SRFSGSG-------S--GT----D-FTLTISSLQP-EDFATYYCQQSYS----------------------------TPWTFG-QGTKVEIK-"/>
    <s v="hv3"/>
    <s v="kv1"/>
    <n v="0.99925030000000004"/>
    <n v="0.99999994000000003"/>
    <n v="0.99999623999999998"/>
    <n v="1"/>
    <n v="1"/>
    <n v="1"/>
  </r>
  <r>
    <x v="718"/>
    <x v="0"/>
    <x v="2"/>
    <s v="EVQ-LVESGA-EVKKPGSSVKVSCKASGGTF---------SSYAIS-WVRQ-A-P-G-Q--G-LE-WMGGIIIF------------GTANY--A--Q--KF--Q---GRVTITA-D---E-S--TS----T-AYMEL---RS-EDTAVYYCAR---------------------------------SYWG-QGVLVAV--"/>
    <s v="DIQ-MTQSPSSLSASVGDRVTITCRASQGI-----------SSYLN-WYQQ-K-P-G-K--A-PK-LLIYAA----------------SSL--Q--S--GV--P---SRFSGSG-------S--GT----D-FTLTISSLQP-EDFATYFCQQSYS----------------------------TPRTFG-QGTKVEIK-"/>
    <s v="hv1"/>
    <s v="kv1"/>
    <n v="1.6717977000000001E-4"/>
    <n v="0.99999994000000003"/>
    <n v="3.4744579999999999E-4"/>
    <n v="0"/>
    <n v="1"/>
    <n v="0"/>
  </r>
  <r>
    <x v="719"/>
    <x v="0"/>
    <x v="2"/>
    <s v="EVQ-LVESGG-GLVQPGGSLRLSCAASGFIF---------SSYDMH-WVRQ-T-T-G-P--G-LE-WVASISSS------------GDTYY--A--D--SV--K---GRFTISA-D---T-S--KN----T-AYLQM---RA-EDTAVYYCARGVR---------------------------YGSDYWG-QGTLVTVSS"/>
    <s v="DIQ-MTQSPSSLSASVGDRVTITCRASQSI-----------SSYLN-WYQQ-K-P-G-K--A-PK-LLIYAA----------------SSL--Q--S--GV--P---SRFSGSG-------S--GT----D-FTLTISSLQP-EDFATYYCQQSYS----------------------------TPWTFG-QGTKVEIK-"/>
    <s v="hv3"/>
    <s v="kv1"/>
    <n v="0.99998849999999995"/>
    <n v="0.99999994000000003"/>
    <n v="1.4022798E-3"/>
    <n v="1"/>
    <n v="1"/>
    <n v="0"/>
  </r>
  <r>
    <x v="720"/>
    <x v="0"/>
    <x v="2"/>
    <s v="EVQ-LVESGG-GLVQPGGSLRLSCAASGFNF---------SSSSIH-WVRQ-A-P-G-K--G-LE-WVASISSS-----------SGSTSY--A--D--SV--K---GRFTISA-D---T-S--KN----T-AYLQMNSLRA-EDTAVYYCARSYWYG------------------------YWM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899999999997"/>
    <n v="0.9999903"/>
    <n v="0.88209839999999995"/>
    <n v="1"/>
    <n v="1"/>
    <n v="1"/>
  </r>
  <r>
    <x v="721"/>
    <x v="0"/>
    <x v="2"/>
    <s v="QVQ-LVESGG-GLVKPGGSLRLSCAASGFTF---------RNYAIT-WVRQ-A-P-G-K--G-LE-WVSAISSS------------GSTYY--A--D--SV--K---GRFTISR-D---N-A--KN----T-LYLQMNSLRA-EDTAVYYCARSGGT-------------------------VIATDYWG-QGTLVTVSS"/>
    <s v="DIE-LTQTPSSVSAAVGGTVTINCQASEDI-----------YSN-L-WYQQ-K-P-G-Q--P-PK-LLIYAA----------------SNL--E--T--GV--P---SRFSGSG-------S--GT----E-FTLTISSLQP-EDFATYYCQQYNN----------------------------LPWTFG-QGTKVEIK-"/>
    <s v="hv3"/>
    <s v="kv1"/>
    <n v="0.99999994000000003"/>
    <n v="0.87485159999999995"/>
    <n v="1.928361E-3"/>
    <n v="1"/>
    <n v="1"/>
    <n v="0"/>
  </r>
  <r>
    <x v="722"/>
    <x v="0"/>
    <x v="2"/>
    <s v="EVQ-LVESGG-RLVKPGGSLKLSCAASGFTF---------SGYGMS-WVRQ-T-P-D-K--R-LE-LVAGENNY-----------IGGTTY--N--P--SL--K---DRLSISK-D---K-A--TF----T-ADTKQFSLQW-DDDTYYYMNL----------------------------------YWG-AGTTVTVSS"/>
    <s v="QSV-LTQPPS-ASGTPGQRVTISCSGSSSNI----------GSNVY-WYQQ-F-P-G-T--A-PK-LLIYDN----------------NQR--P--S--GV--P---DRFSGSK-------S--GT----S-ASLAISGLQS-EDEADYYCAA---------------------------------WD------------"/>
    <s v="hv3"/>
    <s v="lv1"/>
    <n v="6.0432023999999999E-9"/>
    <n v="0.99999979999999999"/>
    <n v="5.6316177000000004E-16"/>
    <n v="0"/>
    <n v="1"/>
    <n v="0"/>
  </r>
  <r>
    <x v="723"/>
    <x v="0"/>
    <x v="2"/>
    <s v="EVQ-LQQSGA-ELVKPGASVKLSCTASGFNI---------KDTYMY-WVKQ-R-P-E-Q--G-LE-WIGRIDPA-----------NGNTKY--D--P--KF--Q---GKATITA-D---T-S--SN----T-AYLQLSSLTS-EDTAVYYCARSRGY--------------------------GYFDYWG-QGTTLTVSS"/>
    <s v="DIV-LTQSPASLAVSLGQRATISCRASKSVSAS------NQKNYLA-WYQQ-K-P-G-Q--P-PK-LLIYAA----------------SNL--E--S--GI--P---ARFSGSG-------S--GT----D-FTLNIHPVEE-EDTATYYCQQSYS----------------------------FPFTFG-SGTKLEIK-"/>
    <s v="hv1"/>
    <s v="kv4"/>
    <n v="1.1237606E-5"/>
    <n v="4.963907E-4"/>
    <n v="9.9952559999999992E-3"/>
    <n v="0"/>
    <n v="0"/>
    <n v="0"/>
  </r>
  <r>
    <x v="724"/>
    <x v="0"/>
    <x v="2"/>
    <s v="QVQ-LQQSGA-ELVRPGASVKLSCKASGYTF----------TTYFH-WVKQ-R-P-E-Q--G-LE-WIGWIDPY-----------NGGTTY--R--D--D---K---GRFTISR-D---N-Q--SI----L-TELQMSSLKA-SDTAMYYCARSPGRY-----------------------DLAWFAYWG-QGTLVTVSS"/>
    <s v="DIL-MTQSPSSMSVSLGDTVSITCHASQGI-----------SSNIG-WLQQ-K-P-G-K--S-FM-GL-YIA----------------TNL--Q--T--GV--P---SRFSGSG-------S--GA----D-YSLTISSLES-EDFADYYCLQYD------------------------------YRTFG-GGTKLTVL-"/>
    <s v="hv1"/>
    <s v="lv3"/>
    <n v="1.9191891E-6"/>
    <n v="4.4307432999999999E-7"/>
    <n v="1.4043331E-9"/>
    <n v="0"/>
    <n v="0"/>
    <n v="0"/>
  </r>
  <r>
    <x v="725"/>
    <x v="0"/>
    <x v="2"/>
    <s v="EVQ-LQQSGP-ELVKPGASVKMSCKASGYTF---------TSYWMH-WVKQ-S-H-G-K--S-LE-WIGYINPN-----------SGGTNY--N--Q--KF--K---DKATLTV-D---K-S--SS----T-AYMQL---TS-EDSAVYYCARERYYGY---------------------FNNYAMDYWG-QGTSVTVSS"/>
    <s v="DIV-LTQSPASLAVSLGQRATISCRASESVDN-------TYGSSMN-WFQQ-K-P-G-Q--P-PK-LLIYLA----------------SNL--E--S--GV--P---ARFSGSG-------S--RT----D-FTLTIDPVEA-DDAATYYCQQNNE----------------------------DPWAFG-GGTKLEIK-"/>
    <s v="hv1"/>
    <s v="kv4"/>
    <n v="3.5027830000000003E-2"/>
    <n v="2.3356947000000002E-6"/>
    <n v="1.1341599000000001E-6"/>
    <n v="0"/>
    <n v="0"/>
    <n v="0"/>
  </r>
  <r>
    <x v="726"/>
    <x v="0"/>
    <x v="2"/>
    <s v="QVQ-LVQSGA-EVKKPGSSVKVSCKASGGTF---------SSYAIS-WVRQ-A-P-G-Q--G-LE-WMGGIIIF------------GTANY--A--Q--KF--Q---GRVTITA-D---E-S--TS----T-AYMEL---RS-EDTAVYYCARRGL----------------------------DVDIWG-QGTMVTVSS"/>
    <s v="DIQ-MTQSPSSLSASVGDRVTITCRASQSI-----------SSYLN-WYQQ-K-P-G-K--A-PK-LLIYAA----------------SSL--Q--S--GV--P---SRFSGSG-------S--GT----D-FTLTISSLQP-EDFATYYCQQSYS----------------------------TPRTFG-QGTKVEIK-"/>
    <s v="hv1"/>
    <s v="kv1"/>
    <n v="0.99999994000000003"/>
    <n v="0.99999994000000003"/>
    <n v="2.5867720000000002E-3"/>
    <n v="1"/>
    <n v="1"/>
    <n v="0"/>
  </r>
  <r>
    <x v="727"/>
    <x v="0"/>
    <x v="2"/>
    <s v="EVQ-LVESGG-GLVQPGGSLRLSCAASGFTF---------SSYWMS-WVRQ-A-P-G-K--G-LE-WVAYISSG-----------GGRFYY--P--D--TV--K---GRFTISR-D---N-A--KN----S-LYLQM---KT-EDTAVYYCARPQDY-------------------------GNYFDYWG-QGTLVTVSS"/>
    <s v="DIV-MTQSPLSLPVTPGEPASISCRSSQSLLHS------NGYNYLD-WYLQ-K-P-G-Q--S-PQ-LLIYLG----------------SNR--A--S--GV--P---DRFSGSG-------S--GT----D-FTLKISRVEA-EDVGVYYCMQALQ----------------------------TPFTFG-PGTKVDIK-"/>
    <s v="hv3"/>
    <s v="kv2"/>
    <n v="0.99965155000000006"/>
    <n v="0.99999994000000003"/>
    <n v="7.779027E-3"/>
    <n v="1"/>
    <n v="1"/>
    <n v="0"/>
  </r>
  <r>
    <x v="728"/>
    <x v="0"/>
    <x v="2"/>
    <s v="EVQ-LVESGG-GLVQPGGSLRLSCAASGFTF---------SNYGMN-WVRQ-A-P-G-K--G-LE-WVASISSS-----------SGSTSY--A--D--SV--K---GRFTISA-D---T-S--KN----T-AYLQMNSLRA-EDTAVYYCARYISSYS----------------------YWSYYDYWG-QGTLVTVSS"/>
    <s v="DIQ-MTQSPSSLSASVGDRVTITCRASQSV-----------SSAVA-WYQQ-K-P-G-K--A-PK-LLIYSA----------------SSL--Y--S--GV--P---SRFSGSR-------S--GT----D-FTLTISSLQP-EDFATYYCQQYSS----------------------------TPITFG-QGTKVEIK-"/>
    <s v="hv3"/>
    <s v="kv1"/>
    <n v="0.99998765999999994"/>
    <n v="0.99964759999999997"/>
    <n v="0.91349195999999999"/>
    <n v="1"/>
    <n v="1"/>
    <n v="1"/>
  </r>
  <r>
    <x v="729"/>
    <x v="0"/>
    <x v="2"/>
    <s v="EVQ-LVESGG-GLVQPGGSLRLSCAASGFNFS--------DSYMIH-WVRQ-A-P-G-K--G-LE-WVASISSS-----------SGSTSY--A--D--SV--K---GRFTISA-D---T-S--KN----T-AYLQMNSLRA-EDTAVYYCARHGKYD------------------------WYAFDYWG-QGTLVTVSS"/>
    <s v="DIQ-MTQSPSSLSASVGDRVTITCRASQSV-----------SSAVA-WYQQ-K-P-G-K--A-PK-LLIYSA----------------SSL--Y--S--GV--P---SRFSGSR-------S--GT----D-FTLTISSLQP-EDFATYYCQQYLY---------------------------YNLITFG-QGTKVEIK-"/>
    <s v="hv3"/>
    <s v="kv1"/>
    <n v="0.99999479999999996"/>
    <n v="0.99999899999999997"/>
    <n v="0.97917145000000005"/>
    <n v="1"/>
    <n v="1"/>
    <n v="1"/>
  </r>
  <r>
    <x v="730"/>
    <x v="0"/>
    <x v="2"/>
    <s v="QVQ-LQQSGA-ELVKPGSSVKMSCKASGYSF----------TSY---WVKQ-S-L-E-Q--V-ME-LNMASRTY-----------PGDKYN--E--K--KF--K---GKATLTA-D---K-S--SS----T-AYMELRSLTS-EDSAIYYCTRGGKY--------------------------GYFDYWG-QGTTLTVSS"/>
    <s v="DIQ-MTQSPLSLSTSVGEKVTMSCKSSQNQ-----------KNYLS-WYQQ-K-P-G-Q--P-PK-LLIYWA----------------STR--H--P--GI--P---DRFSGSG-------Y--GT----D-FTLTISSLQA-EDVAVYYCQQYYS----------------------------TPYTFG-GGTKLEIK-"/>
    <s v="hv1"/>
    <s v="kv4"/>
    <n v="9.3015799999999996E-2"/>
    <n v="4.8356457000000002E-3"/>
    <n v="3.5116887000000001E-20"/>
    <n v="0"/>
    <n v="0"/>
    <n v="0"/>
  </r>
  <r>
    <x v="731"/>
    <x v="0"/>
    <x v="2"/>
    <s v="EVQ-LVESGG-GLVQPGGSLRLSCAASGFNV---------SYSSIH-WVRQ-A-P-G-K--G-LE-WVASIYSY-----------YGYTSY--A--D--SV--K---GRFTISA-D---T-S--KN----T-AYLQMNSLRA-EDTAVYYCARSDYGLY----------------------SGYYYDYWG-QGTLVTVSS"/>
    <s v="DIQ-MTQSPSSLSASVGDRVTITCRASQSV-----------SSAVA-WYQQ-K-P-G-K--A-PK-LLIYSA----------------SSL--Y--S--GV--P---SRFSGSR-------S--GT----D-FTLTISSLQP-EDFATYYCQQHGY---------------------------SPPITFG-QGTKVEIK-"/>
    <s v="hv3"/>
    <s v="kv1"/>
    <n v="0.99999959999999999"/>
    <n v="0.99590135000000002"/>
    <n v="0.99372565999999996"/>
    <n v="1"/>
    <n v="1"/>
    <n v="1"/>
  </r>
  <r>
    <x v="732"/>
    <x v="0"/>
    <x v="2"/>
    <s v="EVQ-LVESGG-GLVKPGGSLRLSCAASGFTF---------SNYAMS-WVRQ-A-P-G-K--G-LE-WVSAISGS-----------GGSTYY--A--D--SV--K---GRFTISR-D---N-A--KN----S-LYLQMNSLRA-EDTAIYYCARGSSR--------------------------VTFDYWG-QGTLVTVSS"/>
    <s v="DIQ-MTQSPSSLSASVGDRVTITCRASQSI-----------SSYLN-WYQQ-K-P-G-K--A-PK-LLIYAA----------------SSL--Q--S--GV--P---SRFRGSG-------S--GT----D-FTLTISSLQP-EDFATYYCQQSYS----------------------------TPYTFG-QGTKVEIK-"/>
    <s v="hv3"/>
    <s v="kv1"/>
    <n v="0.99998719999999996"/>
    <n v="0.99999994000000003"/>
    <n v="1.2127844E-2"/>
    <n v="1"/>
    <n v="1"/>
    <n v="0"/>
  </r>
  <r>
    <x v="733"/>
    <x v="0"/>
    <x v="2"/>
    <s v="QVQ-LQQSGA-ELARPGASVKLSCKASGYTF---------SDYWMH-WVKQ-R-P-G-Q--G-LE-WIGYINPY-----------NGGTSY--N--Q--KF--K---GKATLTA-D---K-S--SS----T-AYMQLSSLTS-EDSAVYYCARRSPAPEYF-----------------GHYYVNAMDYWG-QGTSVTVSS"/>
    <s v="DIQ-MTQSPSSLSASLGDRVTISCRASQDI-----------SNFLA-WYQQ-K-P-D-G--T-VK-LLIYYT----------------SRL--H--S--GV--P---SRFSGSG-------S--GT----G-FTLTISSLQP-EDFATYYCQQSYS----------------------------SPPTFG-QGTKVEIK-"/>
    <s v="hv1"/>
    <s v="kv1"/>
    <n v="0.14409532999999999"/>
    <n v="0.90573543000000001"/>
    <n v="0.96642435000000004"/>
    <n v="0"/>
    <n v="1"/>
    <n v="1"/>
  </r>
  <r>
    <x v="734"/>
    <x v="0"/>
    <x v="2"/>
    <s v="EVQ-LVESGG-GLVQPGGSLRLSCAASGFNI---------SSSSIH-WVRQ-A-P-G-K--G-LE-WVASISSS-----------SGSTSY--A--D--SV--K---GRFTISA-D---T-S--KN----T-AYLQMNSLRA-EDTAVYYCARAQGYSF----------------------WYSGLDYWG-QGTLVTVSS"/>
    <s v="DIQ-MTQSPSSLSASVGDRVTITCRASQSV-----------SSAVA-WYQQ-K-P-G-K--A-PK-LLIYSA----------------SSL--Y--S--GV--P---SRFSGSR-------S--GT----D-FTLTISSLQP-EDFATYYCQQYN-----------------------------YRPGFG-QGTKVEIK-"/>
    <s v="hv3"/>
    <s v="kv1"/>
    <n v="0.99999979999999999"/>
    <n v="0.99997429999999998"/>
    <n v="0.90633047"/>
    <n v="1"/>
    <n v="1"/>
    <n v="1"/>
  </r>
  <r>
    <x v="735"/>
    <x v="0"/>
    <x v="2"/>
    <s v="QVQ-LQQSGP-ELVKPGASVKMSCKASGYTF---------TSYWMH-WVKQ-R-P-G-Q--G-LE-WIGYINPS------------SNTGY--N--E--VF--K---GRVTMTR-D---T-S--IN----T-AYMQL---TS-EDSAVYYCARQKI----------------------------YYDYWG-QGTLVTVSS"/>
    <s v="DIV-MSQSPSSLPA-AGVTLRLSCRASENI-----------YKYLA-WYQQ-K-P-G-Q--S-PK-LLIYWA----------------STR--H--P--GV--P---DRFTGSG-------S--GT----D-FTLTISSVQA-EDLAVYYCQHKYT---------------------------YSPPTFG-AGTKLEIK-"/>
    <s v="hv1"/>
    <s v="kv4"/>
    <n v="6.7476064000000002E-2"/>
    <n v="4.9190514000000004E-4"/>
    <n v="2.0528257E-7"/>
    <n v="0"/>
    <n v="0"/>
    <n v="0"/>
  </r>
  <r>
    <x v="736"/>
    <x v="0"/>
    <x v="2"/>
    <s v="QVQ-LVQSGA-EVKKPGASVKVSCKASGYTF---------TSYGIS-WVRQ-A-P-G-Q--G-LE-WMGWISAY-----------NGNTNY--A--Q--KL--Q---GRVTMTT-D---T-S--TS----T-AYMELRSLRS-DDTAVYYCARDYDYSY----------------------YRYGMDVWG-QGTVVTVSS"/>
    <s v="EIV-MTQSPATLSVSPGERATLSCRASQSV-----------SSYLA-WYQQ-K-P-G-Q--A-PR-LLIYGA----------------STR--A--T--GI--P---ARFSGSG-------S--GT----E-FTLTISSLQS-EDFAVYYCQQYNN---------------------------WPPWTFG-QGTKVEIK-"/>
    <s v="hv1"/>
    <s v="kv3"/>
    <n v="0.96484053000000003"/>
    <n v="0.99999994000000003"/>
    <n v="0.99999994000000003"/>
    <n v="1"/>
    <n v="1"/>
    <n v="1"/>
  </r>
  <r>
    <x v="737"/>
    <x v="0"/>
    <x v="2"/>
    <e v="#NAME?"/>
    <s v="DIV-MTQSPATLSVTPGDSVSLSCRASQSI------------SNLA-WYQQ-K-S-H-E--S-PR-LLIKYA----------------SQS--I--S--GI--P---SRFSGSG-------S--GT----D-FTLSINSVET-EDFGMYFCQQSNS----------------------------WPYTFG-GGTKLEIK-"/>
    <s v="hv4"/>
    <s v="kv3"/>
    <n v="4.5714870000000003E-5"/>
    <n v="3.0663355E-7"/>
    <n v="0.82098289999999996"/>
    <n v="0"/>
    <n v="0"/>
    <n v="1"/>
  </r>
  <r>
    <x v="738"/>
    <x v="0"/>
    <x v="2"/>
    <s v="QVQ-LQQSGA-ELARPGASVILSCKASGYTF---------TSYWIE-WVKQ-R-P-G-Q--G-LE-WIGAIYPG-----------DGHTKY--N--E--KF--K---GKATLTA-D---K-S--SS----T-AYMQLSSLTS-EDSAVYYCARIYYGR-----------------------YDSSYFYWG-QGTSVTVSS"/>
    <s v="SYV-LTQPPS-VSAAPGQRVTISCRSSGSNI---------GSNYVY-WYQQ-F-P-G-Q--A-PK-LLIYDN----------------NNR--P--S--GV--P---DRFSGSK-------S--GT----S-ASLAITGLQA-EDEADYYCQSFDS---------------------------SLSWVFG-GGTKLTVL-"/>
    <s v="hv1"/>
    <s v="lv1"/>
    <n v="2.3879842000000002E-3"/>
    <n v="0.99999959999999999"/>
    <n v="9.6688605999999996E-2"/>
    <n v="0"/>
    <n v="1"/>
    <n v="0"/>
  </r>
  <r>
    <x v="739"/>
    <x v="0"/>
    <x v="2"/>
    <s v="EVQ-LVESGG-GLVQPGGSLRLSCAASGFTF---------SSYWMS-WVRQ-A-P-G-K--G-LE-WVSTINRSG----------GTSKHY--A--D--SV--K---GRFTISR-D---N-A--KN----T-LYLQMNSLRA-EDTAIYYCARFGRW-------------------------LYGFAYWG-QGTLVTVSS"/>
    <s v="DVV-MTQSPL--SLTPGEPASVSCRSSQSLVS--------HYNAVF-WYQQ-K-P-G-Q--S-PK-LLIYLA----------------SNL--E--S--GV--P---SRFSGSG-------S--GT----D-FTLSISRVEA-EDVGVYYCQQGQS----------------------------FPFTFG-PGTKVDIK-"/>
    <s v="hv3"/>
    <s v="kv2"/>
    <n v="0.99976799999999999"/>
    <n v="1.1023135999999999E-3"/>
    <n v="0.22777977999999999"/>
    <n v="1"/>
    <n v="0"/>
    <n v="0"/>
  </r>
  <r>
    <x v="740"/>
    <x v="0"/>
    <x v="2"/>
    <s v="QVQ-LVQSGA-EVKKPGASVKVSCKASGYTF---------TSYGIS-WVRQ-A-P-G-Q--G-LE-WMGWISAY-----------NGNTNY--A--Q--KL--Q---GRVTMTT-D---T-S--TS----T-AYMELRSLRS-DDTAVYYCARGGVY--------------------------FYFDYWG-QGTTVTVSS"/>
    <s v="DIV-MTQSPSSLAVSLGERATINCKSSQSVLYS------SRSSYMH-WYQQ-K-P-G-Q--P-PK-LLIYWA----------------STR--E--S--GV--P---DRFSGSG-------S--GT----D-FTLTISSLQA-EDVAVYYCQQYYS----------------------------TPYTFG-QGTKLEIK-"/>
    <s v="hv1"/>
    <s v="kv4"/>
    <n v="0.96768445000000003"/>
    <n v="0.99999994000000003"/>
    <n v="1.1759821E-5"/>
    <n v="1"/>
    <n v="1"/>
    <n v="0"/>
  </r>
  <r>
    <x v="741"/>
    <x v="0"/>
    <x v="2"/>
    <s v="EVQ-LQQSGP-ELVKPGASMKISCKASGYSF---------TGYTMN-WVKQ-S-H-G-K--N-LE-WIGLINPN-----------NGGTTY--N--Q--KF--K---GKATLTV-D---K-S--SS----T-AYMELLSLTS-EDSAVYYCARSYYD-------------------------YGYFDYWG-QGTTLTVSS"/>
    <s v="DIV-MSQSPSSLAVSLGERATLSCRASQSVS----------SSYLA-WYQQ-K-P-G-Q--S-PK-LLIYWA----------------STR--E--S--GV--P---DRFSGSG-------S--GT----D-FTLTISSVQA-EDLAVYYCQQYYS----------------------------YPLTFG-GGTKLEIK-"/>
    <s v="hv1"/>
    <s v="kv4"/>
    <n v="3.4286110000000002E-2"/>
    <n v="0.14251444999999999"/>
    <n v="4.7317460000000001E-8"/>
    <n v="0"/>
    <n v="0"/>
    <n v="0"/>
  </r>
  <r>
    <x v="742"/>
    <x v="0"/>
    <x v="2"/>
    <s v="EVQ-LQQSGA-ELVKPGASVKLSCTASGFNI---------KDTYVH-WVKQ-R-P-E-Q--G-LE-WIGRIDPA-----------NGYTKY--D--P--KF--Q---GKATITA-D---T-S--SN----T-AYLQLSSLTS-EDTAVYYCARSLGN-------------------------YYGYDYWG-QGTSVTVSS"/>
    <s v="DIL-MTQSPSSMSVSLGDTVSITCHASQGI-----------SSNIG-WLQQ-K-P-G-K--S-FM-GLIYYG----------------TNL--V--D--GV--P---SRFSGSG-------S--GA----D-YSLTISSLDS-EDFADYYCVQYAQ----------------------------LPYTFG-GGTKLEIK-"/>
    <s v="hv1"/>
    <s v="lv5"/>
    <n v="3.3988592E-5"/>
    <n v="1.5476132000000001E-8"/>
    <n v="0.29643659999999999"/>
    <n v="0"/>
    <n v="0"/>
    <n v="0"/>
  </r>
  <r>
    <x v="743"/>
    <x v="0"/>
    <x v="2"/>
    <s v="EVQ-LVESGG-GLVQPGGSLRLSCAASGFTF---------SSYAMS-WVRQ-A-P-G-K--G-LE-WVSAISPD------------SDTYY--A--D--SV--K---GRFTISR-D---N-S--KN----T-LYLQMNSLRA-EDTAVYYCARLGV----------------------------VGVNWG-QGTLVTVSS"/>
    <s v="DIQ-MTQSPSSLSASVGDRVTITCRASQSI-----------SNWLA-WYQQ-K-P-G-K--A-PK-LLIYAA----------------SNL--E--T--GV--P---SRFSGSG-------S--GT----D-FTLTISSLQP-EDFATYYCQQYSS----------------------------APWTFG-QGTKVEIK-"/>
    <s v="hv3"/>
    <s v="kv1"/>
    <n v="0.99773436999999998"/>
    <n v="0.98747814"/>
    <n v="0.99997789999999998"/>
    <n v="1"/>
    <n v="1"/>
    <n v="1"/>
  </r>
  <r>
    <x v="744"/>
    <x v="0"/>
    <x v="2"/>
    <e v="#NAME?"/>
    <s v="DIV-LTQSPATLSVSPGERATLSCRASQSV-----------RSYLA-WYQQ-K-P-G-Q--A-PR-LLIYGA----------------STR--A--T--GI--P---ARFSGSG-------S--GT----E-FTLTISSLQS-EDFAVYYCQQYNN---------------------------WPPRTFG-GGTKVEIK-"/>
    <s v="hv3"/>
    <s v="kv3"/>
    <n v="0.99999720000000003"/>
    <n v="0.99999994000000003"/>
    <n v="1.3619523999999999E-2"/>
    <n v="1"/>
    <n v="1"/>
    <n v="0"/>
  </r>
  <r>
    <x v="745"/>
    <x v="0"/>
    <x v="2"/>
    <s v="QVQ-LVQSGA-EVKKPGASVKVSCKASGYTF---------TSYGIS-WVRQ-A-P-G-Q--G-LE-WMGWISTY-----------NGNTNY--A--Q--KF--Q---GRVTMTT-D---T-S--TT----T-GYMELRRLRS-DDTAVYYCAREYGN-------------------------YYGFDVWG-QGTTVTVSS"/>
    <s v="DIQ-MTQSPSTLSASVGDRVTITCRASQSI-----------SSWLA-WYQQ-R-P-G-K--A-PK-LLIYKA----------------SSL--E--S--GV--P---SRFSGSG-------S--GT----E-FTLTISSLQP-DDFATYYCQQSNG----------------------------YPYTFG-QGTKVEIK-"/>
    <s v="hv1"/>
    <s v="kv1"/>
    <n v="0.99997170000000002"/>
    <n v="0.99999994000000003"/>
    <n v="0.99847490000000005"/>
    <n v="1"/>
    <n v="1"/>
    <n v="1"/>
  </r>
  <r>
    <x v="746"/>
    <x v="0"/>
    <x v="2"/>
    <s v="QVK-QVVSGG-GVKPGATSLRLSCAASGFDF----------DGFLY-WVRQ-A-P-G-Q--G-LE-WIGRIGGD------------SADKY--S--P--KF--Q---GKATITV-D---D-S--KN----T-VYLQINSLRA-DDTAVYFCAREATLWYD-------------------AHFGDNHFHWG-QGASISSAV"/>
    <s v="DIQ-MTQSPSTLSASVGDRVTITCRASQSV-----------SSAVA-WYQQ-K-P-G-K--A-PK-LLIYSA----------------SSL--Y--S--GV--P---SRFSGSR-------S--GT----D-FTLTISSLQP-EDFATYYCQQYSS----------------------------YPITFG-QGTKVEIK-"/>
    <s v="hv3"/>
    <s v="kv1"/>
    <n v="0.99133115999999999"/>
    <n v="0.99999994000000003"/>
    <n v="1.9524729999999998E-5"/>
    <n v="1"/>
    <n v="1"/>
    <n v="0"/>
  </r>
  <r>
    <x v="747"/>
    <x v="0"/>
    <x v="2"/>
    <s v="QVQ-LVQSGP-EVKKPGTSVKVSCKASGFTFS--------NQYWVQ-WVRQ-A-R-G-Q--R-LE-WIGWMNWF------------GNNRY--A--Q--KF--Q---GRVTMTR-DD--T-S--TS----T-AYMELSSLRS-EDTAVYYCARLQDSSGS--------------------YYHNWFDVWG-QGTTVTVS-"/>
    <s v="QSA-LTQPAS-VSGSPGQSITISCTGTSSDVG--------GYNYLS-WYQQ-R-P-G-S--A-PK-LLIYKV----------------SNR--P--S--GV--S---NRFSGSK-------S--GN----T-ASLTISGLQA-EDEADYYCSSYTT----------------------------TSRVFG-TGTKVTVL-"/>
    <s v="hv1"/>
    <s v="lv2"/>
    <n v="0.99767570000000005"/>
    <n v="0.99999994000000003"/>
    <n v="0.96997670000000002"/>
    <n v="1"/>
    <n v="1"/>
    <n v="1"/>
  </r>
  <r>
    <x v="748"/>
    <x v="0"/>
    <x v="2"/>
    <s v="QVQ-LVQSGA-EVKKPGSSVKVSCKASGGTF---------SSYAIS-WVRQ-A-P-G-Q--G-LE-WMGGIIIF------------GTANY--A--Q--KF--Q---GRVTITA-D---K-S--TS----T-AYMEL---RS-EDTAVYYCARGTS----------------------------DYDYWG-QGTLVTVSS"/>
    <s v="EIV-LTQSPGTLSLSPGERATLSCRASQSVS----------SSYLA-WYQQ-K-P-G-Q--A-PR-LLIYGA----------------SSR--A--T--GI--P---DRFSGSG-------S--GT----D-FTLTISRLEP-EDFAVYYCQQYGS----------------------------SPWTFG-QGTKVEIK-"/>
    <s v="hv1"/>
    <s v="kv3"/>
    <n v="0.99999979999999999"/>
    <n v="0.99999994000000003"/>
    <n v="0.54311509999999996"/>
    <n v="1"/>
    <n v="1"/>
    <n v="1"/>
  </r>
  <r>
    <x v="749"/>
    <x v="0"/>
    <x v="2"/>
    <s v="EVQ-LVESGG-GLVQPGGSLRLSCAASGFNV---------SYSSIH-WVRQ-A-P-G-K--G-LE-WVASIYSY-----------SGYTSY--A--D--SV--K---GRFTISA-D---T-S--KN----T-AYLQMNSLRA-EDTAVYYCARSRSYYSWY------------------GRLGYGMDVWG-QGTTVTVSS"/>
    <s v="DIQ-MTQSPSSLSASVGDRVTITCRASQSV-----------SSAVA-WYQQ-K-P-G-K--A-PK-LLIYSA----------------SSL--Y--S--GV--P---SRFSGSR-------S--GT----D-FTLTISSLQP-EDFATYYCQQSSR----------------------------LPPTFG-QGTKVEIK-"/>
    <s v="hv3"/>
    <s v="kv1"/>
    <n v="0.99999979999999999"/>
    <n v="0.9998842"/>
    <n v="0.9995385"/>
    <n v="1"/>
    <n v="1"/>
    <n v="1"/>
  </r>
  <r>
    <x v="750"/>
    <x v="1"/>
    <x v="2"/>
    <e v="#NAME?"/>
    <s v="DIQ-MTQSPSSLSASVGDRVTITCRASQSV-----------SSAVA-WYQQ-K-P-G-K--A-PK-LLIYSA----------------SSL--Y--S--GV--P---SRFSGSR-------S--GT----D-FTLTISSLQP-EDFATYYCQQSST---------------------------YVPVTFG-QGTKVEIK-"/>
    <s v="hv3"/>
    <s v="kv1"/>
    <n v="0.99999959999999999"/>
    <n v="0.99999830000000001"/>
    <n v="0.9989903"/>
    <n v="1"/>
    <n v="1"/>
    <n v="1"/>
  </r>
  <r>
    <x v="751"/>
    <x v="1"/>
    <x v="2"/>
    <s v="-VQ-LVQSGA-EVKKPGASVKVSCKASGYTF---------TGYYMH-WVRQ-A-P-G-Q--G-LE-WMGWINNS------------GGTNY--A--Q--KF--Q---GRVTMTR-D---T-S--TS----T-VYMELSSLRS-EDTAVYYCARHGS----------------------------SYDYWG-QGTLVTV--"/>
    <s v="DIQ-MTQSPSSLSASVGDRVTITCRASQNI-----------SSYLN-WYQQ-K-P-G-K--A-PK-LLIYAA----------------SSL--Q--S--GV--P---SRFSGSG-------S--GT----D-FTLTISSLQP-EDFATYYCQQSYS----------------------------TPPTFG-QGTKVEIK-"/>
    <s v="hv1"/>
    <s v="kv1"/>
    <n v="0.99976229999999999"/>
    <n v="0.99999994000000003"/>
    <n v="0.63816755999999997"/>
    <n v="1"/>
    <n v="1"/>
    <n v="1"/>
  </r>
  <r>
    <x v="752"/>
    <x v="1"/>
    <x v="2"/>
    <s v="EVK-LVESGG-GLVKPGGSLKLSCAASGFSF---------SDYDMS-WVRQ-T-P-E-K--R-LE-WVATISGG------------GSTYY--P--D--TV--K---GRFTISR-D---N-A--KN----T-LYLQMSSLKS-EDTAMYYCARHDR----------------------------LDDYWG-QGTTLTVSS"/>
    <s v="DIV-MSQSPSSLAVSAGEKVTMSCKSSQSL-----------LNYLG-WYQQ-K-P-G-Q--S-PK-LLIYWA----------------STR--E--S--GV--P---DRFTGSG-------S--GT----D-FTLTISSVQA-EDLADYFCQQHYS----------------------------TPLTFG-AGTKLELK-"/>
    <s v="hv3"/>
    <s v="lv5"/>
    <n v="7.6366946000000005E-2"/>
    <n v="1.0313968E-8"/>
    <n v="3.749175E-3"/>
    <n v="0"/>
    <n v="0"/>
    <n v="0"/>
  </r>
  <r>
    <x v="753"/>
    <x v="1"/>
    <x v="2"/>
    <s v="QVQ-LVQSGA-EVKKPGASVKVSCQTFTGYTF--------TDFYIH-WVRQ-A-P-G-Q--G-LE-WMGVNNF-------------GNTGY--A--Q--KF--Q---GRVTMTR-TIT-T-D--TS----T-AYMDLSSLRS-DDTAVYYCARQGYSLSSG------------------YSYYYGMDVWG-QGTTVTVSS"/>
    <s v="DIV-MTQSPSSLSASVGDRVTITCQASQDI-----------SNYLN-WYQQ-K-P-G-K--A-PK-LLIYDA----------------SSL--Q--S--GV--P---SRFSGSG-------S--GT----D-FTLTISSLQP-EDFATYYCQQSYS----------------------------TPWTFG-QGTKVEIK-"/>
    <s v="hv1"/>
    <s v="kv1"/>
    <n v="0.99999994000000003"/>
    <n v="0.99999994000000003"/>
    <n v="1.8798611000000001E-4"/>
    <n v="1"/>
    <n v="1"/>
    <n v="0"/>
  </r>
  <r>
    <x v="754"/>
    <x v="1"/>
    <x v="2"/>
    <s v="QVQ-LVQSGA-EVKKPGSSVKVSCKASGYTF---------TDINIH-WVRQ-A-R-G-Q--G-LE-WMGWYVKVG----------NGNTKY--A--Q--KF--Q---GRVTMTR-D---T-S--AS----T-AYMELSSLKS-EDTAVYYCARDPGW-------------------------GAGFDYWG-QGTLVTVSS"/>
    <s v="-IV-LTQSPATLSVSPGERATLSCRASQSV-----------SSNLH-WYQQ-K-P-G-Q--A-PR-LLIYGA----------------STR--A--T--GI--P---ARFSGSG-------S--GT----E-FTLTISSLQS-EDFAVYYCQQYNN---------------------------WPPWTFG-QGTKVEIK-"/>
    <s v="hv1"/>
    <s v="kv3"/>
    <n v="0.99999970000000005"/>
    <n v="0.99999994000000003"/>
    <n v="0.11794370999999999"/>
    <n v="1"/>
    <n v="1"/>
    <n v="0"/>
  </r>
  <r>
    <x v="755"/>
    <x v="1"/>
    <x v="2"/>
    <s v="QVQ-LVQSGA-EVKKPGSSVKVSCKASGGTF---------SNYAIS-WVRQ-A-P-G-Q--G-LE-WMGRIIPI-----------LGIANY--A--Q--KF--Q---GRVTITA-D---E-S--TS----T-AYMELSSLRS-EDTAVYYCARAGYW--------------------------YYFDYWG-QGTLVTVSS"/>
    <s v="DIQ-MTQSPSSLSASVGDRVTITCRASQGI-----------SSYLA-WYQQ-K-P-G-K--A-PK-LLIYAA----------------SSL--Q--S--GV--P---SRFSGSG-------S--GT----D-FTLTISSLQP-EDFATYYCQQYKY----------------------------VPVTFG-QGTKVEIK-"/>
    <s v="hv1"/>
    <s v="kv1"/>
    <n v="0.99999994000000003"/>
    <n v="0.99994284"/>
    <n v="0.99974512999999998"/>
    <n v="1"/>
    <n v="1"/>
    <n v="1"/>
  </r>
  <r>
    <x v="756"/>
    <x v="1"/>
    <x v="2"/>
    <s v="QVQ-LQQSGP-ELVRPGASVKMSCKASGYTF---------TSYWMH-WVKQ-R-P-G-Q--G-LE-WIGMIPYN------------GDTSY--N--Q--KF--K---GKATLTV-D---K-S--ST----T-AYMELRSLTS-EDSAVYYCAREGQYD------------------------YYAMDYWG-QGTSVTVSS"/>
    <s v="DIV-MTQSPSSLSASIGDRVTITCKASQDV-----------SDYLS-WLQQ-K-P-D-G--T-IK-RLIYRA----------------SNL--D--S--GV--P---KRFSGSR-------S--GS----D-YSLTISSLES-EDFADYYCLQYW-----------------------------TFPTFG-GGTKLEIK-"/>
    <s v="hv1"/>
    <s v="kv1"/>
    <n v="0.71067769999999997"/>
    <n v="1.6477129999999999E-4"/>
    <n v="1.9007776999999999E-8"/>
    <n v="1"/>
    <n v="0"/>
    <n v="0"/>
  </r>
  <r>
    <x v="757"/>
    <x v="1"/>
    <x v="2"/>
    <s v="EVQ-LVESGG-GLVQPGGSLRLSCAASGFTF---------SSFGMH-WVRQ-A-P-G-K--G-LE-WVSAISGG------------GSTYY--A--D--SV--K---GRFTISR-D---N-S--KN----T-LYLQM---RA-EDTAVYYCARDLR----------------------------AGDVWG-KGTTVTVSS"/>
    <s v="DIQ-MTQSPSSLSASVGDRVTITCRASQGI-----------SNYLA-WYQQ-K-P-G-K--A-PK-LLIYAA----------------SSL--Q--S--GV--P---SRFSGSG-------S--GT----D-FTLTISSLQP-EDFATYYCQQSYS----------------------------TPWTFG-QGTKVEIK-"/>
    <s v="hv3"/>
    <s v="kv1"/>
    <n v="0.99998849999999995"/>
    <n v="0.99999994000000003"/>
    <n v="0.99914913999999999"/>
    <n v="1"/>
    <n v="1"/>
    <n v="1"/>
  </r>
  <r>
    <x v="758"/>
    <x v="1"/>
    <x v="2"/>
    <e v="#NAME?"/>
    <s v="QLV-LTQSPSFLSASVGDKVTITCRASQGI-----------SSYLA-WYQQ-K-P-G-K--A-PK-LLIYLA----------------SNL--E--S--GV--P---SRFSGSR-------S--GT----D-FTLTISSLQP-EDFATYYCQQGE-----------------------------YPFTFG-PGTKVEIK-"/>
    <s v="hv1"/>
    <s v="kv1"/>
    <n v="0.99997944000000005"/>
    <n v="0.99928474"/>
    <n v="1.9326474999999999E-2"/>
    <n v="1"/>
    <n v="1"/>
    <n v="0"/>
  </r>
  <r>
    <x v="759"/>
    <x v="1"/>
    <x v="2"/>
    <s v="QVQ-LQESGP-GLVKPSETLSLTCAVSGGSIS--------SSNWWS-WIRQ-P-P-G-K--G-LE-WIGSIYYS------------GSTNY--N--P--SL--K---SRVTISV-D---T-S--KN----Q-FSLKLSSVTA-ADTAVYYCARGR-----------------------------GYDHWG-QGTLVTVSS"/>
    <s v="EIV-MTQSPATLSLSPGERATLSCRASQSV-----------SSYLA-WYQQ-K-P-G-Q--A-PR-LLIYDA----------------SNR--A--T--GI--P---ARFSGSG-------S--GT----D-FTLTISSLEP-EDFAVYYCQQRSN----------------------------WPLTFG-GGTKVEIK-"/>
    <s v="hv4"/>
    <s v="kv3"/>
    <n v="0.61250660000000001"/>
    <n v="0.99999945999999995"/>
    <n v="0.99999994000000003"/>
    <n v="1"/>
    <n v="1"/>
    <n v="1"/>
  </r>
  <r>
    <x v="760"/>
    <x v="1"/>
    <x v="2"/>
    <s v="-VQ-LLESGG-GLVQPGGSLRLSCAASGFTF---------SDYAMH-WVRQ-A-P-G-K--G-LE-WVSSIDS-------------SGKYY--A--D--SV--K---GRFTISR-D---N-S--KN----T-LYLQM---RA-EDTAVYYCARPQ-----------------------------GYDYWG-QGTLVTV--"/>
    <s v="-SV-LTQAPS-VSAAPGQKATISCSGSSSNI---------GNNYVS-WYQQ-L-P-G-T--A-PK-LLIYDN----------------NKR--P--S--GI--P---DRFSGSK-------S--GT----S-ATLGITGLQT-GDEADYYCGTWD-----------------------------SLSVFG-GGTKLTVL-"/>
    <s v="hv3"/>
    <s v="lv1"/>
    <n v="0.99999994000000003"/>
    <n v="0.99999994000000003"/>
    <n v="8.6908236E-2"/>
    <n v="1"/>
    <n v="1"/>
    <n v="0"/>
  </r>
  <r>
    <x v="761"/>
    <x v="1"/>
    <x v="2"/>
    <s v="EVQ-LQQSGP-ELVKPGASVKMSCKASGYTF---------TSYWMH-WVKQ-S-H-G-K--S-LE-WINIYNGY-----------TGVTKY--N--Q--KF--K---GKATLTV-D---K-S--SS----T-AYMELRSLTS-EDSAVYYCARDRS---------------------------DYFDYWG-QGTTLTVSS"/>
    <s v="DIV-LTQSPASLAVSLGQKATISCKSSQSLLDS-----DSGYSYMH-WYQQ-K-P-G-Q--P-PK-LLIYLA----------------SNL--E--S--GI--P---ARFSGSG-------S--GT----D-FTLNIHPVEE-EDAATYYCQQSNE----------------------------DPWTFG-GGTKLEIK-"/>
    <s v="hv1"/>
    <s v="kv2"/>
    <n v="9.8776729999999993E-2"/>
    <n v="6.7943509999999999E-8"/>
    <n v="2.5107115E-12"/>
    <n v="0"/>
    <n v="0"/>
    <n v="0"/>
  </r>
  <r>
    <x v="762"/>
    <x v="1"/>
    <x v="2"/>
    <s v="EVQ-LVESGG-GLVQPGGSLRLSCAASGFTF---------SSYAMS-WVRQ-A-P-G-K--G-LE-WVSVIYDG------------STIYY--A--D--SV--K---GRFTISR-D---N-S--KN----T-LYLQMNSLRA-EDTAVYYCARDRYVSS----------------------GYYYFDYWG-QGTLVTVSS"/>
    <s v="DIV-MTQSPSSLSASVGDRVTITCRASQSI-----------SSYLN-WYQQ-K-P-G-K--A-PK-LLIYAA----------------SSL--Q--S--GV--P---SRFSGSG-------S--GT----D-FTLTISSLQP-EDFATYYCQQSHE----------------------------DPYTFG-QGTKVEIK-"/>
    <s v="hv3"/>
    <s v="kv1"/>
    <n v="0.98565650000000005"/>
    <n v="0.99999684"/>
    <n v="0.56559455000000003"/>
    <n v="1"/>
    <n v="1"/>
    <n v="1"/>
  </r>
  <r>
    <x v="763"/>
    <x v="1"/>
    <x v="2"/>
    <s v="EVQ-LVESGG-GLVQPGGSLRLSCAASGFTF---------SSYDMS-WVRQ-A-P-G-K--G-LE-WVANIKQD-----------GSEKYY--V--D--SV--K---GRFTISR-D---N-A--KN----S-LYLQMNSLRA-EDTAVYYCARDLK---------------------------GWGDFWG-QGTLVTVSS"/>
    <s v="DIQ-MTQSPSSLSASVGDRVTITCRASQSI-----------SSYLN-WYQQ-K-P-G-K--A-PK-LLIYAA----------------SSL--Q--S--GV--P---SRFSGSG-------S--GT----D-FTLTISSLQP-EDFATYYCQQSYS----------------------------TPYTFG-QGTKVEIK-"/>
    <s v="hv3"/>
    <s v="kv1"/>
    <n v="0.94302079999999999"/>
    <n v="0.99999994000000003"/>
    <n v="0.99999684"/>
    <n v="1"/>
    <n v="1"/>
    <n v="1"/>
  </r>
  <r>
    <x v="764"/>
    <x v="1"/>
    <x v="2"/>
    <s v="QVQ-LVESGG-GVVQPGRSLRLSCAASGFTF---------SNYAMH-WVRQ-A-P-G-K--G-LE-WVAVISYD-----------GSNKYY--A--D--SV--K---GRFTISR-D---N-S--KN----T-LYLQMNSLRA-EDTAVYYCARQQQV--------------------------VYFDYWG-QGTTVTVSS"/>
    <s v="DIQ-LTQSPSSLSASVGDRVTITCRASQSI-----------SSYLN-WYQQ-K-P-G-K--A-PK-LLIYAA----------------SSL--Q--S--GV--P---SRFSGSG-------S--GT----D-FTLTISSLQP-EDFATYYCQQYSY----------------------------VPPTFG-QGTKVEIK-"/>
    <s v="hv3"/>
    <s v="kv1"/>
    <n v="0.99999970000000005"/>
    <n v="0.99999979999999999"/>
    <n v="0.66181239999999997"/>
    <n v="1"/>
    <n v="1"/>
    <n v="1"/>
  </r>
  <r>
    <x v="765"/>
    <x v="1"/>
    <x v="2"/>
    <s v="-VQ-LQQSGA-ELARPGASVKLSCKASGYTF----------TYWMN-WVKQ-R-P-G-Q--G-LE-WIGDIYPG-----------SGSTNY--N--E--KF--K---GKATFTA-D---T-S--SN----T-AYMQLSSLTS-EDSAVYYCTRPYGY-------------------------FYAMDYWG-QGTSVTVSS"/>
    <s v="DIL-MTQSPSSMSVSLGDTVSITCHASQGISS--------NIGALA-WYQQ-K-P-G-Q--S-PK-LLIYKA----------------SNL--E--T--GV--S---SRFTGSG-------Y--GT----S-FTLTISSV-P-EDVATYYCQQHYT----------------------------TPPTFG-AGTKLELK-"/>
    <s v="hv1"/>
    <s v="kv1"/>
    <n v="0.17296658000000001"/>
    <n v="2.6639612000000002E-4"/>
    <n v="6.6728270000000006E-2"/>
    <n v="0"/>
    <n v="0"/>
    <n v="0"/>
  </r>
  <r>
    <x v="766"/>
    <x v="1"/>
    <x v="2"/>
    <s v="QVQ-LVQSGA-EVKKPGASVKVSCKASGYTF---------TGYYMH-WVRQ-A-P-G-Q--G-LE-WMGWINPN-----------SGGTNY--A--Q--KF--Q---GRVTMTR-D---T-S--IS----T-AYMEL---RS-DDTAVYYCARRGEG-------------------------STYFDYWG-QGTLVTVSS"/>
    <s v="EIV-LTQSPGTLSLSPGERATLSCRASQSVS----------SSYLA-WYQQ-K-P-G-Q--A-PR-LLIYGA----------------SSR--A--T--GI--P---DRFSGSG-------S--GT----D-FTLTISRLEP-EDFAVYYCQQYGS----------------------------SPWTFG-QGTKVEIK-"/>
    <s v="hv1"/>
    <s v="kv3"/>
    <n v="0.99998944999999995"/>
    <n v="0.99999994000000003"/>
    <n v="0.99612900000000004"/>
    <n v="1"/>
    <n v="1"/>
    <n v="1"/>
  </r>
  <r>
    <x v="767"/>
    <x v="1"/>
    <x v="2"/>
    <s v="QVQ-LVQSGA-EVKKPGASVKVSCKASGYTF---------TSYWMH-WVRQ-A-P-G-Q--G-LE-WMGVILG-------------GDTNY--A--Q--KF--Q---GRVTMTR-D---T-S--IN----T-AYMEL---RS-EDTAVYYCARLQG---------------------------VGYDYWG-QGTLVTVSS"/>
    <s v="DIQ-MTQSPSSLSASVGDRVTITCRASQSI-----------SSWLA-WYQQ-K-P-G-K--V-PK-LLIYAA----------------SSL--Q--S--GV--P---SRFSGSG-------S--GT----D-FTLTISSLQP-EDFATYYCQQYNS----------------------------APWTFG-QGTKVEIK-"/>
    <s v="hv1"/>
    <s v="kv1"/>
    <n v="0.99999979999999999"/>
    <n v="0.29359245"/>
    <n v="0.99726809999999999"/>
    <n v="1"/>
    <n v="0"/>
    <n v="1"/>
  </r>
  <r>
    <x v="768"/>
    <x v="1"/>
    <x v="2"/>
    <s v="EVQ-LVQSGA-EVKKPGESLKISCKGSGYSF---------TSYWIG-WVRQ-M-P-G-K--G-LE-WMGRIDPS-----------DSYTNY--S--P--KF--Q---GHVTMTR-D---T-S--IS----T-AYLQWSSLKA-SDTAMYYCARRGD----------------------------YFDYWG-QGTLVTVSS"/>
    <s v="DIQ-MTQSPSSLSASVGDRVTITCRASQTI------------KYLN-WYQQ-K-P-G-K--A-PK-LLIYAA----------------SSL--Q--S--GV--P---SRFSGSG-------S--GT----D-FTLTISSLQP-EDFATYICQQSYS----------------------------TPWTFG-QGTKVEIK-"/>
    <s v="hv5"/>
    <s v="kv1"/>
    <n v="0.9999574"/>
    <n v="0.99999994000000003"/>
    <n v="0.113280326"/>
    <n v="1"/>
    <n v="1"/>
    <n v="0"/>
  </r>
  <r>
    <x v="769"/>
    <x v="1"/>
    <x v="2"/>
    <s v="QVQ-LVQSGA-EVKKPGSSVKVSCKASGGTF---------SSYAIS-WVRQ-A-P-G-Q--G-LE-WMGGIIFP-----------SDISAY--A--Q--KF--Q---GRVTITA-D---K-S--TS----T-AYMEL---RS-EDTAVYYCARER-----------------------------DYDD-G-QGTLVTVSS"/>
    <s v="DIQ-MTQSPSSLSASVGDRVTITCRASQSI-----------SSYLN-WYQQ-K-P-G-K--A-PK-LLIYAA----------------SSL--Q--S--GV--P---SRFSGSG-------S--GT----D-FTLTISSLQP-EDFATYYCQQSY-----------------------------NLPTFG-QGTRLEIK-"/>
    <s v="hv1"/>
    <s v="kv1"/>
    <n v="0.99999970000000005"/>
    <n v="0.99999994000000003"/>
    <n v="1.4590695999999999E-4"/>
    <n v="1"/>
    <n v="1"/>
    <n v="0"/>
  </r>
  <r>
    <x v="770"/>
    <x v="1"/>
    <x v="2"/>
    <s v="QVQ-LQESGP-GLVKPSETLSLTCTVSGGSIS--------SGSYWS-WIRQ-P-P-G-K--G-LE-WIGYIYYS------------GSTNY--N--P--SL--K---SRVTISV-D---T-S--KN----Q-FSLKLSSVTA-ADTAVYYCARAPEYY------------------------YYGMDVWG-QGTTVTVSS"/>
    <s v="DIQ-MTQSPSSLSASVGDRVTITCRASQSI-----------SSYLN-WYQQ-K-P-G-K--A-PK-LLIYAA----------------SSL--Q--S--GV--P---SRFSGSG-------S--GT----D-FTLTISSLQP-EDFAAYYCQQSYS----------------------------TPRTFG-QGTKVEIK-"/>
    <s v="hv4"/>
    <s v="kv1"/>
    <n v="0.89463614999999996"/>
    <n v="0.99999994000000003"/>
    <n v="0.9993358"/>
    <n v="1"/>
    <n v="1"/>
    <n v="1"/>
  </r>
  <r>
    <x v="771"/>
    <x v="1"/>
    <x v="2"/>
    <s v="EVQ-LVESGG-GLVKAGGSLILSCGVSNFRI---------SAHTMN-WVRR-V-P-G-G--G-LE-WVASISS--------------STYY--A--D--SV--E---GRFTISR-D---N-P--KN----T-LYLQM---KS-EDTAMYYCARGEG----------------------------YYDVWG-AGTTVTVSS"/>
    <s v="DIV-LTQSPATLSVTPGISVSLSCRASQTI-----------SNYLA-WYQQ-K-P-G-E--A-PK-LLIYK-----------------ASN--Q--S--GV--P---GRFSGSG-------S--GT----D-FTLTISSLEP-EDFAVYYCQQYD-----------------------------YSFSFG-GGTKVEIK-"/>
    <s v="hv3"/>
    <s v="kv3"/>
    <n v="7.8517534E-2"/>
    <n v="0.99894720000000004"/>
    <n v="0.94217439999999997"/>
    <n v="0"/>
    <n v="1"/>
    <n v="1"/>
  </r>
  <r>
    <x v="772"/>
    <x v="1"/>
    <x v="2"/>
    <s v="QVQ-LVQSGA-EVKKPGASVKVSCKASGYTF---------TNYGMH-WVRQ-A-P-G-Q--R-LE-WMGWISAY-----------NGNTNY--A--Q--KL--Q---GRVTMTT-D---T-S--TS----T-AYMELRSLRS-DDTAVYYCARDGA----------------------------TYDYWG-QGTLVTVSS"/>
    <s v="DIV-MTQSPDSLAVSLGERATINCKSSQSVLYS-----SNNKNYLA-WYQQ-K-P-G-Q--P-PK-LLIYWA----------------STR--E--S--GV--P---DRFSGSG-------S--GT----D-FTLTISSLQA-EDVAVYYCQQYY-----------------------------SPYTFG-QGTKLEIK-"/>
    <s v="hv1"/>
    <s v="kv4"/>
    <n v="0.99795999999999996"/>
    <n v="0.99999994000000003"/>
    <n v="0.99987744999999995"/>
    <n v="1"/>
    <n v="1"/>
    <n v="1"/>
  </r>
  <r>
    <x v="773"/>
    <x v="1"/>
    <x v="2"/>
    <e v="#NAME?"/>
    <s v="DIQ-MTQSPSTLSASVGDRVTITCRASQSI-----------SSWLA-WYQQ-K-P-G-K--A-PK-LLIYDA----------------SNL--E--S--GV--P---SRFSGSG-------S--GT----E-FTLTISSLQP-DDFATYYCQQYYY---------------------------SSLVTFG-QGTKVEIK-"/>
    <s v="hv3"/>
    <s v="kv1"/>
    <n v="0.99999994000000003"/>
    <n v="0.99999994000000003"/>
    <n v="0.60159499999999999"/>
    <n v="1"/>
    <n v="1"/>
    <n v="1"/>
  </r>
  <r>
    <x v="774"/>
    <x v="1"/>
    <x v="2"/>
    <s v="QVQ-LQQPGA-ELVKPGASVKLSCKASGYTF---------TSYWMH-WVKQ-R-P-G-Q--G-LE-WIGWIGYT------------SDTYY--N--Q--RF--KAQ-VKATLTA-D---T-S--SS----T-AYMQLRSLTS-EDSAVYYCTRSPY---------------------------RTFDYWG-QGTLVTVSA"/>
    <s v="DIQ-MTQTTSSLSASLGDRVTISCRASQDI-----------SNYLN-WYQQ-K-P-D-G--T-VK-LLIYYT----------------SRL--H--S--GV--P---SRFSGSG-------S--GT----D-YSLTISNLEQ-EDIATYFCQQGNT----------------------------LPFTFG-SGTKLEIK-"/>
    <s v="hv1"/>
    <s v="kv1"/>
    <n v="1.4731196E-2"/>
    <n v="2.1014062999999999E-8"/>
    <n v="1.8781115999999999E-10"/>
    <n v="0"/>
    <n v="0"/>
    <n v="0"/>
  </r>
  <r>
    <x v="775"/>
    <x v="1"/>
    <x v="2"/>
    <s v="QVQ-LVQSGA-EVKKPGSSVKVSCKASGYTF---------TSYAMH-WVRQ-A-R-G-QAPG-LE-WMGYISGS------------GNTNY--A--Q--KF--Q---GRVTMTR-D---T-S--IS----T-AYMEL---RS-DDTAVYYCARDVT---------------------------DRYDVWG-QGTTVTVSS"/>
    <s v="DIQ-MTQSPSSLSASVGDRVTITCRASQDI-----------SNYLN-WYQQ-K-P-G-K--A-PK-LLIYAA----------------SRL--Q--S--GV--P---SRFSGSG-------S--GT----D-FTLTISSLQP-EDFATYYCQQSYS----------------------------TPLTFG-PGTKVEIK-"/>
    <s v="hv1"/>
    <s v="kv1"/>
    <n v="0.99999934000000001"/>
    <n v="0.99999994000000003"/>
    <n v="1.2944690999999999E-4"/>
    <n v="1"/>
    <n v="1"/>
    <n v="0"/>
  </r>
  <r>
    <x v="776"/>
    <x v="1"/>
    <x v="2"/>
    <s v="EVQ-LVQSGA-EVKKPGASVKVSCKASGYTF---------TSYAMH-WVRQ-A-P-G-Q--R-LE-WMGWMNPK-----------VGGTNY--A--Q--KF--Q---GRVTMTR-D---T-S--IS----T-AYMEL---RS-DDTAVYYCARDKYY-------------------------FGRGEVWG-QGTQVTVSS"/>
    <s v="DIQ-MTQSPVTLSASVGDRVTITCRASQSI-----------SSWLA-WYQQ-K-P-G-K--A-PK-LLIYKA----------------SNL--E--T--GV--P---SRFSGSG-------S--GT----E-FTLTISSLQP-DDFATYYCQQYYS----------------------------TPLTFG-GGTKVEIK-"/>
    <s v="hv1"/>
    <s v="kv1"/>
    <n v="0.99818664999999995"/>
    <n v="0.99999994000000003"/>
    <n v="2.3085395999999998E-3"/>
    <n v="1"/>
    <n v="1"/>
    <n v="0"/>
  </r>
  <r>
    <x v="777"/>
    <x v="1"/>
    <x v="2"/>
    <s v="QIH-LVQSGT-EVKKPGSSVTVSCKAYGVNT---------FGLYAV-WVRQ-A-P-G-Q--S-LE-YIGQIWR-------------WKSSA--S--H--HF--R---GRVLISA-V---D-L--TG----S-SSLEI---TS-DDTAVYFCTTTST---------------------------YDRSSWG-QGTLISVSA"/>
    <s v="DIQ-MTQSPSTLSASTGDTVRISCRASQSI-----------TNWVA-WYQQ-R-P-G-K--A-PR-LLIYRG----------------AAL--L--G--GV--P---SRFRGSA-------A--GT----D-FTLTIGNLQA-EDFGTFYCQQYDT----------------------------YPGTFG-QGTKVEVK-"/>
    <s v="hv1"/>
    <s v="kv1"/>
    <n v="0.99999979999999999"/>
    <n v="0.99999684"/>
    <n v="3.7019499999999999E-3"/>
    <n v="1"/>
    <n v="1"/>
    <n v="0"/>
  </r>
  <r>
    <x v="778"/>
    <x v="1"/>
    <x v="2"/>
    <s v="EVQ-LVESGG-GLVQPGGSLRLSCAASGFNV---------SSYSIH-WVRQ-A-P-G-K--G-LE-WVASISSY-----------YGYTYY--A--D--SV--K---GRFTISA-D---T-S--KN----T-AYLQMNSLRA-EDTAVYYCARSYYGSF----------------------WYSGYGVWG-QGTLVTVSS"/>
    <s v="DIQ-MTQSPSSLSASVGDRVTITCRASQSV-----------SSAVA-WYQQ-K-P-G-K--A-PK-LLIYSA----------------SSL--Y--S--GV--P---SRFSGSR-------S--GT----D-FTLTISSLQP-EDFATYYCQQYLY---------------------------YSLVTFG-QGTKVEIK-"/>
    <s v="hv3"/>
    <s v="kv1"/>
    <n v="0.99999649999999995"/>
    <n v="0.99999875000000005"/>
    <n v="0.99337819999999999"/>
    <n v="1"/>
    <n v="1"/>
    <n v="1"/>
  </r>
  <r>
    <x v="779"/>
    <x v="1"/>
    <x v="2"/>
    <s v="EVQ-LVQSGGGAVARPGASVKVSCKASGYTF---------TSYSIH-WVRQ-A-P-G-Q--G-LE-WVGFIRYS------------GDKTY--A--Q--KF--Q---GRVTMTE-D---T-S--TS----T-AYMELRSLTS-EDTAVYFCARD--------------------------------RYWG-QGTLVTVSS"/>
    <s v="DIV-MTQSPATLSVSPGERATLSCRASQSV-----------SSNLA-WYQQ-K-P-G-Q--A-PR-LLIYGA----------------STR--A--T--GI--P---ARFSGSG-------S--GT----E-FTLTISSLQS-EDFAVYYCQQYNN---------------------------WPPFTFG-PGTKVEIK-"/>
    <s v="hv1"/>
    <s v="kv3"/>
    <n v="0.99976180000000003"/>
    <n v="0.99999994000000003"/>
    <n v="6.2671359999999995E-2"/>
    <n v="1"/>
    <n v="1"/>
    <n v="0"/>
  </r>
  <r>
    <x v="780"/>
    <x v="1"/>
    <x v="2"/>
    <s v="QVQ-LQQSGP-ELVKPGASVKMSCKASGYTF---------TSYWMH-WVKQ-R-P-G-Q--G-LE-WIGYINPS------------GGTTY--N--Q--KF--K---GKATLTV-D---K-S--SS----T-AYIQLSSLTS-EDSAVYYCARRGRY-------------------------YYAMDYWG-QGTSVTVSS"/>
    <s v="DIV-MTQSPLSLPVTPGEPASISCRSSQSLLHS------NGYNYLD-WYLQ-K-P-G-Q--S-PQ-LLIYLG----------------SNR--A--S--GV--P---DRFSGSG-------S--GT----D-FTLKISRVEA-EDVGVYYCMQAL-----------------------------QTPTFG-QGTKVEIK-"/>
    <s v="hv1"/>
    <s v="kv2"/>
    <n v="0.1715711"/>
    <n v="0.99999994000000003"/>
    <n v="5.7184115999999999E-7"/>
    <n v="0"/>
    <n v="1"/>
    <n v="0"/>
  </r>
  <r>
    <x v="781"/>
    <x v="1"/>
    <x v="2"/>
    <s v="EVQ-LVESGG-GLVQPGGSLRLSCAASGFNV---------SYYSIH-WVRQ-A-P-G-K--G-LE-WVASISSS-----------SGSTSY--A--D--SV--K---GRFTISA-D---T-S--KN----T-AYLQMNSLRA-EDTAVYYCARSRYYW------------------------GGYLDFWG-QGTLVTVSS"/>
    <s v="DIQ-MTQSPSSLSASVGDRVTITCRASQSV-----------SSAVA-WYQQ-K-P-G-K--A-PK-LLIYSA----------------SSL--Y--S--GV--P---SRFSGSR-------S--GT----D-FTLTISSLQP-EDFATYYCQQSSY---------------------------SSPITFG-QGTKVEIK-"/>
    <s v="hv3"/>
    <s v="kv1"/>
    <n v="0.99999886999999998"/>
    <n v="0.99995369999999995"/>
    <n v="0.99377245000000003"/>
    <n v="1"/>
    <n v="1"/>
    <n v="1"/>
  </r>
  <r>
    <x v="782"/>
    <x v="1"/>
    <x v="2"/>
    <s v="-VK-LVESGG-GVVQPGGSLRLSCAASGFTF---------SSYAMH-WVRQ-A-P-G-K--G-LE-WVADIFPG-----------DSDTRY--A--Q--RF--Q---GRVTISA-D---R-S--IN----T-AYLQMTSLRA-EDTALYYCAK---------------------------------DWGG-QGTLVTVSS"/>
    <s v="DIQ-MTQSPSSLSASVGDRVTITCKASQDI------------DYLN-WYQQ-K-P-G-K--A-PK-LLIYDA----------------SSL--E--T--GV--P---SRFSGSG-------S--GT----D-FTLTISSLQP-EDFATYYCQQYS-----------------------------FPYTFG-QGTKVEIK-"/>
    <s v="hv3"/>
    <s v="kv1"/>
    <n v="0.99995140000000005"/>
    <n v="0.99982214000000003"/>
    <n v="0.95467055000000001"/>
    <n v="1"/>
    <n v="1"/>
    <n v="1"/>
  </r>
  <r>
    <x v="783"/>
    <x v="1"/>
    <x v="2"/>
    <s v="QVQ-LQESGP-GLVKPSQTLSLTCTVSGGSIS--------SSNWWS-WVRQ-P-P-G-K--G-LE-WIGEIYHS------------GNTNY--N--P--SL--K---SRVTISV-D---T-S--KN----Q-FSLKVNSVTA-ADTAVYYCARAGGVG-----------------------VGPYFDYWG-QGTLVTVSS"/>
    <s v="DIQ-MTQSPSSLSASVGDRVTITCRASQSI-----------SSYLN-WYQQ-K-P-G-K--A-PK-LLIYAA----------------SSL--Q--S--GV--P---SRFSGSG-------S--GT----D-FTLTISSLQP-EDFATYYCQQSYS----------------------------TLALFG-GGTKVEIK-"/>
    <s v="hv4"/>
    <s v="kv1"/>
    <n v="0.99999994000000003"/>
    <n v="0.99999994000000003"/>
    <n v="0.71667179999999997"/>
    <n v="1"/>
    <n v="1"/>
    <n v="1"/>
  </r>
  <r>
    <x v="784"/>
    <x v="1"/>
    <x v="2"/>
    <s v="EVQ-LVESGG-GLVQPGGSLRLSCAASGFTF---------SSYAMH-WVRQ-A-P-G-K--G-LE-WVSAISSS-----------GITTYY--A--D--SV--K---GRFTISR-D---N-S--KN----T-LYLQMNSLRA-EDTAVYYCARSYGAF-----------------------GKYYFDYWG-QGTLVTVSS"/>
    <s v="DIQ-MTQSPSSLSASVGDRVTITCRASQSI-----------SSYLN-WYQQ-K-P-G-K--A-PK-LLIYAA----------------SSL--Q--S--GV--P---SRFSGSG-------S--GT----D-FTLTISSLQP-EDFATYYCQQSYG---------------------------STLFTFG-PGTKVDIK-"/>
    <s v="hv3"/>
    <s v="kv1"/>
    <n v="0.9999768"/>
    <n v="0.99999994000000003"/>
    <n v="0.99993949999999998"/>
    <n v="1"/>
    <n v="1"/>
    <n v="1"/>
  </r>
  <r>
    <x v="785"/>
    <x v="1"/>
    <x v="2"/>
    <s v="-VQ-LQQSAA-ELARPGASVKMSCKASGYTF---------SLYWMH-WVKQ-R-P-G-Q--G-LE-WIGAIYPG-----------DGRTNE--N--F--KD--K---SKATLTV-D---K-S--SS----T-AYMQLSSLTS-EDSAVYYCARDRRYD-----------------------RGGGYLHWG-QGTTVTVSS"/>
    <s v="DIQ-MTQTTSSLSASLGDRVTISCRASQDI-----------SRNLA-WLQQ-K-P-D-G--T-VK-LLIYYT----------------SSL--H--S--GV--P---SRFSGSG-------S--GT----D-YSLTISNLEP-EDIATYFCQQYGN----------------------------FPWTFG-QGTKLEIK-"/>
    <s v="hv1"/>
    <s v="kv1"/>
    <n v="8.6512043999999996E-2"/>
    <n v="1.384868E-5"/>
    <n v="8.7718535999999999E-7"/>
    <n v="0"/>
    <n v="0"/>
    <n v="0"/>
  </r>
  <r>
    <x v="786"/>
    <x v="1"/>
    <x v="2"/>
    <s v="QVQ-LVESGG-GVVQPGRSLRLSCAASGFTF---------SSYGMH-WVRQ-A-P-G-K--G-LE-WVAGIYDG------------SNKYY--A--D--SV--K---GRFTISR-D---N-S--KN----T-LYLQMNSLRA-EDTAVYYCARASLYY------------------------DYGYDYWG-QGTLVTVSS"/>
    <s v="DIQ-MTQSPSSLSASVGDRVTITCRASQSI-----------SSYLN-WYQQ-K-P-G-K--A-PK-LLIYAA----------------SSL--Q--S--GV--P---SRFSGSG-------S--GT----D-FTLTISSLQP-EDFATYYCQQSYS----------------------------TPYTFG-QGTKVEIK-"/>
    <s v="hv3"/>
    <s v="kv1"/>
    <n v="0.99998253999999998"/>
    <n v="0.99999994000000003"/>
    <n v="0.99989753999999997"/>
    <n v="1"/>
    <n v="1"/>
    <n v="1"/>
  </r>
  <r>
    <x v="787"/>
    <x v="1"/>
    <x v="2"/>
    <s v="QVQ-LQESGP-GLVKPSETLSLTCTVSGGSIS--------SSNWWS-WIRQ-P-P-G-K--G-LE-WIGYIYDG------------GNTYY--N--P--SL--K---SRVTISV-D---T-S--KN----Q-FSLKLSSVTA-ADTAVYYCARVYR---------------------------VRVDYWG-QGTLVTVSS"/>
    <s v="DIV-MTQSPSSLSASVGDRVTITCRASQSI-----------SSYLN-WYQQ-K-P-G-K--A-PK-LLIYAA----------------SSL--Q--S--GV--P---SRFSGSG-------S--GT----D-FTLTISSLQP-EDFATYYCQQSYS----------------------------TPRTFG-QGTKLEIK-"/>
    <s v="hv4"/>
    <s v="kv1"/>
    <n v="0.99987939999999997"/>
    <n v="0.99999994000000003"/>
    <n v="0.99999090000000002"/>
    <n v="1"/>
    <n v="1"/>
    <n v="1"/>
  </r>
  <r>
    <x v="788"/>
    <x v="1"/>
    <x v="2"/>
    <s v="QVQ-LVESGG-GVVRPGGSLRLSCAASGFTF---------NTYAMH-WVRQ-A-P-G-K--G-LE-WVAKISYD-----------GNNKYY--A--D--SV--K---GRFTISR-D---N-S--KN----T-LYLQM---RA-EDTAVYYCARERWD--------------------------LDFDIWG-QGTMVTVSS"/>
    <s v="EIV-LTQSPGTLSLSPGERATLSCRASQSV-----------RSYLA-WYQQ-K-P-G-Q--A-PR-LLIYGA----------------SSR--A--T--GI--P---DRFSGSG-------S--GT----D-FTLTISRLEP-EDFAVYYCQQYGS----------------------------SPWTFG-QGTKVEIK-"/>
    <s v="hv3"/>
    <s v="kv3"/>
    <n v="0.99999994000000003"/>
    <n v="0.99999994000000003"/>
    <n v="0.83688720000000005"/>
    <n v="1"/>
    <n v="1"/>
    <n v="1"/>
  </r>
  <r>
    <x v="789"/>
    <x v="1"/>
    <x v="2"/>
    <s v="QLQ-LQESGP-GLVKPSETLSLTCTVSGGSI---------SSYYWS-WIRQ-P-P-G-K--G-LE-WIGCIYYS------------GSTNY--N--P--SL--K---SRVTMSV-D---T-S--KN----Q-FSLKL---TA-ADTAVYYCARVD-----------------------------RDDSWG-QGTLVTVSS"/>
    <s v="EIV-MTQSPATLSVSPGERATLSCRASQSV-----------SSNLA-WYQQ-K-P-G-Q--A-PR-LLIYGA----------------STR--A--T--GI--P---ARFSGSG-------S--GT----E-FTLTISSLQS-EDFAVYYCQQYNN---------------------------WPSWTFG-QGTKVEIK-"/>
    <s v="hv4"/>
    <s v="kv3"/>
    <n v="0.99999994000000003"/>
    <n v="0.99999994000000003"/>
    <n v="3.3923469999999997E-2"/>
    <n v="1"/>
    <n v="1"/>
    <n v="0"/>
  </r>
  <r>
    <x v="790"/>
    <x v="1"/>
    <x v="2"/>
    <s v="-VK-LVESGG-GLVKPGGSLKLSCVASGFTF---------SSYAMH-WVRQ-T-P-E-K--R-LE-WVATITG-------------SGRYY--A--QK-YV--K---GRFTISR-D---N-I---N----Q-VFLQM---RA-EDTATYYCARVGQR-------------------------GYIADYWG-QGTSVTVSS"/>
    <s v="DIV-LTQSPSSLAMSVGQKVTMTCRASSSVS----------SSYLH-WYQQ-K-P-G-Q--S-PK-LLIYWA----------------STR--E--S--GV--P---DRFTGSG-------S--GT----D-FTLTISSVQA-EDL-VYYCHQYL-----------------------------SSYTFG-GGTKLEIK-"/>
    <s v="hv3"/>
    <s v="kv6"/>
    <n v="0.33211079999999998"/>
    <n v="2.5312477000000002E-7"/>
    <n v="6.0150459999999996E-3"/>
    <n v="0"/>
    <n v="0"/>
    <n v="0"/>
  </r>
  <r>
    <x v="791"/>
    <x v="1"/>
    <x v="2"/>
    <s v="EVQ-LVQSGA-EVKKPGASVKVSCKASGYPF---------TSYGIS-WVRQ-A-P-G-Q--G-LE-WMGGVIPI-----------SGVTNY--A--Q--KF--Q---GRVTLTR-D---T-S--TS----T-AYMELRSLRS-DDTAVYYCARDYER-------------------------GYGMDVWG-QGTTVTVSS"/>
    <s v="DIV-MTQSPATLSVSPGERATLSCRASQSV-----------SSNLA-WYQQ-K-A-G-Q--A-PR-LLIYGA----------------STR--A--T--GI--P---ARFSGSG-------S--GT----E-FTLTISSLQS-EDFAVYYCQQYNNW--------------------------PPGYTFG-QGTKLEIK-"/>
    <s v="hv1"/>
    <s v="kv3"/>
    <n v="0.99766356"/>
    <n v="0.99999994000000003"/>
    <n v="0.12292518500000001"/>
    <n v="1"/>
    <n v="1"/>
    <n v="0"/>
  </r>
  <r>
    <x v="792"/>
    <x v="1"/>
    <x v="2"/>
    <s v="EVQ-LVESGG-GLVQPGGSLRLSCAASGFNF---------SSSSIH-WVRQ-A-P-G-K--G-LE-WVASISSY-----------YGSTYY--A--D--SV--K---GRFTISA-D---T-S--KN----T-AYLQMNSLRA-EDTAVYYCARSRSYG-----------------------WYGSFDYWG-QGTLVTVSS"/>
    <s v="DIQ-MTQSPSSLSASVGDRVTITCRASQSV-----------SSAVA-WYQQ-K-P-G-K--A-PK-LLIYSA----------------SSL--Y--S--GV--P---SRFSGSR-------S--GT----D-FTLTISSLQP-EDFATYYCQQYKY----------------------------VPVTFG-QGTKVEI--"/>
    <s v="hv3"/>
    <s v="kv1"/>
    <n v="0.99998014999999996"/>
    <n v="0.99903934999999999"/>
    <n v="0.94150244999999999"/>
    <n v="1"/>
    <n v="1"/>
    <n v="1"/>
  </r>
  <r>
    <x v="793"/>
    <x v="1"/>
    <x v="2"/>
    <s v="EVQ-LVESGG-GLVQPGGSLRLSCTGSGFSL---------SSYSMS-WVRQ-A-P-G-K--G-LE-WVGFIRYD-----------GSEKYY--V--D--SV--K---GRFTISR-D---D-S--KN----T-LYLQMNRLRA-EDTAVYYCARDHVYL-----------------------PYYAMDYWG-QGTLVTVSS"/>
    <s v="DIQ-MTQSPSSLSASVGDRVTITCRASQSV-----------SSYLN-WYQQ-K-P-G-K--A-PK-LLIYAT----------------SSL--Q--S--GV--P---SRFSGSG-------S--GT----D-FTLTISSLQP-EDFATYYCQQSHE----------------------------DPPTFG-QGTKVEIK-"/>
    <s v="hv3"/>
    <s v="kv1"/>
    <n v="0.99999979999999999"/>
    <n v="0.99998030000000004"/>
    <n v="0.98346290000000003"/>
    <n v="1"/>
    <n v="1"/>
    <n v="1"/>
  </r>
  <r>
    <x v="794"/>
    <x v="1"/>
    <x v="2"/>
    <s v="QVQ-LQESGP-GLVKPSQTLSLTCTVSGGSIS-------SGHYFWN-WIRQ-F-P-G-K--G-LE-WIGYIDPS-----------NGNTNY--N--P--SL--K---SRVTISV-D---T-S--KN----Q-FSLKLSSVTA-ADTAVYYCARDRAL--------------------------GVGDLWG-QGTLVTVSS"/>
    <s v="DIV-MTQSPDSLAVSLGERATINCKSSQSVLYS-----SNNKNYLA-WYQQ-K-P-G-Q--S-PK-LLIYWA----------------STR--E--S--GV--P---DRFSGSG-------S--GT----D-FTLTISSLQA-EDVAVYYCQQYYS----------------------------TPLTFG-GGTKVEIK-"/>
    <s v="hv4"/>
    <s v="kv4"/>
    <n v="0.99999919999999998"/>
    <n v="0.99999994000000003"/>
    <n v="0.99994844000000005"/>
    <n v="1"/>
    <n v="1"/>
    <n v="1"/>
  </r>
  <r>
    <x v="795"/>
    <x v="1"/>
    <x v="2"/>
    <s v="EVQ-LVQSGA-EVKKPGSSVKVSCKASGYTF---------TGYYMH-WVRQ-A-P-G-Q--G-LE-WMGWINPI-----------SGTTNY--A--Q--KF--Q---GRVTISA-D---E-S--TS----T-AYMELSSLRS-EDTAVYYCARVGYGSSY-------------------YYYYYMNDFWG-QGTLVTVSS"/>
    <s v="-SV-LTQPPS-ASGTPGQRVTISCSGSSSNI---------GSNTVN-WYQQ-L-P-G-T--A-PK-LLIYSN----------------NQR--P--S--GV--P---DRFSGSK-------S--GT----S-ASLAISGLRS-EDEADYYCATWDDS--------------------------LSGWVFG-GGTKVTVL-"/>
    <s v="hv1"/>
    <s v="lv1"/>
    <n v="0.99999267000000003"/>
    <n v="0.99999994000000003"/>
    <n v="0.99999859999999996"/>
    <n v="1"/>
    <n v="1"/>
    <n v="1"/>
  </r>
  <r>
    <x v="796"/>
    <x v="1"/>
    <x v="2"/>
    <e v="#NAME?"/>
    <s v="-IV-MTQSPATLSLSPGERATLSCRASQSV-----------SSYLA-WYQQ-K-P-G-Q--A-PR-LLIYDA----------------SNR--A--T--GI--P---ARFSGSG-------S--GT----D-FTLTISSLEP-EDFAVYYCQQYGS----------------------------SPWTFG-QGTKVEIK-"/>
    <s v="hv4"/>
    <s v="kv3"/>
    <n v="0.99999959999999999"/>
    <n v="0.99999420000000006"/>
    <n v="0.24535130999999999"/>
    <n v="1"/>
    <n v="1"/>
    <n v="0"/>
  </r>
  <r>
    <x v="797"/>
    <x v="1"/>
    <x v="2"/>
    <s v="EVQ-LQQSGP-ELVKPGASVKISCKASGYTFT--------DYNIMH-WVKQ-S-H-G-K--S-LE-WIGVINPN-----------NGGTSY--N--Q--KF--K---GKATLTV-D---K-S--SS----T-AYMELSSLTS-EDSAVYYCARSPFY--------------------------GSFDYWG-QGTLVTVSA"/>
    <s v="DIV-MTQSHKFMSTSVGDRVSITCKASQDV-----------STAVA-WYQQ-K-P-G-Q--S-PK-LLIYSA----------------SYR--Y--T--GV--P---GRFSGSG-------S--GT----D-FTFTISSLQA-EDVAVYFCQQYS-----------------------------IPRTFG-GGTKLEIK-"/>
    <s v="hv1"/>
    <s v="kv1"/>
    <n v="2.3399865E-5"/>
    <n v="1.7993535E-6"/>
    <n v="3.8282906E-6"/>
    <n v="0"/>
    <n v="0"/>
    <n v="0"/>
  </r>
  <r>
    <x v="798"/>
    <x v="1"/>
    <x v="2"/>
    <s v="EVQ-LVESGG-GVVQPGGSLRLSCAASGFNV---------SYYSIH-WVRQ-A-P-G-K--G-LE-WVAVISYD-----------GSNKYY--A--D--SV--K---GRFTISR-D---N-S--KN----T-LYLQMNSLRA-EDTAIYYCARDRY---------------------------SGL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9488204999999996"/>
    <n v="1"/>
    <n v="1"/>
    <n v="1"/>
  </r>
  <r>
    <x v="799"/>
    <x v="1"/>
    <x v="2"/>
    <s v="EVQ-LVESGG-GLVKPGGSLKLSCAASGFTF---------SSYAMS-WVRQ-T-P-E-K--R-LE-WVATISGG------------GGSYY--P--D--TV--K---GRFTISR-D---N-A--KN----T-LYLQMSSLKS-EDTAMYYCARLRN---------------------------RGYDYWG-QGTLVTVSS"/>
    <s v="DIQ-MTQSPSSLSASVGDRVTITCRASQGI-----------SSYLN-WYQQ-K-P-G-K--A-PK-LLIYAA----------------SSL--Q--S--GV--P---SRFSGSG-------S--GT----D-FTLTISSLQP-EDFATYYCQQSYN----------------------------LPFTFG-PGTKVDIK-"/>
    <s v="hv3"/>
    <s v="kv1"/>
    <n v="0.30703086000000002"/>
    <n v="0.99999994000000003"/>
    <n v="4.5446749999999998E-3"/>
    <n v="0"/>
    <n v="1"/>
    <n v="0"/>
  </r>
  <r>
    <x v="800"/>
    <x v="2"/>
    <x v="2"/>
    <s v="QVQ-LQESGP-GLVKPSQTLSLTCAVSGDSM---------NNYYWT-WIRQ-S-P-G-K--G-LE-WIGYIYYS------------GSTYY--N--P--SL--K---SRVTISV-D---T-S--KN----Q-FSLKLSSVTA-ADTAVYYCARLQWG--------------------------LGYDVWG-KGTTVTVSS"/>
    <s v="DVV-MTQSPLSLPVTPGEPASISCRSSQSLVHS------NGNTYLH-WYLQ-K-P-G-Q--S-PQ-LLIYLV----------------SKL--D--S--GV--P---DRFSGSG-------S--GT----D-FTLKISRVEA-EDVGVYYCMQGTQ----------------------------FPWTFG-QGTKVEIK-"/>
    <s v="hv4"/>
    <s v="kv2"/>
    <n v="0.99999994000000003"/>
    <n v="1.6844608000000001E-3"/>
    <n v="0.98469620000000002"/>
    <n v="1"/>
    <n v="0"/>
    <n v="1"/>
  </r>
  <r>
    <x v="801"/>
    <x v="2"/>
    <x v="2"/>
    <s v="EVQ-LVESGG-GLVKPGGSLRLSCAASGFTF---------SRYSMN-WVRQ-A-P-G-K--G-LE-WVSSISSS-----------SGSTSY--A--D--SV--K---GRFTISR-D---N-A--KN----S-LYLQMNSLRA-EDTAVYYCARDLYYD-----------------------GFYAMDYWG-QGTLVTVSS"/>
    <s v="DIQ-MTQSPSSLSASVGDRVTITCRASQSI-----------SSYLN-WYQQ-K-P-G-K--A-PK-LLIYAA----------------SSL--Q--S--GV--P---SRFSGSG-------S--GT----D-FTLTISSLQP-EDFATYYCQQSSS----------------------------SLITFG-QGTKVEIK-"/>
    <s v="hv3"/>
    <s v="kv1"/>
    <n v="0.99999590000000005"/>
    <n v="0.99999994000000003"/>
    <n v="0.99754584000000002"/>
    <n v="1"/>
    <n v="1"/>
    <n v="1"/>
  </r>
  <r>
    <x v="802"/>
    <x v="2"/>
    <x v="2"/>
    <s v="QVQ-LVQSGA-EVKKPGASVKVSCKASGYTF---------TSYGIS-WVRQ-A-P-G-Q--G-LE-WMGWISAY-----------NGNTNY--A--Q--KL--Q---GRVTMTT-D---T-S--TS----T-AYMELRSLRS-DDTAVYYCARGSGY-------------------------GYDYDYWG-QGTLVTVSS"/>
    <s v="EIV-LTQSPATLSLSPGERATLSCRASQSV-----------SSYLA-WYQQ-K-P-G-Q--A-PR-LLIYDA----------------SNR--A--T--GI--P---ARFSGSG-------S--GT----D-FTLTISSLEP-EDFAVYYCQQRSN----------------------------WPITFG-QGTRLEIK-"/>
    <s v="hv1"/>
    <s v="kv3"/>
    <n v="0.99760729999999997"/>
    <n v="0.99999994000000003"/>
    <n v="0.99999709999999997"/>
    <n v="1"/>
    <n v="1"/>
    <n v="1"/>
  </r>
  <r>
    <x v="803"/>
    <x v="2"/>
    <x v="2"/>
    <s v="EVQ-LQQSGP-ELKKPGTSVKISCKASGYTF---------TEYGIH-WVKQ-R-P-G-Q--G-LE-WIGSIYPG-----------SGGTNY--N--E--KF--K---GKATLTV-D---K-S--SS----T-AYMQLSSLTS-EDSAVYYCARLGGY-------------------------SGYFDYWG-QGTTLTVSS"/>
    <s v="DIV-MTQSPDSLAVSLGERATINCKSSQSVLYS-----SNNKNYLA-WYQQ-K-P-G-Q--P-PK-LLIYWA----------------STR--E--S--GV--P---DRFSGSG-------S--GT----D-FTLTISSLQA-EDVAVYYCQQYYS----------------------------TPLTFG-GGTKVEIK-"/>
    <s v="hv1"/>
    <s v="kv4"/>
    <n v="0.91325146000000001"/>
    <n v="0.99999994000000003"/>
    <n v="1.1122874000000001E-7"/>
    <n v="1"/>
    <n v="1"/>
    <n v="0"/>
  </r>
  <r>
    <x v="804"/>
    <x v="2"/>
    <x v="2"/>
    <s v="QVQ-LQQSGT-ELVRPGSSVKLSCKASGYTF---------TSYWMH-WVKQ-R-P-G-Q--G-LE-WIGWIGYH-----------SDGKFY--N--Q--KF--K---DKATLTA-D---K-S--SS----T-AYMQLSSLTS-EDSAVYYCARERGH--------------------------GSSFYWG-QGTSVTVSS"/>
    <s v="DIV-MTQSQKFMSTSVGDRVSITCKASQNV-----------GTAVA-WYQQ-K-P-G-Q--S-PK-LLIYWA----------------STR--H--T--GV--P---DRFTGSG-------S--GT----D-FTLTITNVQS-EDLADYFCHQYTY---------------------------SPPWTFG-AGTKLELK-"/>
    <s v="hv1"/>
    <s v="kv6"/>
    <n v="0.73333999999999999"/>
    <n v="1.0919244000000001E-6"/>
    <n v="1.2092906E-4"/>
    <n v="1"/>
    <n v="0"/>
    <n v="0"/>
  </r>
  <r>
    <x v="805"/>
    <x v="2"/>
    <x v="2"/>
    <s v="QVQ-LVQSGA-EVKKPGSSVKVSCKASGGTF---------SSYAIS-WVRQ-A-P-G-Q--G-LE-WMGGIIPI-----------FGTANY--A--Q--KF--Q---GRVTITA-D---K-S--TS----T-AYMELSSLRS-EDTAVYYCARE--------------------------------IYWG-QGTLVTVSS"/>
    <s v="EIV-LTQSPGTLSLSPGERATLSCRASKSVS----------STYLA-WYQQ-K-P-G-Q--A-PR-LLIYGA----------------SSR--A--T--GI--P---DRFSGSG-------S--GT----D-FTLTISRLEP-EDFAVYYCQHYG-----------------------------RSSTFG-QGTKLEIK-"/>
    <s v="hv1"/>
    <s v="kv3"/>
    <n v="0.9999806"/>
    <n v="0.99999994000000003"/>
    <n v="1.574495E-4"/>
    <n v="1"/>
    <n v="1"/>
    <n v="0"/>
  </r>
  <r>
    <x v="806"/>
    <x v="2"/>
    <x v="2"/>
    <s v="EVQ-LVESGG-GLVQPGGSLRLSCAASGFTF---------SNYWMN-WVRQ-A-P-G-K--G-LE-WVAVSYSG-----------DSYTYY--A--D--SV--K---GRFTISA-D---T-S--KN----T-AYLQM---RA-EDTAVYYCARGRVSS------------------------YSGRDFWG-QGTLVTVSS"/>
    <s v="DIQ-MTQSPSSLSASVGDRVTITCRASQGI-----------SNYLN-WYQQ-K-P-G-K--A-PK-LLIYAA----------------SSL--Q--S--GV--P---SRFSGSG-------S--GT----D-FTLTISSLQP-EDFATYYCQQSYN----------------------------LPWTFG-QGTKVEIK-"/>
    <s v="hv3"/>
    <s v="kv1"/>
    <n v="0.99966920000000004"/>
    <n v="0.99999994000000003"/>
    <n v="0.69514189999999998"/>
    <n v="1"/>
    <n v="1"/>
    <n v="1"/>
  </r>
  <r>
    <x v="807"/>
    <x v="2"/>
    <x v="2"/>
    <s v="QVQ-LQQSGP-ELVKPGASVKISCKASGYSF---------SNYYMY-WVKQ-R-P-G-Q--G-LE-WIGNIYPG-----------DSDTNY--N--Q--KV--KE--SRDTASLTG---T-V--NS----D-DYL--SSLTS-EDSAVYFCSGE-------------------------------FDYWG-QGTLVTVSA"/>
    <s v="DIK-MTQSPSSLSASLGDRVTITCRASQSI-----------DNWLA-WYQQ-K-P-G-K--A-PK-LLIYYT----------------SRL--H--S--GV--P---SRFSGSG-------S--GT----D-YTLTISSLQP-EDVATYYCQQYD-----------------------------YPLTFG-AGTKLELK-"/>
    <s v="hv1"/>
    <s v="kv1"/>
    <n v="1.0402313999999999E-2"/>
    <n v="2.3491548000000001E-2"/>
    <n v="2.0968339999999999E-8"/>
    <n v="0"/>
    <n v="0"/>
    <n v="0"/>
  </r>
  <r>
    <x v="808"/>
    <x v="2"/>
    <x v="2"/>
    <s v="QVQ-LQQPGA-ELVKPGASVKLSCKASGYTF---------TNYYIN-WVKQ-R-P-G-Q--G-LE-WIGDIYPG------------DSDTY--N--Q--KF--K---GKATLTA-D---K-S--SS----T-AYMQLSSLTS-EDSAVYYCARRGL---------------------------GYFDVWG-AGTTVTVSS"/>
    <s v="DIL-LTQSPAILSVSPGERVSFSCRASQSI-----------GTDIH-WYQQ-R-T-N-G--S-PR-LLIKYA----------------SES--I--S--GI--P---SRFSGSG-------S--GT----D-FTL-ISRLEP-EDFAVYYCQQFSN----------------------------WPLTFG-GGTKLEIK-"/>
    <s v="hv1"/>
    <s v="kv3"/>
    <n v="0.95251330000000001"/>
    <n v="1.8246420999999999E-5"/>
    <n v="0.14050545"/>
    <n v="1"/>
    <n v="0"/>
    <n v="0"/>
  </r>
  <r>
    <x v="809"/>
    <x v="2"/>
    <x v="2"/>
    <s v="EVQ-LVESGG-GLVQPGGSLRLSCAASGFTF---------SSYAMS-WVRQ-A-P-G-K--G-LE-WVSSISSS------------SYIYY--A--D--SV--K---GRFTISR-D---N-S--KN----T-LYLQMNSLRA-EDTAVYYCARADG---------------------------YGYDYWG-QGTLVTVSS"/>
    <s v="DIQ-MTQSPSSLSASVGDRVTITCRASQSI-----------SSYLN-WYQQ-K-P-G-K--A-PK-LLIYAA----------------SSL--Q--S--GV--P---SRFSGSG-------S--GT----D-FTLTISSLQP-EDFATYYCQQSYS----------------------------TPFTFG-PGTKVDIK-"/>
    <s v="hv3"/>
    <s v="kv1"/>
    <n v="0.99050974999999997"/>
    <n v="0.99999994000000003"/>
    <n v="0.99998050000000005"/>
    <n v="1"/>
    <n v="1"/>
    <n v="1"/>
  </r>
  <r>
    <x v="810"/>
    <x v="2"/>
    <x v="2"/>
    <s v="EVQ-LQQSGP-ELVKPGASVKISCKASGYAF---------SNFGMN-WVKQKR-P-G-K--G-LE-WIGRIYPG-----------DGDTNY--N--G--KF--K---GKATLTA-D---K-S--SS----T-AYMQLSSLTS-EDSAVYFCARADYY--------------------------GAFDYWG-QGTTLTVSS"/>
    <s v="DIV-MTQSPDSLAVSLGERATINCKSSQSVLYS-----SNNKNYLA-WYQQ-K-P-G-Q--S-PK-LLIYWA----------------STR--E--S--GV--P---DRFTGSG-------S--GT----D-FTLTISSVKA-EDLAVYYCQQYYS----------------------------YPYTFG-GGTKLEIK-"/>
    <s v="hv1"/>
    <s v="kv4"/>
    <n v="0.15821123000000001"/>
    <n v="0.99993986000000001"/>
    <n v="8.9577719999999996E-5"/>
    <n v="0"/>
    <n v="1"/>
    <n v="0"/>
  </r>
  <r>
    <x v="811"/>
    <x v="2"/>
    <x v="2"/>
    <e v="#NAME?"/>
    <s v="DIV-MTQSPDSLAVSLGERATINCKSSQSVLYS-----SNNKNYLA-WYQQ-K-P-G-Q--P-PK-LLIYWA----------------STR--E--S--GV--P---DRFSGSG-------S--GT----D-FTLTISSLQA-EDVAVYYCHQYTH----------------------------NPLTFG-AGTKLELK-"/>
    <s v="hv1"/>
    <s v="kv4"/>
    <n v="3.2513899999999997E-8"/>
    <n v="0.99999994000000003"/>
    <n v="0.96149700000000005"/>
    <n v="0"/>
    <n v="1"/>
    <n v="1"/>
  </r>
  <r>
    <x v="812"/>
    <x v="2"/>
    <x v="2"/>
    <s v="EVQ-LVESGG-GLVQPGGSLRLSCAASGFNF---------SSSSIH-WVRQ-A-P-G-K--G-LE-WVASIYSY-----------YGSTSY--A--D--SV--K---GRFTISA-D---T-S--KN----T-AYLQMNSLRA-EDTAVYYCARFYGSS-----------------------YSGYFDLWG-RGTLVTVSS"/>
    <s v="-VV-MTQSPDSLAVSLGERATINCKSSQS--------------V---GYST-F-G-S-F--T-RK-LAIYSASR-----------TPGQAA--T--V--GV--P---SRFSGSA-------S--GI----N--TLTITSLQS-EDEADYYCQTSWD---------------------------SNSLVFG-GGTKLTVL-"/>
    <s v="hv3"/>
    <s v="kv4"/>
    <n v="0.99997499999999995"/>
    <n v="0.95468569999999997"/>
    <n v="4.1981812000000001E-13"/>
    <n v="1"/>
    <n v="1"/>
    <n v="0"/>
  </r>
  <r>
    <x v="813"/>
    <x v="2"/>
    <x v="2"/>
    <s v="QVQ-LQESGP-GLVRPSQTLSLTCTVSGGSIS-------SGSYYWS-WIRQ-P-P-G-K--G-LE-WIGSISYS------------GSTN---------AL--N---SRLSISR-D---T-S--KN----Q-FFLK-NSLTA-ADTGTYFCTTNYG----------------------------AMDYWG-QGTLVTVSS"/>
    <s v="DIQ-MTQSPSSLSASVGDRVTITCRASQTI-----------SSFLN-WYQQ-K-P-G-R--A-PK-LLIYKA----------------SSL--Q--S--GI--P---SRFSGSG-------S--GT----E-FTLTISSLQP-EDFAVYYCQQYG-----------------------------SPLTFG-GGTKVEIK-"/>
    <s v="hv4"/>
    <s v="kv1"/>
    <n v="0.99998564000000001"/>
    <n v="8.3871950000000001E-3"/>
    <n v="1.2532982E-2"/>
    <n v="1"/>
    <n v="0"/>
    <n v="0"/>
  </r>
  <r>
    <x v="814"/>
    <x v="2"/>
    <x v="2"/>
    <s v="EVQ-LVESGG-GLVQPGGSLRLSCAASGFTF---------SSYAMS-WVRQ-A-P-G-K--G-LE-WVSRISP-------------YSKYY--A--D--SV--K---GRFTISR-D---N-S--KN----T-LYLQM---RA-EDTAVYYCARGGW---------------------------YGFDFWG-QGTLVTVSS"/>
    <s v="DIQ-MTQSPSSLSASVGDRVTITCRASQSI-----------SNWLA-WYQQ-K-P-G-K--A-PK-LLIYKA----------------SNL--E--T--GV--P---SRFSGSG-------S--GT----D-FTFTISSLQP-EDIATYYCQQFYG----------------------------YPYTFG-QGTKVEIK-"/>
    <s v="hv3"/>
    <s v="kv1"/>
    <n v="0.99998646999999996"/>
    <n v="0.99655724000000001"/>
    <n v="0.99978685"/>
    <n v="1"/>
    <n v="1"/>
    <n v="1"/>
  </r>
  <r>
    <x v="815"/>
    <x v="2"/>
    <x v="2"/>
    <s v="QVQ-LVQSGA-EVKKPGSSVKVSCKASGYTI----------FTNIS-WVRQ-A-P-G-Q--G-LE-WMGRILTP------------IYSGY--N--E--KF--K---GRVTITA-D---T-S--TS----T-AYMELSSLRS-EDTAVYYCARRSDG--------------------------VYFDYWG-QGTLVTVSS"/>
    <s v="DIL-LTQSPASLSASPGEKVTITCSG-SIY-----------GNTVS-WYQQ-R-P-G-K--S-PQ-LLIYSA----------------SSL--Y--S--GV--P---SRFSGSG-------S--GT----D-FTLTISSLQM-EDFATYYCQQFY-----------------------------TPRTFG-QGTKVEIK-"/>
    <s v="hv1"/>
    <s v="kv1"/>
    <n v="0.99994426999999997"/>
    <n v="0.88351120000000005"/>
    <n v="9.1400306000000001E-4"/>
    <n v="1"/>
    <n v="1"/>
    <n v="0"/>
  </r>
  <r>
    <x v="816"/>
    <x v="2"/>
    <x v="2"/>
    <s v="QVQ-LVQSGA-EVKKPGASVKVSCKASGYTF---------TSYSMH-WVRQ-A-P-G-Q--G-LE-WMGWINPN-----------SGGTNY--A--Q--KF--Q---GRVTMTR-D---T-S--IS----T-AYMEL---RS-DDTAVYYCARDGF----------------------------DGDYWG-QGTLVTVSS"/>
    <s v="DIV-MTQSPSSLSASVGDRVTITCRASKSI-----------SNWLA-WYQQ-K-P-G-K--A-PK-LLIYWA----------------SSQ--G--S--GV--P---ARFIGSG-------S--GT----D-YTLTISSLQP-EDVATYYCQQRYE---------------------------GYPITFG-QGTKVEIK-"/>
    <s v="hv1"/>
    <s v="kv1"/>
    <n v="0.99986220000000003"/>
    <n v="7.8458759999999999E-3"/>
    <n v="1.358368E-11"/>
    <n v="1"/>
    <n v="0"/>
    <n v="0"/>
  </r>
  <r>
    <x v="817"/>
    <x v="2"/>
    <x v="2"/>
    <s v="QVQ-LQESGP-GLVKPSETLSLTCSVSGGSF----------SRYWS-WIRQ-P-P-G-K--G-LE-WIGYITYGS----------GSYTNY--N--P--SL--K---SRVTISV-D---N-S--KN----T-LYLQVNSLKT-EDTAVYYCARESYYGY---------------------WVTVGFDYWG-QGTLVTVSS"/>
    <s v="DIQ-MTQSPSTLSASVGDRVTITCRASQS--------------I-S-WYLQ-K-P-G-K--A-PK-LLIYDT---------------SLAS--Q--P--GV--PKRPDRFSGSG-------S--GT----D-FTLTISSLQP-EDFATYYCQQASQ----------------------------LPYTFG-GGTKLEIK-"/>
    <s v="hv4"/>
    <s v="kv1"/>
    <n v="0.721028"/>
    <n v="0.99999994000000003"/>
    <n v="1.0809328999999999E-2"/>
    <n v="1"/>
    <n v="1"/>
    <n v="0"/>
  </r>
  <r>
    <x v="818"/>
    <x v="2"/>
    <x v="2"/>
    <s v="QVQ-LVQSGA-EVKRPGSSVKVSCKASGGSF---------STYALS-WVRQ-A-P-G-R--G-LE-WMGGFIPV-----------GGVTPY--A--Q--QF--Q---GRVTITA-D---E-S--TN----T-AYMELT---S-EDTAVYYCARGVV---------------------------GVFDVWG-QGTTVTVSS"/>
    <s v="EIV-LTQSPATLSLSPGERATLSCRASQSV-----------SSYLA-WYQQ-K-P-G-Q--A-PR-LLIYDA----------------SNR--A--T--GI--P---ARFSGSG-------S--GT----D-FTLTISSLEP-EDFAVYYCQQRSN----------------------------WPRTFG-GGTKVEIK-"/>
    <s v="hv1"/>
    <s v="kv3"/>
    <n v="0.99999994000000003"/>
    <n v="0.99999994000000003"/>
    <n v="6.7235819999999996E-3"/>
    <n v="1"/>
    <n v="1"/>
    <n v="0"/>
  </r>
  <r>
    <x v="819"/>
    <x v="2"/>
    <x v="2"/>
    <s v="QVQ-LQESGP-GLVKPSETLSLTCAVSGGSIS--------NTQWWS-WIRQ-P-P-G-K--G-LE-WIGQIYG-------------DGATY--N--P--SL--K---SRVTISV-D---T-S--KN----Q-FSLKLSSVTA-ADTAVYYCARGTVVYGD--------------------LTSYYFDYWG-QGTLVTVSS"/>
    <s v="DIQ-MTQSPSSLSASVGDRVTITCRASQSV-----------SSALA-WYQQ-K-P-G-K--A-PK-LLIYAA----------------SNL--Q--S--GV--P---SRFSGSG-------S--GT----D-FTLTISSLQP-EDFATYYCQQSNS----------------------------CWFTFG-QGTKVEIK-"/>
    <s v="hv4"/>
    <s v="kv1"/>
    <n v="0.98228360000000003"/>
    <n v="0.99999919999999998"/>
    <n v="0.99789315000000001"/>
    <n v="1"/>
    <n v="1"/>
    <n v="1"/>
  </r>
  <r>
    <x v="820"/>
    <x v="2"/>
    <x v="2"/>
    <s v="QVQ-LQESGP-GLVKPSETLSLTCTVSGGSI---------SNYYWS-WIRQ-P-P-G-K--G-LE-WIGYIYYS------------GSTNY--N--P--SL--K---SRVTMSV-D---T-S--KN----Q-FSLKLSSVTA-ADTAVYYCARSRWG--------------------------GDYFGWG-QGTLVTVSS"/>
    <s v="EIV-LTQSPATLSLSPGERATLSCRASQSV-----------SSYLA-WYQQ-K-P-G-Q--A-PR-LLIYDA----------------SSR--A--T--GI--P---DRFSGSG-------S--GT----D-FTLTISRLEP-EDFAVYYCQQYGS----------------------------SPLTFG-QGTKLEIK-"/>
    <s v="hv4"/>
    <s v="kv3"/>
    <n v="0.99999910000000003"/>
    <n v="0.99999994000000003"/>
    <n v="0.99999945999999995"/>
    <n v="1"/>
    <n v="1"/>
    <n v="1"/>
  </r>
  <r>
    <x v="821"/>
    <x v="2"/>
    <x v="2"/>
    <s v="QVQ-LVQSGA-EVKKPGSSVKVSCKASGYTFT--------SYYYIH-WVRQ-A-P-G-Q--G-LE-WMGWIIN-------------PNDTY--A--Q--KF--Q---GRVTMTT-D---E-S--TS----T-AYMEL---RS-EDTAVYYCARNYYGQ------------------------IQVSDYWG-QGTLVTVSS"/>
    <s v="--Q-LTQPPS-ASGSPGQSVTISCTGTSSDVG--------GYNYVS-WYQQ-H-P-G-K--A-PK-LMIYDV----------------SNR--P--S--GV--S---NRFSGSK-------S--GN----T-ASLTISGLQA-EDEADYYCSSYTS---------------------------SSTLVFG-GGTKLTVL-"/>
    <s v="hv1"/>
    <s v="lv2"/>
    <n v="0.99999970000000005"/>
    <n v="0.99999979999999999"/>
    <n v="1.0196149E-2"/>
    <n v="1"/>
    <n v="1"/>
    <n v="0"/>
  </r>
  <r>
    <x v="822"/>
    <x v="2"/>
    <x v="2"/>
    <e v="#NAME?"/>
    <s v="DIV-MTQSPSSLAVSAGE-VSITCKASQDI-----------NNYLN-WYQQ-K-P-G-K--A-PK-LLIYAA----------------SNL--E--S--GI--P---ARFSGSG-------S--GT----D-FTLNIHPVEE-EDAATYYCQQYDN----------------------------LPRTFG-GGTKLEIK-"/>
    <s v="hv1"/>
    <s v="kv1"/>
    <n v="9.6958410000000002E-3"/>
    <n v="1.9986466E-4"/>
    <n v="1.8408150999999999E-7"/>
    <n v="0"/>
    <n v="0"/>
    <n v="0"/>
  </r>
  <r>
    <x v="823"/>
    <x v="2"/>
    <x v="2"/>
    <s v="QVQ-LQESGP-GLVKPSQTLSLTCTVSGGSTT-------TAYYWIH-WIRQ-P-P-G-K--G-LE-WIGEYSGS------------GNTNY--N--P--SL--K---SRVTMSL-D---T-S--KS----Q-FSLKLNSVTA-ADTAVYYCARVY-----------------------------GSDVWG-QGTTVTVSS"/>
    <s v="DVV-MTQSPLSLPVSLGDQASISCRSSQSLVHS------NGNTYLH-WYLQ-K-P-G-Q--S-PK-LLIYKV----------------SNR--F--S--GV--P---ERFSGSG-------S--GT----D-FTLKISRVEA-EDLGIYYCFQGSH----------------------------VPLTFG-AGTKLELK-"/>
    <s v="hv4"/>
    <s v="kv2"/>
    <n v="0.99988513999999995"/>
    <n v="4.1382565999999997E-7"/>
    <n v="0.93920475000000003"/>
    <n v="1"/>
    <n v="0"/>
    <n v="1"/>
  </r>
  <r>
    <x v="824"/>
    <x v="2"/>
    <x v="2"/>
    <s v="QVH-LQESGP-GLVKPSETLSLTCAVSGGSI---------SRYYWS-WIRQ-P-P-G-K--G-LE-WIGNIYYT------------GSTYY--N--P--SL--K---SRVTISV-D---T-S--KN----Q-FSLKLSSVTA-ADTAVYYCARVW-----------------------------VYGYWG-QGTLVTVSS"/>
    <s v="EIV-LTQSPATLSLSPGERATLSCRASQSV-----------SSYLA-WYQQ-K-P-G-Q--A-PR-LLIYDA----------------SNR--A--T--GI--P---ARFSGSG-------S--GT----D-FTLTISSLEP-EDFAVYYCQQRSN----------------------------WPITFG-QGTRLEIK-"/>
    <s v="hv4"/>
    <s v="kv3"/>
    <n v="0.99998969999999998"/>
    <n v="0.99999994000000003"/>
    <n v="0.99095654"/>
    <n v="1"/>
    <n v="1"/>
    <n v="1"/>
  </r>
  <r>
    <x v="825"/>
    <x v="2"/>
    <x v="2"/>
    <s v="QVQ-LQESGP-GLVKPSQTLSLTCAVSGDTF---------SNYAMN-WIRQ-S-P-G-K--G-LE-WIGNTYYS------------GTTSY--N--P--SL--K---GRVTISA-D---K-S--QN----Q-FSLKLSSVTA-ADTAVYYCASGV------------------------------YLLWG-QGTLVTVSS"/>
    <s v="EIV-LTQSPATLSLSPGERATLSCRASQSV-----------RSYLA-WYQQ-K-P-G-Q--A-PR-LLIYDA----------------SNR--A--T--GI--P---ARFSGSG-------S--GT----D-FTLTISSLEP-EDFAVYYCQQFY-----------------------------SRWTFG-QGTKLEIK-"/>
    <s v="hv4"/>
    <s v="kv3"/>
    <n v="0.99999709999999997"/>
    <n v="0.99999994000000003"/>
    <n v="0.99391096999999995"/>
    <n v="1"/>
    <n v="1"/>
    <n v="1"/>
  </r>
  <r>
    <x v="826"/>
    <x v="2"/>
    <x v="2"/>
    <s v="EVQ-LQQSGA-ELVKPGASVKLSCTASGFNI---------KDYYMV-WVKQ-R-P-E-Q--G-LE-WIGRIDPA-----------NGDTKY--D--P--KF--Q---GKATITA-D---T-S--SN----T-AYLQLSSLTS-EDTAVYYCVRPLYD-------------------------YYAMDYWG-QGTSVTVSS"/>
    <s v="DIL-LTQSPAILSVSPGERVSFSCRASQSI-----------GTDIH-WYQQ-R-T-N-G--S-PR-LLIKYA----------------SES--I--S--GI--P---SRFSGSG-------S--GT----D-FTLTISSLEP-EDFAVYYCQQRSN----------------------------WPYTFG-GGTKLEIK-"/>
    <s v="hv1"/>
    <s v="kv3"/>
    <n v="3.0049713999999998E-4"/>
    <n v="2.6201836000000001E-3"/>
    <n v="0.99650490000000003"/>
    <n v="0"/>
    <n v="0"/>
    <n v="1"/>
  </r>
  <r>
    <x v="827"/>
    <x v="2"/>
    <x v="2"/>
    <s v="QVQ-LQQSGP-ELVRPGASVKMSCKASGYTF---------TDYMYW-WVKQ-R-P-G-Q--G-LE-WIGAIYPG-----------NGDTNY--N--E--KF--K---GKATLTA-D---K-S--SS----T-AYMQLSSLTS-EDSAVYYCARERG----------------------------AGDYWG-QGTLVTVSS"/>
    <s v="DIV-LTQSPASLAVSLGQRATISCRASESVDN-------YGISFMN-WFQQ-K-P-G-Q--P-PK-LLIYAA----------------SNL--E--S--GI--P---ARFSGSG-------S--GT----D-FTLNIHPVEE-EDAATYYCQHSRE----------------------------YPITFG-SGTKLEIK-"/>
    <s v="hv1"/>
    <s v="kv7"/>
    <n v="0.66888325999999998"/>
    <n v="1.2205491000000001E-7"/>
    <n v="2.609416E-6"/>
    <n v="1"/>
    <n v="0"/>
    <n v="0"/>
  </r>
  <r>
    <x v="828"/>
    <x v="2"/>
    <x v="2"/>
    <s v="QVQ-LQQSGT-ELVRPGTSVTARSFCKGYTT---------WIRDFL-WVKQ-R-P-E-Q--G-LE-WIGVINTD------------GRTDY--N--A--KF--K---GRVTISD-T---S-TT-AS----L-EIYYLKSLRS-DDTAVYYCAREGY----------------------------YGDFWG-QGILVTVSS"/>
    <s v="DIQ-MTQSPSSLSASIGDRVTITCRASQSID----------INKLN-WYQQ-K-P-G-K--A-PK-LLIYAA----------------SSL--Q--S--GV--P---SRFSGSG-------S--GT----D-FTLTISSLQP-EDFAAYYCQQYNF----------------------------FPWTFG-QGTKLEIK-"/>
    <s v="hv1"/>
    <s v="kv1"/>
    <n v="2.6441179999999999E-6"/>
    <n v="0.99999994000000003"/>
    <n v="9.4743779999999991E-10"/>
    <n v="0"/>
    <n v="1"/>
    <n v="0"/>
  </r>
  <r>
    <x v="829"/>
    <x v="2"/>
    <x v="2"/>
    <s v="QVQ-LVQSGA-EVRKPGASVKVSCKASGYTF---------TDYGIS-WVRQ-A-P-G-Q--G-LE-WMGWISPY-----------NGDTKY--A--Q--KF--Q---GRVTMTR-D---T-S--TS----T-VYMELSSLTS-EDTAVYYCARSRG----------------------------QFDSWG-QGTLVTVSS"/>
    <s v="-SV-LTQPPS-ASGTPGQRVSISCSGSSIGSN--------YGTYVS-WYQQ-F-P-G-T--V-PK-LMIYDN----------------NKR--P--S--GV--P---DRFSGSK-------S--GT----S-ASLAISGLRS-EDEADYYCAAWDSY--------------------------GSTLVFG-GGTKLTV--"/>
    <s v="hv1"/>
    <s v="lv1"/>
    <n v="0.99999970000000005"/>
    <n v="0.99999934000000001"/>
    <n v="0.99993056000000002"/>
    <n v="1"/>
    <n v="1"/>
    <n v="1"/>
  </r>
  <r>
    <x v="830"/>
    <x v="2"/>
    <x v="2"/>
    <e v="#NAME?"/>
    <s v="QSV-LTQPPS-ASGTPGQRVTISCSGSSSNI---------GSNYVY-WYQQ-L-P-G-T--A-PK-LLIYRN---------------GNKR--P--S--GV--P---DRFSGSK-------S--GT----S-ASLAISGLQS-EDEAEYYCSAAG-----------------------------GRLSFG-GGTKLTVL-"/>
    <s v="hv1"/>
    <s v="lv1"/>
    <n v="0.98849260000000005"/>
    <n v="0.99999994000000003"/>
    <n v="0.99994415000000003"/>
    <n v="1"/>
    <n v="1"/>
    <n v="1"/>
  </r>
  <r>
    <x v="831"/>
    <x v="2"/>
    <x v="2"/>
    <s v="QVQ-LQESGP-GLVKPSETLSLTCTVSGGSV---------SSYYWS-WIRQ-P-P-G-K--G-LE-WIGYIYG-------------SGTNY--N--P--SL--K---SRVTMSV-D---T-S--KN----Q-FSLKLNSVTA-ADTAVYYCARRQRVL-----------------------GYGYFDYWG-QGTTVTVSS"/>
    <s v="DIQ-MTQSPSSLSASVGDRVTITCRASQGI-----------SSWLA-WYQQ-K-P-G-K--A-PK-LLIYAA----------------STL--Q--S--GV--P---SRFSGSG-------S--GT----D-FTLTISSLQP-EDFATYYCQQSYS----------------------------TPPTFG-QGTKLEIK-"/>
    <s v="hv4"/>
    <s v="kv1"/>
    <n v="0.99739646999999998"/>
    <n v="0.99999994000000003"/>
    <n v="0.99995666999999999"/>
    <n v="1"/>
    <n v="1"/>
    <n v="1"/>
  </r>
  <r>
    <x v="832"/>
    <x v="2"/>
    <x v="2"/>
    <s v="EVQ-LQQSGP-ELVKPGASVKMSCKASGYTF---------TSNWMH-WVKQ-R-P-G-Q--G-LE-WIGWIYPG-----------SGSTNY--N--E--KF--K---GKATLTV-D---K-S--SS----T-AYMQLSSLTS-EDSAVYYCARGYG---------------------------YGLDYWG-QGTTLTVSS"/>
    <s v="DIL-MTQSPSSMSVSLGDTVSITCHASQGI-----------SSNIG-WLQQ-K-P-G-K--S-PK-RWIYQR----------------STL--I--P--GV--P---SRFSGSG-------S--GY----S-FTLTISSLQP-EDFALYYCQQSYS----------------------------TPRTFG-GGTKVEIK-"/>
    <s v="hv1"/>
    <s v="kv1"/>
    <n v="0.40874369999999999"/>
    <n v="5.4709184999999997E-3"/>
    <n v="6.6478710000000004E-11"/>
    <n v="0"/>
    <n v="0"/>
    <n v="0"/>
  </r>
  <r>
    <x v="833"/>
    <x v="2"/>
    <x v="2"/>
    <e v="#NAME?"/>
    <s v="EIV-LTQSPATLSLSPGERATLSCRASQSV-----------SSYLA-WYQQ-K-P-G-Q--A-PR-LLIYDA----------------SNR--A--T--GI--P---ARFSGSG-------S--GT----D-FTLTISSLEP-EDFAVYYCQQRSN----------------------------WPRTFG-QGTRLEIK-"/>
    <s v="hv1"/>
    <s v="kv3"/>
    <n v="0.99999979999999999"/>
    <n v="0.99999994000000003"/>
    <n v="0.16343851000000001"/>
    <n v="1"/>
    <n v="1"/>
    <n v="0"/>
  </r>
  <r>
    <x v="834"/>
    <x v="2"/>
    <x v="2"/>
    <s v="EVQ-LQQSGP-ELVKPGASVKMSCKASGYTF---------TSYWMH-WVKQ-K-P-G-Q--G-LE-WIGYINPN-----------SGGTAY--N--Q--KF--R---GRVTMTL-D---K-S--ST----T-AYMQL---KT-EDSAVYYCARDSS---------------------------GVDDYWG-QGTTVTVSS"/>
    <s v="--V-LTQPPS-VSVSPGQTARITCGGNNIGS---------KKVYVS-WYQQ-F-P-G-S--A-PK-LLIYDN----------------NKR--P--S--GV--P---DRFSASK-------S--GN----T-ASLTISGLQA-DDEADYYCQSYDSS--------------------------LSGWVFG-GGTKLTVL-"/>
    <s v="hv1"/>
    <s v="lv1"/>
    <n v="8.7286204000000006E-2"/>
    <n v="0.59225994000000004"/>
    <n v="0.40604076"/>
    <n v="0"/>
    <n v="1"/>
    <n v="0"/>
  </r>
  <r>
    <x v="835"/>
    <x v="2"/>
    <x v="2"/>
    <s v="EVQ-LVESGG-GLVQPGGSLRLSCAASGFTF---------SNYAMN-WVRQ-A-P-G-K--G-LE-WVARISYS------------GSTYY--A--D--SV--K---GRFTISR-D---N-A--KN----T-LYLQMNSLRA-EDTAVYYCAKDRYT--------------------------NSGDYWG-QGTLVTVSS"/>
    <s v="DIQ-MTQSPSSLSASVGDRVTITCRASQDV-----------STAVA-WYQQ-K-P-G-K--A-PK-LLIYSA----------------SFL--Y--S--GV--P---SRFSGSG-------S--GT----D-FTLTISSLQP-EDFATYYCQQHYT----------------------------TPPTFG-QGTKVEIK-"/>
    <s v="hv3"/>
    <s v="kv1"/>
    <n v="0.99969730000000001"/>
    <n v="0.85565524999999998"/>
    <n v="0.27813375000000001"/>
    <n v="1"/>
    <n v="1"/>
    <n v="0"/>
  </r>
  <r>
    <x v="836"/>
    <x v="2"/>
    <x v="2"/>
    <s v="QGQ-LVQSGA-EVKKPGASVKVSCKASGYTF---------TDYYIH-WVRQ-A-P-G-Q--G-LE-WMGIINPI-----------SGGTAY--A--Q--KF--Q---GRVTMTR-D---T-S--TS----T-VYMELSSLRS-EDTAVYYCARGGWISS---------------------TYYDGMDVWG-QGTTVTVSS"/>
    <s v="DIV-MTQSPDSLAVSLGERATINCKSSQSLLYS-----SNQKNYLA-WYQQ-K-P-G-Q--P-PK-LLVYAA----------------TDL--A--S--GV--P---SRFSGSG-------S--GT----D-FTLTISSLQA-EDVAVYYCQQYDN----------------------------LPRTFG-GGTKVEIK-"/>
    <s v="hv1"/>
    <s v="kv4"/>
    <n v="0.99989050000000002"/>
    <n v="0.99999970000000005"/>
    <n v="0.31490198000000003"/>
    <n v="1"/>
    <n v="1"/>
    <n v="0"/>
  </r>
  <r>
    <x v="837"/>
    <x v="2"/>
    <x v="2"/>
    <s v="EVQ-LVESGG-GLVQPGGSLRLSCAASGFTF---------SSYAMS-WVRQ-A-P-G-K--G-LE-WVSAINQVK----------GNEQA---------YL--K---GRATISR-D---N-S--KN----T-LYLQM---RA-EDTAVYYCARGL-----------------------------LRDYWG-QGTLVTVSS"/>
    <s v="SYE-LTQPPS-VSVAPGQTARITCGGDKN--------------YLG-WYQQ-K-P-G-T--A-PK-LLIYDG---------------NNKR--P--S--GV--P---DRFSGSI-----D-S--SN----S-ASLTISGLQS-EDEADYYCQTWDS----------------------------SLWVFG-GGTKLTVG-"/>
    <s v="hv3"/>
    <s v="lv3"/>
    <n v="0.99999945999999995"/>
    <n v="0.99986339999999996"/>
    <n v="2.9655167999999998E-4"/>
    <n v="1"/>
    <n v="1"/>
    <n v="0"/>
  </r>
  <r>
    <x v="838"/>
    <x v="2"/>
    <x v="2"/>
    <s v="QVQ-LQESGP-GLVKPSETLSLTCAVSGGSI---------SRYYWS-WIRQ-P-P-G-K--G-LE-WIGRIHST------------GYTNY--N--P--SL--K---SRVTISV-D---T-S--KN----Q-FSLKLSSVTA-ADTAVYYCARDF-----------------------------HPLFWG-QGTLVTVSS"/>
    <s v="DIQ-MTQSPSSLSASVGDRVTITCRASQTI-----------NNYLN-WYQQ-K-P-G-K--A-PK-LLIYAA----------------TSL--Q--S--GV--P---SRFSGSG-------S--GT----D-FTLTISSLQP-EDIATYYCQKYNS----------------------------IPPTFG-AGTKLELK-"/>
    <s v="hv4"/>
    <s v="kv1"/>
    <n v="0.99999830000000001"/>
    <n v="0.99922376999999996"/>
    <n v="0.89178765000000004"/>
    <n v="1"/>
    <n v="1"/>
    <n v="1"/>
  </r>
  <r>
    <x v="839"/>
    <x v="2"/>
    <x v="2"/>
    <s v="QVQ-LVQSGA-EVKKPGSSVKVSCKASGGTF---------SSYGIS-WVRQ-A-P-G-Q--G-LE-WMGGIIPI-----------FGTANY--A--Q--KF--Q---GRVTITA-D---E-S--TS----T-AYMELSSLRS-EDTAVYYCARARHGQ------------------------GESGDYWG-QGTLVTVSS"/>
    <s v="DIQ-LTQSPSSLSASVGDRVTITCRASQSI-----------SSYLN-WYQQ-K-P-G-K--A-PK-LLIYAA----------------SSL--Q--S--GV--P---SRFSGSG-------S--GT----E-FTLTISSLQP-EDFATYYCQQSYS----------------------------TPWTFG-QGTKVEIK-"/>
    <s v="hv1"/>
    <s v="kv1"/>
    <n v="0.99999994000000003"/>
    <n v="0.99999994000000003"/>
    <n v="0.83213400000000004"/>
    <n v="1"/>
    <n v="1"/>
    <n v="1"/>
  </r>
  <r>
    <x v="840"/>
    <x v="2"/>
    <x v="2"/>
    <s v="QVQ-LVQSGA-EVKKPGATVKLSCKASGYTF---------TSYAIH-WVRQ-A-P-G-Q--G-LE-WMGWINPS-----------NGGTSY--A--Q--KF--Q---GRVTMTR-D---T-S--IS----T-AYMELSGLRS-DDTAVYYCARGGYWYS---------------------STYGYMDVWG-QGTTVTVSS"/>
    <s v="-SA-LTQPAS-VSGSPGQSITISCTGTSSDVG--------AYNCVQ-WYQ--H-P-G-K--A-PK-LMIYGS---------------TEKR--P--S--GV--S---NRFSGSK-------S--GN----T-ASLTISGLQA-EDEADYYCCSYAG---------------------------SSTVVFG-GGTKLTVL-"/>
    <s v="hv1"/>
    <s v="lv2"/>
    <n v="0.99998430000000005"/>
    <n v="0.99999994000000003"/>
    <n v="0.99950974999999997"/>
    <n v="1"/>
    <n v="1"/>
    <n v="1"/>
  </r>
  <r>
    <x v="841"/>
    <x v="2"/>
    <x v="2"/>
    <s v="EVQ-LVQSGA-EVKKPGESLRISCKVSGYTF----------TDYIH-WVRQ-A-P-G-K--G-LV-WMGWINPN-----------SGGTKF--A--P--KF--Q---GRVTITA-D---K-S--TS----T-AYMELSSLRS-EDTAVYYCAREGY----------------------------WYDYWG-QGTLVTV--"/>
    <s v="DIQ-MTQSPSSLSASVGDRVTITCRASQSI-----------DSYLN-WYQQ-K-P-G-K--A-PK-LLIFHAA--------------STLQ--R--P--GI--P---ARFSGSG-------S--GT----D-FTLTISSLQP-EDFATYYCQQYS-----------------------------SPYTFG-QGTKVEIK-"/>
    <s v="hv1"/>
    <s v="kv1"/>
    <n v="0.99997309999999995"/>
    <n v="0.99520969999999997"/>
    <n v="0.86208445"/>
    <n v="1"/>
    <n v="1"/>
    <n v="1"/>
  </r>
  <r>
    <x v="842"/>
    <x v="2"/>
    <x v="2"/>
    <s v="EVQ-LVQSGA-EVKKPGESLKISCKGSGYSF----------SYWIS-WVRQ-M-P-G-K--G-LE-WMGRIDSD------------SYTTY--S--P--SL--K---GRFTISR-D---D-S---N----T-AYLQLTSLKS-EDTAMYYCARQHQG--------------------------ILPDYWG-QGTLVTVSS"/>
    <s v="DIQ-MTQSPSSLSASVGDRVTITCRASQDI-----------SSVLA-WYQQ-K-P-G-K--A-PK-LLIYDA----------------SNL--Q--S--GV--P---SRFSGSG-------S--GT----D-FTLTISSLQP-EDVATYYCQQGYS----------------------------FPITFG-QGTKVEIK-"/>
    <s v="hv5"/>
    <s v="kv1"/>
    <n v="0.98829889999999998"/>
    <n v="0.99987340000000002"/>
    <n v="0.99596430000000002"/>
    <n v="1"/>
    <n v="1"/>
    <n v="1"/>
  </r>
  <r>
    <x v="843"/>
    <x v="2"/>
    <x v="2"/>
    <s v="EVQ-LVESGG-GLVQPGGSLRLSCAASGFNI---------SSSSIH-WVRQ-A-P-G-K--G-LE-WVASIYSY-----------YGYTYY--A--D--SV--K---GRFTISA-D---T-S--KN----T-AYLQMNSLRA-EDTAVYYCARSDW---------------------------YGF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87879999999996"/>
    <n v="0.99933510000000003"/>
    <n v="0.99462139999999999"/>
    <n v="1"/>
    <n v="1"/>
    <n v="1"/>
  </r>
  <r>
    <x v="844"/>
    <x v="2"/>
    <x v="2"/>
    <s v="EVQ-LVESGG-GLVKPGGSLRLSCAASGFTF---------STYSMN-WVRQ-A-P-G-K--G-LE-WVSSISSS------------SSYIY--A--D--SV--K---GRFTISR-D---N-A--KN----S-LYLQMNSLRA-EDTAVYYCARG-------------------------------GQYWG-QGTLVTVSS"/>
    <s v="EIV-LTQSPGTLSLSPGERATLSCRASQSVS----------SSYLA-WYQQ-K-P-G-Q--A-PR-LLIYGA----------------SSR--A--T--GI--P---DRFSGSG-------S--GT----D-FTLTISRLEP-EDFAVYYCQQYGS----------------------------SPLTFG-QGTKVEIK-"/>
    <s v="hv3"/>
    <s v="kv3"/>
    <n v="0.99922279999999997"/>
    <n v="0.99999994000000003"/>
    <n v="0.99988370000000004"/>
    <n v="1"/>
    <n v="1"/>
    <n v="1"/>
  </r>
  <r>
    <x v="845"/>
    <x v="2"/>
    <x v="2"/>
    <s v="QVQ-LQQSGT-ELVRPGASVKLSCKASGYTF---------TSYWIR-WVKQ-R-P-G-Q--G-LE-WIGMIPYNG----------YTTEKY--N--Q--NF--K---DKATLTA-D---K-S--SS----T-AFMQLSSLTS-EDSAVYYCARERWY--------------------------RTSDYWG-QGTLVTVSA"/>
    <s v="DIQ-LTQSPSFLSASVGDRVTITCRASQSIG----------STFLA-WYQQ-K-P-G-K--A-PK-LLIYAA----------------SSL--Q--S--GV--P---SRFSGSG-------S--GT----D-FTLTISSLQP-EDFATYYCQQSYS----------------------------TPRTFG-GGTKLEIK-"/>
    <s v="hv1"/>
    <s v="kv1"/>
    <n v="4.0104486999999998E-6"/>
    <n v="0.99999994000000003"/>
    <n v="3.4300685000000001E-6"/>
    <n v="0"/>
    <n v="1"/>
    <n v="0"/>
  </r>
  <r>
    <x v="846"/>
    <x v="2"/>
    <x v="2"/>
    <s v="EVQ-LVESGG-GLVQPGGSLRLSCAASGFTF---------SSYGMH-WVRQ-A-P-G-K--G-LE-WVANINQD-----------GSEKYY--V--D--SV--K---GRFTISR-D---N-A--KN----S-LYLQMNSLRA-EDTAVYYCAREGYSGYP--------------------SGYLYYDYWG-QGTLVTVSG"/>
    <s v="DIQ-MTQSPSSLSASVGDRVTITCRSSQSI-----------SSYLN-WYQQ-K-P-G-K--A-PK-LLIYAA----------------SSL--Q--S--GV--P---SRFSGSG-------S--GT----D-FTLTISSLQP-EDFATYYCQQSYY---------------------------SFPFTFG-QGTKVEIK-"/>
    <s v="hv3"/>
    <s v="kv1"/>
    <n v="0.99881774000000001"/>
    <n v="0.99999994000000003"/>
    <n v="0.99750139999999998"/>
    <n v="1"/>
    <n v="1"/>
    <n v="1"/>
  </r>
  <r>
    <x v="847"/>
    <x v="2"/>
    <x v="2"/>
    <s v="QVQ-LQQSGP-GLVKPSQTLSLTCAISGDSV----------SSYWS-WIRQ-S-P-S-R--G-LE-WLASIWSG------------SNTYY--N--P--SL--R---SRVIISV-D---T-S--KN----Q-FSLKL---TA-ADTALYYCASYWY---------------------------EGWSYWG-QGTLVTVSS"/>
    <s v="-IV-MTQSPSSLSASVGDRVLTSCKSSQSI-----------SSYLN-WYQQ-K-P-G-K--A-PK-LLIYDA----------------SNL--E--T--GV--P---ARFSGSG-------S--GT----D-FTLTISSLQP-EDFAVYYCQQHWS----------------------------TPRTFG-QGTKVEIK-"/>
    <s v="hv4"/>
    <s v="kv1"/>
    <n v="0.99905390000000005"/>
    <n v="0.99992890000000001"/>
    <n v="7.2719405999999997E-5"/>
    <n v="1"/>
    <n v="1"/>
    <n v="0"/>
  </r>
  <r>
    <x v="848"/>
    <x v="2"/>
    <x v="2"/>
    <s v="QVQ-LQESGP-GLVRPSETLSLTCTVSGGSIT--------SYYTWG-WIRQ-P-P-G-K--G-LE-WIGSIYSG------------DSTYY--N--P--SL--K---SRVTISV-D---T-S--KN----Q-FSLKLSSVTA-ADTAVYYCARVYVRH-----------------------GDGYFDYWG-QGTLVTVSS"/>
    <s v="DIQ-MTQSPSSVSASVGDRVTITCRASQGI-----------SSWLA-WYQQ-K-P-G-K--A-PK-LLIYAA----------------STL--Q--S--GV--P---SRFSGSG-------S--GT----D-FTLTISSLQP-EDFATYYCQQLNS----------------------------SPWTFG-QGTKVEIK-"/>
    <s v="hv4"/>
    <s v="kv1"/>
    <n v="0.99999979999999999"/>
    <n v="0.99999994000000003"/>
    <n v="0.99981949999999997"/>
    <n v="1"/>
    <n v="1"/>
    <n v="1"/>
  </r>
  <r>
    <x v="849"/>
    <x v="2"/>
    <x v="2"/>
    <s v="QVQ-LQESGP-GLVKPSQTLSLTCTVSGGSI---------SSGSYY-WIRQ-P-P-G-K--G-LE-WIGYIYYN------------GSTNY--N--P--SL--R---SRVTMSV-D---T-S--KN----Q-FSLKLSSVTA-ADTAVYYCARLGPP-------------------------LYWFDPWG-QGTLVTVSS"/>
    <s v="-IQ-MTQSPSSLSASVGDRVTITCRASQDI-----------SNYLA-WYQQ-K-P-G-K--A-PK-LLIYAA----------------SSL--Q--S--GV--P---SRFSGSG-------S--GT----D-FTLTISSLQP-EDFATYYCLQHNW----------------------------SPQTFG-QGTRLEI--"/>
    <s v="hv4"/>
    <s v="kv1"/>
    <n v="0.99999994000000003"/>
    <n v="0.99999959999999999"/>
    <n v="0.52739530000000001"/>
    <n v="1"/>
    <n v="1"/>
    <n v="1"/>
  </r>
  <r>
    <x v="850"/>
    <x v="3"/>
    <x v="2"/>
    <s v="QVQ-LQESGP-GLVKPSQTLSLTCTVSGGSI---------SSSGYY-WIRQ-P-P-G-K--G-LE-WIGYIYYS------------GSTNY--N--P--SL--K---SRVTISV-D---T-S--KN----Q-FSLKLSSVTA-ADTAVYYCARLS-----------------------------SFDYWG-QGTLVTVSS"/>
    <s v="EIV-LTQSPGTLSLSPGERATLSCRASQSVS----------SSYLA-WYQQ-K-P-G-Q--A-PR-LLIYGA----------------SSR--A--T--GI--P---DRFSGSG-------S--GT----D-FTLTISRLEP-EDFAVYYCQQYGS----------------------------SPWTFG-QGTKVEIK-"/>
    <s v="hv4"/>
    <s v="kv3"/>
    <n v="0.99764454000000002"/>
    <n v="0.99999994000000003"/>
    <n v="0.99998849999999995"/>
    <n v="1"/>
    <n v="1"/>
    <n v="1"/>
  </r>
  <r>
    <x v="851"/>
    <x v="3"/>
    <x v="2"/>
    <s v="EVQ-LVESGG-GLVKPGGSLRLSCAASGFSF---------SDYAMS-WVRQ-A-P-G-K--G-LE-WVSGISWSG----------DSDTYY--A--D--SV--K---GRFTISR-D---N-S--KN----T-VFLQMNSLRA-EDTAIYYCARVWGYSYG--------------------YGYWYFDVWG-QGTTVTVSS"/>
    <s v="DIV-MTQSPDSLAVSLGERATINCKSSQSVLYS-----SNNKNYLA-WYQQ-K-P-G-Q--P-PK-LLIYWA----------------STR--E--S--GV--P---DRFSGSG-------S--GT----D-FTLTISSLQA-EDVAVYYCQQYYS---------------------------TPPYTFG-QGTKLEIK-"/>
    <s v="hv3"/>
    <s v="kv4"/>
    <n v="0.99999994000000003"/>
    <n v="0.99999994000000003"/>
    <n v="0.98940057000000003"/>
    <n v="1"/>
    <n v="1"/>
    <n v="1"/>
  </r>
  <r>
    <x v="852"/>
    <x v="3"/>
    <x v="2"/>
    <s v="QVQ-LQQSGP-GLVKPSQTLSLTCAISGDSV----------SSGNS-WIRQ-S-P-S-R--G-LE-WLGRIYA-------------SYWGY--A--S--WA--K---GRFTISR-D---D-S--KN----Q--YLQLTSLKS-EDTAMYYCARGL-----------------------------LRGYWG-QGTTVTVSS"/>
    <s v="DIV-MTQSHKFMSTSVGDRVSITCKASQNV-----------ITNLA-WYQQ-K-P-G-Q--A-PK-LLIYDA----------------SNL--A--S--GV--P---SRFSGGG-------S--GT----D-FTLTISGVQA-DDEAVYYCQQYDL----------------------------YPLTFG-SGTKLELK-"/>
    <s v="hv6"/>
    <s v="kv1"/>
    <n v="0.11521592999999999"/>
    <n v="2.9035194999999998E-7"/>
    <n v="1.1802831999999999E-2"/>
    <n v="0"/>
    <n v="0"/>
    <n v="0"/>
  </r>
  <r>
    <x v="853"/>
    <x v="3"/>
    <x v="2"/>
    <s v="QVH-LQESGP-GLVKPSETLSLTCTVSGGSVS--------SGYYWT-WIRQ-P-P-G-K--G-LE-WIGNIYGS------------GTTNY--N--P--SL--K---SRVTISV-D---T-S--KN----Q-FSLKLSSVTA-ADTAVYYCARGRYGY-----------------------GYWYFDVWG-PGTVVTVSS"/>
    <s v="DIQ-MTQSPASLSASVGETVTITCRASGNI-----------HNYLA-WYQQ-K-Q-G-K--S-PQ-LLVYAA----------------TNL--A--D--GV--P---SRFSGSG-------S--GT----Q-YSLKINSLQP-EDFGSYYCQHFWS----------------------------TPRTFG-QGTRLEIK-"/>
    <s v="hv4"/>
    <s v="kv1"/>
    <n v="0.99949690000000002"/>
    <n v="1.8906199999999999E-4"/>
    <n v="1.4816571000000001E-2"/>
    <n v="1"/>
    <n v="0"/>
    <n v="0"/>
  </r>
  <r>
    <x v="854"/>
    <x v="3"/>
    <x v="2"/>
    <s v="QVQ-LVQSGA-EVKKPGSSVKVSCKASGGSF---------NSYAIS-WVRQ-A-P-G-Q--G-LE-WMGGIIPI-----------LGIANY--A--Q--KF--Q---GRVTITA-D---K-S--TS----T-AYMELSSLRS-EDTAVYYCAREYG---------------------------GGYDYWG-QGTLVTVSS"/>
    <s v="DIQ-MTQSPSSVSASVGDRVTITCRASQGI-----------SSWLA-WYQQ-K-P-G-K--A-PK-LLIYA-----------------ASR--Y--T--GV--P---SRFSGSG-------S--GT----D-FTLTISSLQP-EDFATYYCQQYSS----------------------------YPLTFG-QGTKVEIK-"/>
    <s v="hv1"/>
    <s v="kv1"/>
    <n v="0.99999979999999999"/>
    <n v="0.99999919999999998"/>
    <n v="1.4337150999999999E-3"/>
    <n v="1"/>
    <n v="1"/>
    <n v="0"/>
  </r>
  <r>
    <x v="855"/>
    <x v="3"/>
    <x v="2"/>
    <s v="EVQ-LVESGG-RLVQPGRSLRLSCAASGFTF---------SSYAMH-WVRQ-A-P-G-K--G-LE-WVAAIRNS------------DYTYY--A--D--SV--K---GRFTISR-D---N-S--KN----T-LYLQMNSLRA-EDTAVYYCAKDW-----------------------------SYDVWG-QGTLVTVSS"/>
    <s v="DIQ-MTQSPSSLSAAVGDRVTITCRASQSI-----------SSYLN-WYQQ-K-P-G-K--A-PK-LLIYAA----------------SSL--Q--S--GV--P---SRFSGSG-------S--GT----D-FTLTISSLQP-EDFATYYCQQSYS---------------------------TLALTFG-GGTKVEIK-"/>
    <s v="hv3"/>
    <s v="kv1"/>
    <n v="0.99999519999999997"/>
    <n v="0.99999994000000003"/>
    <n v="5.3169484999999995E-4"/>
    <n v="1"/>
    <n v="1"/>
    <n v="0"/>
  </r>
  <r>
    <x v="856"/>
    <x v="3"/>
    <x v="2"/>
    <e v="#NAME?"/>
    <s v="DIQ-MTQSPSSLSASVGDRVTITCRASQSV-----------SSAVA-WYQQ-K-P-G-K--A-PK-LLIYSA----------------SSL--Y--S--GV--P---SRFSGSR-------S--GT----D-FTLTISSLQP-EDFATYYCQQFSL----------------------------YSFTFG-QGTKVEIK-"/>
    <s v="hv3"/>
    <s v="kv1"/>
    <n v="0.99999755999999995"/>
    <n v="0.99999636000000003"/>
    <n v="0.96492875"/>
    <n v="1"/>
    <n v="1"/>
    <n v="1"/>
  </r>
  <r>
    <x v="857"/>
    <x v="3"/>
    <x v="2"/>
    <s v="EVQ-LVESGG-GLVQPGGSLRLSCAASGFTF---------SSYWMN-WVRQ-A-P-G-K--G-LE-WVANINPED----------GGTTYY--A--D--SV--K---GRFTISR-D---N-S--KN----T-LYLQMNSLRA-EDTAVYYCARDRYYG-----------------------SSYYPDYWG-QGTLVTVSS"/>
    <s v="-VI-YTQSPSVLSASVGDRVTITCRASQSV-----------SSAVA-WYQQ-K-P-G-K--A-PK-LLIYSA----------------SFL--Y--S--GV--P---SRFSGSR-------S--GT----D-FTLTISSLQP-EDFATYYCQQSSS----------------------------SLITFG-QGTKVEIK-"/>
    <s v="hv3"/>
    <s v="kv1"/>
    <n v="0.91134939999999998"/>
    <n v="0.99999994000000003"/>
    <n v="8.5715919999999994E-3"/>
    <n v="1"/>
    <n v="1"/>
    <n v="0"/>
  </r>
  <r>
    <x v="858"/>
    <x v="3"/>
    <x v="2"/>
    <s v="QVQ-LVQSGA-EVKKSGESLKISCKGSGYSF---------TSYWIG-WVRQ-M-P-G-K--G-LE-WMGIIYPG-----------DSDTRY--S--P--SF--Q---GQVTISA-D---K-S--IS----T-AYLQWSSLKA-SDTAMYYCARHGS----------------------------SYDYWG-QGTLVTVSS"/>
    <s v="DIQ-MTQSPSSLSASVGDRVTITCRASQSI-----------SSYLN-WYQQ-K-P-G-K--A-PK-LLIYAA----------------SSL--Q--S--GV--P---SRFSGSG-------S--GT----D-FTLTISSLQP-EDFATYYCQQSYS---------------------------FPPFTFG-PGTKVDIK-"/>
    <s v="hv5"/>
    <s v="kv1"/>
    <n v="0.66519563999999998"/>
    <n v="0.99999994000000003"/>
    <n v="0.9999557"/>
    <n v="1"/>
    <n v="1"/>
    <n v="1"/>
  </r>
  <r>
    <x v="859"/>
    <x v="3"/>
    <x v="2"/>
    <s v="QVQ-LQQSGA-ELVKPGASVKLSCTASGFNI---------KDTYMH-WVKQ-R-P-E-Q--G-LE-WIGRIDPA-----------NGNTKY--D--P--KF--Q---GKATITA-D---T-S--SN----T-AYLQLSSLTS-EDTAVYYCARERGY--------------------------GYFDYWG-QGTTLTVSS"/>
    <s v="DIL-MTQSPSSMSVSLGERVTMTCKASQDI-----------NSYLA-WYQQ-K-P-G-K--S-PK-LLIYWA----------------STR--E--S--GV--P---DRFTGSG-------S--GT----D-FTLTISSVQA-EDLADYFCQQSYS----------------------------TPRTFG-GGTKLEIK-"/>
    <s v="hv1"/>
    <s v="kv4"/>
    <n v="5.252419E-5"/>
    <n v="4.3436134999999996E-6"/>
    <n v="0.72593640000000004"/>
    <n v="0"/>
    <n v="0"/>
    <n v="1"/>
  </r>
  <r>
    <x v="860"/>
    <x v="3"/>
    <x v="2"/>
    <s v="QVQ-LQQSGA-ELVKPGASVKLSCTASGFNI---------KDTYMH-WVKQ-R-P-E-Q--G-LE-WIGRIDPA-----------NGNTKY--D--P--KF--Q---GKATITA-D---T-S--SN----T-AYLQLSSLTS-EDTAVYYCVRPYYG--------------------------YAFDYWG-QGTSVTVSS"/>
    <s v="DVV-MTQSPSSMYASLGERVTITCKASQDI-----------SSYLA-WYQQ-K-P-G-Q--S-PK-LLIYWA----------------STR--E--S--GV--P---DRFTGSG-------S--GT----D-FTLTISSVQA-EDLAVYYCQNDYS----------------------------YPLTFG-AGTKLELK-"/>
    <s v="hv1"/>
    <s v="kv4"/>
    <n v="5.5808391999999997E-5"/>
    <n v="1.5845878E-6"/>
    <n v="3.3558590000000001E-3"/>
    <n v="0"/>
    <n v="0"/>
    <n v="0"/>
  </r>
  <r>
    <x v="861"/>
    <x v="3"/>
    <x v="2"/>
    <e v="#NAME?"/>
    <s v="-SV-LTQPPS-VSGAPGQRVTISCTGSSSNIG--------AGYDVH-WYQQ-L-P-G-T--A-PK-LLIYGN----------------SNR--P--S--GV--P---DRFSGSK-------S--GT----S-ASLAITGLQA-EDEADYYCQSYDR----------------------------SLSWFG-GGTKLTVL-"/>
    <s v="hv3"/>
    <s v="lv1"/>
    <n v="0.99999360000000004"/>
    <n v="0.99999994000000003"/>
    <n v="0.85352499999999998"/>
    <n v="1"/>
    <n v="1"/>
    <n v="1"/>
  </r>
  <r>
    <x v="862"/>
    <x v="3"/>
    <x v="2"/>
    <s v="QVQ-LVESGG-GVVQPGRSLRLSCAASGFTF---------SHYAMH-WVRQ-A-P-G-K--G-LE-WVAVIWYD-----------GSNTYY--A--D--SV--K---GRFTISR-D---N-S--KN----T-LYLQMNSLRA-EDTAVYYCARERG---------------------------HGGDYWG-QGTLVTVSS"/>
    <s v="DIQ-MTQSPSTLSASVGDRVTITCRASQSI-----------SSWLA-WYQQ-K-P-G-K--A-PK-LLIYAA----------------SSL--Q--S--GV--P---SRFSGSG-------S--GT----D-FTLTISSLQP-EDFATYYCQQSY-----------------------------YSYTFG-QGTKVEIK-"/>
    <s v="hv3"/>
    <s v="kv1"/>
    <n v="0.99996333999999998"/>
    <n v="0.99999994000000003"/>
    <n v="0.99996406000000004"/>
    <n v="1"/>
    <n v="1"/>
    <n v="1"/>
  </r>
  <r>
    <x v="863"/>
    <x v="3"/>
    <x v="2"/>
    <s v="EVQ-LVESGG-GLVQPGGSLRLSCAASGFNV---------SYYSIH-WVRQ-A-P-G-K--G-LE-WVASIYSS-----------SGSTSY--A--D--SV--K---GRFTISA-D---T-S--KN----T-AYLQMNSLRA-EDTAVYYCASYYSYAS---------------------GMYYYFDYWG-QGTLVTVSS"/>
    <s v="DIQ-MTQSPSSLSASVGDRVTITCRASQSV-----------SSAVA-WYQQ-K-P-G-K--A-PK-LLIYSA----------------SSL--Y--S--GV--P---SRFSGSR-------S--GT----D-FTLTISSLQP-EDFATYYCQQIWS---------------------------TFPITFG-QGTKVEIK-"/>
    <s v="hv3"/>
    <s v="kv1"/>
    <n v="0.99999979999999999"/>
    <n v="0.99999979999999999"/>
    <n v="0.99532240000000005"/>
    <n v="1"/>
    <n v="1"/>
    <n v="1"/>
  </r>
  <r>
    <x v="864"/>
    <x v="3"/>
    <x v="2"/>
    <s v="QVQ-LVQSGA-EVKKPGASVKVSCKASGYTF---------TGYYMH-WVRQ-A-P-G-Q--G-LE-WMGWINNS------------GGTNY--A--Q--KF--Q---GRVTMTR-D---T-S--IS----T-AYMEL---RS-DDTAVYYCARGYG----------------------------GYDYWG-QGTLVTVSS"/>
    <s v="DIQ-LTQSPSSLSASVGDRVTTLCRASKIS-----------KYSVS-WFQQ-K-P-G-K--A-PK-LLIYAA----------------SSL--Q--S--GV--P---SRFSGSG-------S--GT----D-FTLTISSLQP-EDFATYYCQQYNN----------------------------YPLTFG-GGTKVEIK-"/>
    <s v="hv1"/>
    <s v="kv1"/>
    <n v="0.99999709999999997"/>
    <n v="0.99999875000000005"/>
    <n v="1.5234708E-5"/>
    <n v="1"/>
    <n v="1"/>
    <n v="0"/>
  </r>
  <r>
    <x v="865"/>
    <x v="3"/>
    <x v="2"/>
    <s v="QVH-LQESGP-GVVKPSETLSLTCAVSGGSIS--------SGYYWG-WIRQ-P-P-G-K--G-LE-WIGEIYHS------------GSTNY--N--P--SL--K---SRVTISL-D---N-S--KN----Q-FSLKLTSVTA-ADTAVYYCARQY-----------------------------LGDYWG-QGTTVTVSS"/>
    <s v="DIV-MTQSPLSLSVTPGEPASISCRSSQSLLHS------NGYNYLD-WYLQ-K-P-G-Q--S-PQ-LLIYLG----------------SNR--A--S--GV--P---DRFSGSG-------S--GT----D-FTLKISRVEA-EDVGVYYCMQALQ----------------------------TPFTFG-PGTKVDIK-"/>
    <s v="hv4"/>
    <s v="kv2"/>
    <n v="0.99999994000000003"/>
    <n v="0.99999994000000003"/>
    <n v="0.94120349999999997"/>
    <n v="1"/>
    <n v="1"/>
    <n v="1"/>
  </r>
  <r>
    <x v="866"/>
    <x v="3"/>
    <x v="2"/>
    <e v="#NAME?"/>
    <s v="QSA-LTQPAS-VSGSPGQSITISCTGTSSDVG--------GYNYVS-WYQQ-H-P-G-K--A-PK-LIIYEV----------------TTR--P--S--GV--S---NRFSGSK-------S--GN----T-ASLTISGLQA-EDEADYYCSSYAG---------------------------NSLVVFG-GGTKLTVL-"/>
    <s v="hv3"/>
    <s v="lv2"/>
    <n v="0.99999325999999999"/>
    <n v="0.99999994000000003"/>
    <n v="1.409302E-21"/>
    <n v="1"/>
    <n v="1"/>
    <n v="0"/>
  </r>
  <r>
    <x v="867"/>
    <x v="3"/>
    <x v="2"/>
    <s v="EVQ-LVESGG-GLVKPGGSLRLSCSASGFEF---------SSYDMN-WVRQ-T-P-E-K--R-LE-WVAYISSG-----------GGST-Y--P--D--TV--K---GRFTISR-D---N-A--KN----T-LYLQM---KS-EDTAMYYCTRERWDG-----------------------WGPSFDYWG-QGTTLTVSS"/>
    <s v="DIQ-MTQSPSSLSASVGDRVTITCRASQSV-----------SSYLN-WYQQ-K-P-G-K--A-PK-LLIYAA----------------SSL--Q--S--GV--P---SRFSGSG-------S--GT----D-FTLTISSLQP-EDFATYYCQQANS----------------------------YPFTFG-PGTKVDIK-"/>
    <s v="hv3"/>
    <s v="kv1"/>
    <n v="1.6633293E-2"/>
    <n v="0.99999994000000003"/>
    <n v="4.6632854999999998E-4"/>
    <n v="0"/>
    <n v="1"/>
    <n v="0"/>
  </r>
  <r>
    <x v="868"/>
    <x v="3"/>
    <x v="2"/>
    <s v="QVQ-LQESGP-GLVKPSETLSLTCTVSGGSI---------SSYYWS-WIRQ-P-P-G-K--G-LE-WIGYIYYS------------GSTNY--N--P--SL--K---SRVTISV-D---T-S--KN----Q-FSLKLSSVTA-ADTAVYYCARTYVYGY----------------------GYGYFDLWG-PGTLVTVSS"/>
    <s v="--V-LTQPPS-VSGAPGQRVTISCTGSSGA-----------GYDVH-WYQQ-L-P-G-T--A-PK-LLIYSN----------------NQR--P--S--GV--P---DRFSGSK-------S--GT----S-ASLAITGLQS-EDEADYYCAAWDD----------------------------SLSGAG-FGTRLTVL-"/>
    <s v="hv4"/>
    <s v="lv1"/>
    <n v="0.99828004999999997"/>
    <n v="0.99980809999999998"/>
    <n v="0.64157355000000005"/>
    <n v="1"/>
    <n v="1"/>
    <n v="1"/>
  </r>
  <r>
    <x v="869"/>
    <x v="3"/>
    <x v="2"/>
    <s v="QVQ-LQQSGA-ELVKPGASVKLSCTASGFNI---------KDTYMY-WVKQ-R-P-E-Q--G-LE-WIGRIDPA-----------NGDTKY--D--P--KF--Q---GKATITA-D---T-S--SN----T-AYLQLSSLTS-EDTAVYYCVRPLYD-------------------------YYAMDYWG-QGTSVTVSS"/>
    <s v="DVV-MTQTPLSLPVSLGDQASISCRSSQSLVHS------NGNTYLE-WYLQ-K-P-G-Q--S-PK-LLIYKV----------------SNR--F--S--GV--P---DRFSGSG-------S--GT----D-FTLKISRVEA-EDLGVYFCSQSTH----------------------------VPFTFG-AGTKLELK-"/>
    <s v="hv1"/>
    <s v="kv2"/>
    <n v="3.0021425000000001E-4"/>
    <n v="2.0710437999999998E-6"/>
    <n v="0.99726250000000005"/>
    <n v="0"/>
    <n v="0"/>
    <n v="1"/>
  </r>
  <r>
    <x v="870"/>
    <x v="3"/>
    <x v="2"/>
    <s v="-VQ-LQQSGA-ELVKPGASVKLSCTASGFNI---------KDTYMY-WVKQ-R-P-E-Q--G-LE-WIGRIDPA-----------NGDTKY--D--P--KF--Q---GKATITT-D---T-F--SN----T-AYLQLSSLTS-EDTAVYYCVRPLYD-------------------------YYAMDYWG-QGTSVTVSS"/>
    <s v="DIL-LTQSPAILSVSPGERVSFSCRASQSI-----------GTDIH-WYQQ-R-T-N-E--S-PR-LLIKYA----------------SES--I--S--GI--P---SRFSGSG-------S--GT----D-FTLSINSVES-EDIADYYCQQSNR----------------------------WPFTFG-SGTKLEIK-"/>
    <s v="hv1"/>
    <s v="kv3"/>
    <n v="7.0468439999999994E-5"/>
    <n v="1.3715816000000001E-6"/>
    <n v="0.93479073000000001"/>
    <n v="0"/>
    <n v="0"/>
    <n v="1"/>
  </r>
  <r>
    <x v="871"/>
    <x v="3"/>
    <x v="2"/>
    <s v="QVQ-LQESGP-GLVKPSETLSLTCTVSGGSVS-------SGGYWWS-WIRQ-P-P-G-K--G-LE-WIGEIYYN------------GDTNY--N--P--SL--K---SRVTISV-D---T-S--KN----Q-FSLKLSSVTA-ADTAVYYCARHGVSP------------------------TGYFDHWG-QGTLVTVSS"/>
    <s v="DIV-LTQSPSSKSASVGDRVTITCRASQGI-----------SNYLA-WYQQ-K-P-G-K--A-PK-LLIYAA----------------SSL--Q--S--GV--P---SRFSGSG-------S--GT----D-FTLTISSLQP-EDFATYYCQQYSS----------------------------YPLTFG-GGTKVEIK-"/>
    <s v="hv4"/>
    <s v="kv1"/>
    <n v="0.99983716"/>
    <n v="0.99999994000000003"/>
    <n v="0.121871665"/>
    <n v="1"/>
    <n v="1"/>
    <n v="0"/>
  </r>
  <r>
    <x v="872"/>
    <x v="3"/>
    <x v="2"/>
    <s v="QVQ-LQQSGP-ELVKPGASVKISCKASGYSF---------TSYWIM-WVKQ-R-P-G-K--G-LE-WIGYINPS-----------SGNTK---N--Q--KF--QK--LKATLTV-D---K-S--SS----T-AYMQI-TLRS-EDTSIYYCASGYRQ-------------------------YDGFDIWG-QGTTVTVSS"/>
    <s v="DIQ-MTQTTSSLSASLGDRVTISCRASQDI-----------SNYLN-WYQQ-K-P-D-G--T-VK-LLIYYT----------------SRL--H--S--GV--P---SRFSGSG-------S--GT----D-YSLTISNLEQ-EDIATYFCQQGNT----------------------------LPWTFG-GGTKLEIK-"/>
    <s v="hv1"/>
    <s v="kv1"/>
    <n v="0.87222900000000003"/>
    <n v="3.5242294000000002E-9"/>
    <n v="2.7482053999999999E-6"/>
    <n v="1"/>
    <n v="0"/>
    <n v="0"/>
  </r>
  <r>
    <x v="873"/>
    <x v="3"/>
    <x v="2"/>
    <e v="#NAME?"/>
    <s v="DIV-MTQSPSSLAVSAGEKVTMSCKSSQSVLSS-----RNQKNYLA-WYQQ-K-P-G-Q--P-PK-LLIYWA----------------STR--E--S--GV--P---DRFTGSG-------S--GT----D-FTLTISSVKA-EDLAVYYCQQYYS----------------------------YPLTFG-AGTKLELK-"/>
    <s v="hv4"/>
    <s v="kv4"/>
    <n v="0.99999994000000003"/>
    <n v="4.0053374999999997E-5"/>
    <n v="1.6180487E-2"/>
    <n v="1"/>
    <n v="0"/>
    <n v="0"/>
  </r>
  <r>
    <x v="874"/>
    <x v="3"/>
    <x v="2"/>
    <e v="#NAME?"/>
    <s v="DIQ-MTQSPSSLSASVGDRVTITCQASQDI-----------SNYLN-WYQQ-K-P-G-K--A-PK-LLIYDA----------------SNL--E--T--GV--P---SRFSGSG-------S--GT----D-FTFTISSLQP-EDIATYYCQQYDN----------------------------LPLTFG-GGTKVEIK-"/>
    <s v="hv3"/>
    <s v="kv1"/>
    <n v="0.99999959999999999"/>
    <n v="0.99999994000000003"/>
    <n v="8.5550689999999999E-2"/>
    <n v="1"/>
    <n v="1"/>
    <n v="0"/>
  </r>
  <r>
    <x v="875"/>
    <x v="3"/>
    <x v="2"/>
    <s v="EVQ-LVESGG-GLVQPGGSLRLSCAASGFNV---------SYYSIH-WVRQ-A-P-G-K--G-LE-WVASIYSS-----------SGSTYY--A--D--SV--K---GRFTISA-D---T-S--KN----T-AYLQMNSLRA-EDTAVYYCARWGSLY-----------------------DGGAMDYWG-QGTLVTVSS"/>
    <s v="DVV-MTQSPLSLPVTPGEPASISCRSSQSLLHS------NGYNYLD-WYLQ-K-P-G-Q--S-PQ-LLIYLG----------------SNR--A--S--GV--P---DRFSGSG-------S--GT----D-FTLKISRVEA-EDVGVYYCMQALQ----------------------------TPGTFG-QGTKVEIK-"/>
    <s v="hv3"/>
    <s v="kv2"/>
    <n v="0.99999970000000005"/>
    <n v="0.99999994000000003"/>
    <n v="0.40088487"/>
    <n v="1"/>
    <n v="1"/>
    <n v="0"/>
  </r>
  <r>
    <x v="876"/>
    <x v="3"/>
    <x v="2"/>
    <s v="QVQ-LKESGP-GLVAPSQSLSITCTVSGFSL---------TNYGVH-WVRQ-P-P-G-K--G-LE-WLGVIWAG------------GSTDY--N--A--AF--GS--VKSRISR-DS--N-A--KN----M-LYM---------DTATYYCARDRG----------------------------YFDYWG-QGTLVTVSS"/>
    <s v="DIQ-MTQSPSSLSASLGDRVTITCKASQDI-----------NNYLN-WYQQ-K-P-G-K--A-PK-LLIYAA----------------SSL--Q--S--GV--P---SRFSGSG-------S--GT----D-FTLTISSLQP-EDFATYYCQQSYS---------------------------TLALTFG-GGTKVEIK-"/>
    <s v="hv4"/>
    <s v="kv1"/>
    <n v="5.7851623000000003E-5"/>
    <n v="0.99999994000000003"/>
    <n v="7.8678339999999999E-10"/>
    <n v="0"/>
    <n v="1"/>
    <n v="0"/>
  </r>
  <r>
    <x v="877"/>
    <x v="3"/>
    <x v="2"/>
    <s v="QVQ-LVQSGA-EVKKPGSSVRVSCKASGGTF---------NSYAIS-WVRQ-A-P-G-Q--G-LE-WMGGIIPVL----------GIMANY--A--Q--KF--Q---GRVTITA-D---E-S--TS----T-AYMELSSLRS-EDTAVYYCARSVQGG-----------------------FYGDSDYWG-QGTLVTVSS"/>
    <s v="DIQ-LTQSPSSLSASVGDRVTITCRASQGI-----------RDYLN-WYQQ-K-P-G-K--A-PK-LLIYAA----------------SSL--Q--S--GV--P---SRFSGSG-------S--GT----D-FTLTISSLQP-EDFATYYCQQSYS----------------------------TPWTFG-QGTKVEIK-"/>
    <s v="hv1"/>
    <s v="kv1"/>
    <n v="0.99999994000000003"/>
    <n v="0.99999994000000003"/>
    <n v="0.30415039999999999"/>
    <n v="1"/>
    <n v="1"/>
    <n v="0"/>
  </r>
  <r>
    <x v="878"/>
    <x v="3"/>
    <x v="2"/>
    <s v="DVQ-LVESGG-GVVQPGGSLRLSCAASGFNF---------SNYGMQ-WVRQ-A-P-G-K--G-LE-WVAVISYD-----------GSNFYY--A--D--SV--K---GRFTISR-D---N-A--KN----S-LYLQMNSLRA-EDTAVYYCARSAGG--------------------------SAMDYWG-QGTLVTVSS"/>
    <s v="DIV-MTQSPDSLAVSLGERATINCKSSQSVLYS-----SNNKNYLA-WYQQ-K-P-G-Q--P-PK-LLIYWA----------------STR--E--S--GV--P---DRFSGSG-------S--GT----D-FTLTISSLQA-EDVAVYYCQQYYS----------------------------TPYTFG-QGTKLEIK-"/>
    <s v="hv3"/>
    <s v="kv4"/>
    <n v="0.99999979999999999"/>
    <n v="0.99999994000000003"/>
    <n v="8.1348110000000001E-2"/>
    <n v="1"/>
    <n v="1"/>
    <n v="0"/>
  </r>
  <r>
    <x v="879"/>
    <x v="3"/>
    <x v="2"/>
    <s v="QVQ-LQQSGA-ELMKPGASVKISCKTSGYTF----------TYWIE-WVKQ-R-P-G-H--G-LE-WIGQIYPG-----------DGDTKY--N--G--KF--K---GKATLTV-D---R-S--SS----T-AYMELSSLTS-EDSAVYYCARGGW---------------------------YGFAYWG-QGTTLTVSS"/>
    <s v="DIV-MTQSQKFMSTSVGDRVSITCKASQNV-----------RTSVA-WYQQ-K-P-G-Q--S-PK-ALIYSA----------------SYR--Y--S--GV--P---DRFTGSG-------S--GT----D-FTLTIS-VQA-EDLADYFCQQSYS----------------------------TPRTFG-GGTKLEIK-"/>
    <s v="hv1"/>
    <s v="kv1"/>
    <n v="0.31943359999999998"/>
    <n v="1.8712591999999999E-5"/>
    <n v="3.8302207E-4"/>
    <n v="0"/>
    <n v="0"/>
    <n v="0"/>
  </r>
  <r>
    <x v="880"/>
    <x v="3"/>
    <x v="2"/>
    <s v="QVQ-LQQSGA-ELVKPGASVKLSCTASGFNI---------KDTYIH-WVKQ-R-P-E-Q--G-LE-WIGRIDPA------------NHTGY--T--Q--KF--K---GKATITA-D---T-S--SN----T-AYLQLSSLTS-EDTAVYYCVRPLYD-------------------------YYAMDYWG-QGTSVTVSS"/>
    <s v="DVV-MTQSQKFMSTSVGDRVSITCKASQNV-----------GTNVA-WYQQ-K-P-G-Q--S-PK-LLIYWA----------------STR--H--T--GV--P---DRFTGSG-------S--GT----D-FTLTISNVQS-EDLADYFCHQYSS----------------------------YPLTFG-GGTKLEIK-"/>
    <s v="hv1"/>
    <s v="kv6"/>
    <n v="4.2036384999999997E-3"/>
    <n v="1.8765737E-8"/>
    <n v="0.35671700000000001"/>
    <n v="0"/>
    <n v="0"/>
    <n v="0"/>
  </r>
  <r>
    <x v="881"/>
    <x v="3"/>
    <x v="2"/>
    <s v="EVQ-LVESGG-GLVQPGGSLRLSCAASGFNV---------SSYSIH-WVRQ-A-P-G-K--G-LE-WVASIYSY-----------SGSTYY--A--D--SV--K---GRFTISA-D---T-S--KN----T-AYLQMNSLRA-EDTAVYYCAR---------------------------------QIWG-QGTLVTVSS"/>
    <s v="DIQ-MTQSPSSLSASVGDRVTITCRASQDV-----------STAVA-WYQQ-K-P-G-K--A-PK-LLIYSA----------------SFL--Y--S--GV--P---SRFSGSG-------S--GT----D-FTLTISSLQP-EDFATYYCQQYSY----------------------------HPPTFG-QGTKVEIK-"/>
    <s v="hv3"/>
    <s v="kv1"/>
    <n v="0.99998430000000005"/>
    <n v="0.73830340000000005"/>
    <n v="0.63248979999999999"/>
    <n v="1"/>
    <n v="1"/>
    <n v="1"/>
  </r>
  <r>
    <x v="882"/>
    <x v="3"/>
    <x v="2"/>
    <s v="QVQ-LVQSGA-EVKKPGASVKVSCKASGYTF---------TSYGIS-WVRQ-A-P-G-Q--G-LE-WMGWISAY-----------NGNTNY--A--Q--KL--Q---GRVTMTT-D---T-S--TS----T-AYMELRSLRS-DDTAVYYCARGGWISLYY------------------DSSYYYMDVWG-QGTTVTVSS"/>
    <s v="DIQ-MTQSPSSLSASVGDRVTITCQASQDI-----------SNYLN-WYQQ-K-P-G-K--A-PK-LLIYAA----------------SSL--Q--S--GV--P---SRFSGSG-------S--GT----D-FTLTINSLQP-EDFATYYCQQSYS----------------------------TPLTFG-GGTKVEIK-"/>
    <s v="hv1"/>
    <s v="kv1"/>
    <n v="0.98608580000000001"/>
    <n v="0.99999994000000003"/>
    <n v="0.47209325000000002"/>
    <n v="1"/>
    <n v="1"/>
    <n v="0"/>
  </r>
  <r>
    <x v="883"/>
    <x v="3"/>
    <x v="2"/>
    <s v="-VQ-LQQSGA-ELVKPGASVKLSCTASGFNI---------KDTYMH-WVKQ-R-P-E-H--G-LE-WIGRIDPA-----------NGDTKY--D--P--KF--Q---GKATMTA-D---T-S--SN----T-AYLQLSSLTS-EDTAVYYCARERGDG------------------------YGYFDYWG-QGTSVTVSS"/>
    <s v="DIV-MTQSHKFMSTSVGDRVSITCKASQSI------------DYVS-WYQQ-K-P-G-K--A-PN-LLIYAA----------------SSL--A--S--GV--P---SRFSGGG-------S--GA----D-YSLTISSVQA-EDLALYYCQQHYS----------------------------TPRTFG-GGTKLEIK-"/>
    <s v="hv1"/>
    <s v="kv1"/>
    <n v="1.1777326999999999E-3"/>
    <n v="2.1821352999999999E-7"/>
    <n v="1.7218292999999999E-3"/>
    <n v="0"/>
    <n v="0"/>
    <n v="0"/>
  </r>
  <r>
    <x v="884"/>
    <x v="3"/>
    <x v="2"/>
    <s v="QVQ-LQESGP-GLVKPSETLSLTCTVSGGSI---------SNYYWT-WIRQ-S-P-G-K--G-LE-WIGYIYYS------------GSTYY--N--P--SL--K---SRVTISV-D---T-S--KN----Q-FSLRLS---A-ADTAVYYCARRGE----------------------------VVDVWG-KGTTVTVSS"/>
    <s v="DIQ-MTQSPSSLSAAVGDRVTITCQASQNID----------TKYLN-WYQQ-K-P-G-K--A-PK-LLIYDA----------------SNL--Q--S--GV--P---SRFSGSG-------S--GT----D-FTLTISSLQP-EDFATYYCQQSYS----------------------------TPFTFG-PGTKVEIK-"/>
    <s v="hv4"/>
    <s v="kv1"/>
    <n v="0.99999994000000003"/>
    <n v="0.99999994000000003"/>
    <n v="0.89962419999999998"/>
    <n v="1"/>
    <n v="1"/>
    <n v="1"/>
  </r>
  <r>
    <x v="885"/>
    <x v="3"/>
    <x v="2"/>
    <s v="QVQ-LQQSGP-GLVKPSQTLSLTCAISGDSV---------SSNWWS-WIRQ-S-P-G-K--G-LE-WIGYIYYS------------GSTYY--N--P--SL--K---SRTSIS--D---T-S--KN----Q-VSLKLNSVTA-ADTAVYYCARHGYY--------------------------YDLDYWG-QGTSVTVSS"/>
    <s v="DIQ-MTQSSSSFSVSLGDRVTISCKASQS-------------VDYA-WNQQ-K-P-G-K--S-PK-LWYQS-----------------L-N--Q--S--GV--P---SRFSGSG-------S--GT----D-FTLTISSLQP-EDFATYYCQQSYS----------------------------TPPTFG-GGTKLEIK-"/>
    <s v="hv4"/>
    <s v="kv1"/>
    <n v="0.99439089999999997"/>
    <n v="1.0240140999999999E-2"/>
    <n v="1.2615717999999999E-6"/>
    <n v="1"/>
    <n v="0"/>
    <n v="0"/>
  </r>
  <r>
    <x v="886"/>
    <x v="3"/>
    <x v="2"/>
    <s v="EVQ-LVESGG-GLVQPGGSLSLSCAASGFTF---------SNYAMN-WVRQ-A-P-G-K--G-LE-WVSVSYS-------------GSTYY--A--A--SV--K---GRFTISR-D---N-S--KN----T-LYLQM---RA-EDTAVYYCAKVTGY--------------------------VAMDYWG-QGTLVTVSS"/>
    <s v="DIV-MTQSPSSLSASVGDRVTITCRASQSI-----------SSYLN-WYQQ-K-P-G-K--A-PK-LLIYAA----------------SSL--Q--S--GV--P---SRFSGSG-------S--GT----D-FTLTISSLQP-EDFAAYYCQQSYS----------------------------TPWTFG-QGTKVEIK-"/>
    <s v="hv3"/>
    <s v="kv1"/>
    <n v="0.99999934000000001"/>
    <n v="0.99999994000000003"/>
    <n v="1.3155501E-3"/>
    <n v="1"/>
    <n v="1"/>
    <n v="0"/>
  </r>
  <r>
    <x v="887"/>
    <x v="3"/>
    <x v="2"/>
    <s v="QVQ-LQESGP-GLVKPSQTLSLTCTVSGGSIS-------SGSYYWS-WIRQ-P-P-G-K--G-LE-WIGSIYYS------------GSTYY--N--P--SL--K---SRVTISV-D---T-S--KN----Q-FSLKLSSVTA-ADTAVYYCARLKYFD-----------------------HWYTSDYWG-KGTLVTVSS"/>
    <s v="QAV-VTQESA-LTTSPGETVTLTCRSSTGAVT--------TINFAN-WVQE-K-P-D-H--L-FT-GLIGGT----------------NNR--A--P--GV--P---ARFSGSR----------------D-YSLTISSLES-EDTATYFCQQGY-----------------------------TPLTFG-AGTKLELK-"/>
    <s v="hv4"/>
    <s v="kv3"/>
    <n v="0.99999970000000005"/>
    <n v="5.8669804000000002E-7"/>
    <n v="3.6625046999999998E-11"/>
    <n v="1"/>
    <n v="0"/>
    <n v="0"/>
  </r>
  <r>
    <x v="888"/>
    <x v="3"/>
    <x v="2"/>
    <s v="QVQ-LVQSGA-EVKKPGASVKVSCKASGYTF---------TGYYMH-WVRQ-A-P-G-Q--G-LE-WMGWINNS------------GGTNY--A--Q--KF--Q---GRVTMTR-D---T-S--IS----T-AYMELSRLRS-DDTAVYYCARGGWYG------------------------SSPMDYWG-QGTLVTVSS"/>
    <s v="EIV-LTQSPGTLSLSPGERATLSCRASQSVS----------SSYLA-WYQQ-K-P-G-Q--A-PR-LLIYGA----------------SSR--A--T--GI--P---DRFSGSG-------S--GT----D-FTLTISRLEP-EDFAVYYCQQYGS---------------------------SGTITFG-QGTKVEIK-"/>
    <s v="hv1"/>
    <s v="kv3"/>
    <n v="0.99999696000000005"/>
    <n v="0.99999994000000003"/>
    <n v="0.99999360000000004"/>
    <n v="1"/>
    <n v="1"/>
    <n v="1"/>
  </r>
  <r>
    <x v="889"/>
    <x v="3"/>
    <x v="2"/>
    <s v="QLQ-LQESGP-GLVKPSQTLSLTCTVSGFSL---------TSYGVH-WVRQ-P-P-G-K--G-LE-WLGVIWGD------------GNTDY--N--S--AL--K---SRLSISK-D---N-S--QS------ISLQVSLEAT-ADTATYYCAIKDGQHNH-------------------SWWANWFDVWG-AGTTVTVSS"/>
    <s v="DVL-MTQTPLSLPVSLGDQASISCRSSQNG-----------NTYLE-WYLQ-K-P-G-Q--S-PK-LLIYKV----------------SNR--F--S--GV--P---DRFSGSG-------S--GT----D-FTLKINRVEA-EDLGVYYCFQGSH----------------------------VPWTFG-GGTKLEIK-"/>
    <s v="hv2"/>
    <s v="kv2"/>
    <n v="4.0112669999999998E-6"/>
    <n v="2.8396747E-7"/>
    <n v="3.4810696E-3"/>
    <n v="0"/>
    <n v="0"/>
    <n v="0"/>
  </r>
  <r>
    <x v="890"/>
    <x v="3"/>
    <x v="2"/>
    <s v="QVQ-LVQSGA-EVKKPGASVKVSCKASGYTF---------TGYYMH-WVRQ-A-P-G-Q--G-LE-WMGWINNS------------GGTNY--A--Q--KF--Q---GRVTMTR-D---T-S--IS----T-AYMELSRLRS-DDTAVYYCARGGWIS-----------------------LYYDSSYWG-QGTLVTVSS"/>
    <s v="SYE-LTQPPS-VSVSPGQTARISCSGNIIN------------YDVS-WYQQ-H-P-G-K--A-PK-LMIYDV----------------SDR--P--S--GI--P---ERFSGSN-------S--GN----T-ATLTISGTQA-MDEADYYCQAWDT---------------------------SDSVVFG-GGTKLTVL-"/>
    <s v="hv1"/>
    <s v="lv3"/>
    <n v="0.99999780000000005"/>
    <n v="0.97828150000000003"/>
    <n v="0.99889386000000002"/>
    <n v="1"/>
    <n v="1"/>
    <n v="1"/>
  </r>
  <r>
    <x v="891"/>
    <x v="3"/>
    <x v="2"/>
    <s v="QVQ-LQQSGA-ELARPGASVKLSCKASGYTF---------TNYWMY-WVKQ-R-P-G-Q--G-LE-WIGWIFYP-----------GDYTEY--N--E---F--K---GKATLTA-D---K-S--SS----T-AYMQLTSLTS-EDSAVYYCARSRG---------------------------YAFDYWG-QGTTLTVSS"/>
    <s v="DIL-LTQSPAILSVSPGERVSFSCRASQSI-----------GTSIH-WYQQ-R-T-N-G--S-PR-LLIKYA----------------SES--I--S--GI--P---SRFSGSG-------S--GT----D-FTLSINSVES-EDIANYYCQQSNR----------------------------WPFTFG-SGTKLEIK-"/>
    <s v="hv1"/>
    <s v="kv3"/>
    <n v="1.3402282999999999E-2"/>
    <n v="6.0782636E-6"/>
    <n v="0.23968300000000001"/>
    <n v="0"/>
    <n v="0"/>
    <n v="0"/>
  </r>
  <r>
    <x v="892"/>
    <x v="3"/>
    <x v="2"/>
    <e v="#NAME?"/>
    <s v="DIQ-MTQSPSSLSASVGDRVTITCRASQSV-----------SSAVA-WYQQ-K-P-G-K--A-PK-LLIYSA----------------SYR--Y--T--GV--P---SRFSGSG-------S--GT----D-FTLTISSLQP-EDFATYYCQQSY-----------------------------YPYTFG-QGTKVEIK-"/>
    <s v="hv3"/>
    <s v="kv1"/>
    <n v="0.99999959999999999"/>
    <n v="0.99999610000000005"/>
    <n v="0.97562199999999999"/>
    <n v="1"/>
    <n v="1"/>
    <n v="1"/>
  </r>
  <r>
    <x v="893"/>
    <x v="3"/>
    <x v="2"/>
    <s v="EVQ-LVESGG-GLVQPGRSLRLSCAASGFTF---------DDYAIH-WVRQ-A-P-G-K--G-LE-WVSGIDSSS---------SSSYIDY--A--D--SV--K---GRFTISA-D---T-S--KN----T-AYLQMNSLRA-EDTAVYYCARWY-----------------------------YYWYWG-QGTLVTVSS"/>
    <s v="DIQ-MTQSPSSLSASVGDRVTITCQASQDI-----------RNNLN-WYQQ-K-P-G-K--A-PK-LLIYAA----------------SSL--Q--S--GV--P---SRFSGSG-------S--GT----D-FTLTISSLQP-EDFATYYCQQYI------------------------------QWTFG-QGTKVEIK-"/>
    <s v="hv3"/>
    <s v="kv1"/>
    <n v="0.99999994000000003"/>
    <n v="0.99999660000000001"/>
    <n v="0.45547932000000002"/>
    <n v="1"/>
    <n v="1"/>
    <n v="0"/>
  </r>
  <r>
    <x v="894"/>
    <x v="3"/>
    <x v="2"/>
    <s v="EVQ-LVESGG-GLVKPGGSLKLSCAASGFTF---------SNYAMS-WVRQ-T-P-E-K--R-LE-WVAYISSG-----------GGYTYY--P--D--TV--K---GRFTISR-D---N-A--KN----T-LYLQMSSLKS-EDTAMYYCARRGDYF-----------------------GGYAAVYWG-QGTTLTVSS"/>
    <s v="QAV-VTQEPS-FAVSVGGTVT-NCVKSSQYII--------DYDYVS-WYQQ-R-P-E-Q--S-PK-RVMVV-----------------IYD--T--S--GI--P---ERFSGSN-------S--GN----T-ATLTISRVEA-EDAATYYCQNEYG---------------------------VVPLTFG-GGTKLTVL-"/>
    <s v="hv3"/>
    <s v="lv8"/>
    <n v="2.1537599999999998E-3"/>
    <n v="9.2941010000000008E-3"/>
    <n v="1.8188771E-3"/>
    <n v="0"/>
    <n v="0"/>
    <n v="0"/>
  </r>
  <r>
    <x v="895"/>
    <x v="3"/>
    <x v="2"/>
    <s v="QVH-LQESGP-GLVKPSETLSLTCTVSGGSI---------SSGYYW-WIRQ-P-P-G-K--G-LE-WIGEIYHS------------GSTNY--N--P--SL--K---SRVTISV-D---T-S--KN----Q-FSLKLSSVTA-ADTAVYYCARGGYY--------------------------NILDVWG-QGTTVTVSS"/>
    <s v="-LA-LTQPPS-VSVSPGQTARITCSGDTLG-----------SKYVS-WYQQ-K-P-G-Q--A-PV-LVIYKD----------------SER--P--S--GI--P---ERFSGSS-------S--GT----T-VTLTISGVQA-EDEADYYCQSADSFPF----------------------GGGTRVLFG-GGTKLTVL-"/>
    <s v="hv4"/>
    <s v="lv3"/>
    <n v="0.99999709999999997"/>
    <n v="0.99999994000000003"/>
    <n v="1.4510049000000001E-2"/>
    <n v="1"/>
    <n v="1"/>
    <n v="0"/>
  </r>
  <r>
    <x v="896"/>
    <x v="3"/>
    <x v="2"/>
    <s v="QVH-LQESGP-GLVKPSETLSLTCTVSGGSIS--------SGYYWG-WIRQ-P-P-G-K--G-LE-WIGSISY-------------TGTNY--N--P--SL--K---SRVTISV-D---T-S--KN----Q-FSLKLSSVTA-ADTAVYYCATDGYY-------------------------GTMRDVWG-KGTT-----"/>
    <s v="QIV-LSQSPSFLSASVGDRITITCRASQGK------------NFLA-WYQQ-K-P-G-K--A-PK-LLIYDA----------------SSL--E--S--GV--P---SRFSGSG-------S--GT----E-FTLTISSLQP-DDFATYYCQQYKY----------------------------SPTTFG-PGTKVDIK-"/>
    <s v="hv4"/>
    <s v="kv1"/>
    <n v="0.99999994000000003"/>
    <n v="0.99999994000000003"/>
    <n v="0.5497763"/>
    <n v="1"/>
    <n v="1"/>
    <n v="1"/>
  </r>
  <r>
    <x v="897"/>
    <x v="3"/>
    <x v="2"/>
    <s v="QVQ-LQESGP-GLVKPSETLSLTCNVSGHLT---------NSYYWS-WIRQ-P-P-G-K--G-LE-WIGYIYYS------------GSTSY--N--P--SL--K---SRVTISR-D---T-S---N----Q-FSLKL---TA-ADTAVYYCARIYY---------------------------GYLVYWG-QGTLVTVSS"/>
    <s v="EIV-MTQSPATLSLSPGERATLSCRASQSV-----------SSYLA-WYQQ-K-P-G-Q--A-PR-LLIYDA----------------SNR--A--T--GI--P---ARFSGSG-------S--GT----D-FTLTISSLEP-EDFAVYYCQQYG-----------------------------SSPTFG-QGTKVEIK-"/>
    <s v="hv4"/>
    <s v="kv3"/>
    <n v="0.99989490000000003"/>
    <n v="0.99999919999999998"/>
    <n v="0.74384550000000005"/>
    <n v="1"/>
    <n v="1"/>
    <n v="1"/>
  </r>
  <r>
    <x v="898"/>
    <x v="3"/>
    <x v="2"/>
    <s v="QVQ-LVESGG-GVVQPGRSLRLSCAASGFTF---------SNGGMH-WVRQ-A-P-G-K--G-LE-WVAVIWDG------------SNKYY--A--D--SV--K---GRFTISR-D---N-S--KN----T-LYLQM---RA-EDTAVYYCARDK-----------------------------YYDVWG-QGTTVTVSS"/>
    <s v="DIQ-MTQSPSTLTVSITGD-TITCRASQSI-----------SNYLA-WYQQ-K-P-G-K--A-PR-LLISAS----------------STL--Q--S--GV--P---SRFSGSG-------S--GT----E-FTLTISSLQP-EDFATYYCQQSFS----------------------------SPFTFG-QGTRLEIK-"/>
    <s v="hv3"/>
    <s v="kv1"/>
    <n v="0.99999970000000005"/>
    <n v="0.99999994000000003"/>
    <n v="1.3958711000000001E-5"/>
    <n v="1"/>
    <n v="1"/>
    <n v="0"/>
  </r>
  <r>
    <x v="899"/>
    <x v="3"/>
    <x v="2"/>
    <s v="EVQ-LVESGG-GLVKPGGSLRLSCAASGFTF---------SSYAMS-WVRQ-A-P-G-K--G-LE-WVSSISSS-----------SSYIYY--A--D--SV--K---GRFTISR-D---N-A--KN----S-LYLQMNSLRA-EDTAVYYCAKHGGG-------------------------ALWYDFWG-QGTLVTVSS"/>
    <s v="DIQ-MTQSPSSLSASVGDRVTITCRASQSV-----------SSAVA-WYQQ-K-P-G-K--A-PK-LLIYSA----------------SSL--Y--S--GV--P---SRFSGSR-------S--GT----D-FTLTISSLQP-EDFATYYCQQYYL---------------------------VPPGTFG-QGTKVEIK-"/>
    <s v="hv3"/>
    <s v="kv1"/>
    <n v="0.99979779999999996"/>
    <n v="0.99998540000000002"/>
    <n v="1.5909474E-3"/>
    <n v="1"/>
    <n v="1"/>
    <n v="0"/>
  </r>
  <r>
    <x v="900"/>
    <x v="4"/>
    <x v="2"/>
    <s v="QVQ-LQESGP-GLVKPSETLSLTCTVSGGSIS--------SGYYWS-WIRQ-P-P-G-K--G-LE-WIGYIYYS------------GSTNY--N--P--SL--K---SRVTISV-D---T-S--KN----Q-FSLKLSSVTA-ADTAVYYCARRSP---------------------------GGGVYWG-QGTLVTVSS"/>
    <s v="EIV-LTQSPGTLSLSPGERATLSCRASQSI------------DYLH-WYQQ-K-P-G-Q--A-PR-LLLYSG----------------STN--Q--S--GV--P---DRFSGSG-------S--GT----D-FTLTISRLEP-EDFAVYYCQQYGS----------------------------SPWTFG-QGTKVEIK-"/>
    <s v="hv4"/>
    <s v="kv3"/>
    <n v="0.99307310000000004"/>
    <n v="0.99999994000000003"/>
    <n v="9.713959E-6"/>
    <n v="1"/>
    <n v="1"/>
    <n v="0"/>
  </r>
  <r>
    <x v="901"/>
    <x v="4"/>
    <x v="2"/>
    <s v="QVQ-LVESGG-GLVKPGGSLRLSCAASGFTF---------SNYAMS-WVRQ-A-P-G-K--G-LE-WVSLISYD------------GSNRY--A--D--SV--K---GRFTISR-D---N-S--KN----T-LYLQMNSLRA-EDTAVYYCARERGDRV---------------------YGYPYFDVWG-QGTTVTVSS"/>
    <s v="DIQ-MTQSPSSLSASVGDRVTITCRASQSV-----------SSNLA-WYQQ-K-P-G-K--A-PK-LLIYSA----------------SFL--Y--S--GV--P---SRFSGSR-------S--GT----D-FTLTISSLQP-EDFATYYCQQSSY---------------------------WLPITFG-QGTKVEIK-"/>
    <s v="hv3"/>
    <s v="kv1"/>
    <n v="0.99999919999999998"/>
    <n v="0.99998489999999995"/>
    <n v="0.99799959999999999"/>
    <n v="1"/>
    <n v="1"/>
    <n v="1"/>
  </r>
  <r>
    <x v="902"/>
    <x v="4"/>
    <x v="2"/>
    <s v="QVQ-LVQSGA-EVKKPGSSVKVSCKASGYTF---------NPYGIS-WVRQ-A-P-G-Q--G-LE-WMGWISAY-----------NGNTNY--A--Q--KL--Q---GRVTMTT-D---T-S--TS----T-AYMELRSLRS-DDTAVYYCARSWQYL------------------------VYGMDVWG-QGTTVTVSS"/>
    <s v="EIV-LTQSPGTLSVSPGERATLSCRASQSV-----------SSYLA-WYQQ-K-P-G-Q--A-PR-LLIYGA----------------SSR--A--T--GI--P---DRFSGSG-------S--GT----D-FTLTISRLEP-EDFAVYYCQQYGS----------------------------SPRTFG-QGTKVEIK-"/>
    <s v="hv1"/>
    <s v="kv3"/>
    <n v="0.99984264"/>
    <n v="0.99999994000000003"/>
    <n v="0.99915259999999995"/>
    <n v="1"/>
    <n v="1"/>
    <n v="1"/>
  </r>
  <r>
    <x v="903"/>
    <x v="4"/>
    <x v="2"/>
    <s v="EVQ-LVESGG-GLVQPGGSLRLSCAASGFTF---------SSYWMS-WVRQ-A-P-G-K--G-LE-WVANIKQD-----------GSEKYY--V--D--SV--K---GRFTISR-D---N-A--KN----S-LFLQMNSVRA-EDTAVYYCARSPY----------------------------SDDYWG-QGTLVTVSS"/>
    <s v="SYE-LTQPPS-VSVSPGQTARITCSGDALP-----------KQYVY-WYQQ-K-P-G-Q--A-PV-LVIYKD----------------DER--P--S--GI--P---ERFSGSN-------S--GN----T-ATLTISGTQA-MDEADYYCQVWDSS-------------------------SSGANVFG-GGTKLTVL-"/>
    <s v="hv3"/>
    <s v="lv3"/>
    <n v="0.99939359999999999"/>
    <n v="0.99999994000000003"/>
    <n v="0.99999994000000003"/>
    <n v="1"/>
    <n v="1"/>
    <n v="1"/>
  </r>
  <r>
    <x v="904"/>
    <x v="4"/>
    <x v="2"/>
    <s v="EVQ-LVQSGGGGLVQPGGSLRLSCATSGFTF---------SSYAMS-WVRQ-A-P-G-K--G-LE-WVSGISWN-----------SGSSTY--A--D--SV--K---GRFTISR-D---N-S--KN----T-LSLQMNSLRA-EDTAVYYCARVDDG--------------------------FLFDVWG-QGTTVTVSS"/>
    <s v="SYE-LTQPPS-VSVAPGQTARITCGGNNIGRTW-----YANGYFLH-WYQQ-K-P-G-Q--A-PV-LVIYDV----------------SNR--P--S--GF--S---------------A-S--GN----T-ASLTISRLQA-EDEADYYCGSAD-----------------------------SSQVFG-GGTKLTVG-"/>
    <s v="hv3"/>
    <s v="lv3"/>
    <n v="0.99999623999999998"/>
    <n v="0.99993770000000004"/>
    <n v="4.683296E-3"/>
    <n v="1"/>
    <n v="1"/>
    <n v="0"/>
  </r>
  <r>
    <x v="905"/>
    <x v="4"/>
    <x v="2"/>
    <s v="EVQ-LVQSGA-EVKKPGSSVKVSCKASGYTF---------TNYGIS-WVRQ-A-P-G-Q--G-LE-WMGRITG-------------TKYTY--A--Q--KF--Q---GRVTITR-D---T-S--TS----T-AYMEL---RS-EDTAVYYCARVG-----------------------------YGDSWG-QGTLVTVSS"/>
    <s v="DIV-MTQSPDSLAVSLGERATINCKSSQYASLS------SRNNYLF-WYQQ-K-P-G-Q--P-PK-LLIYWA----------------STR--E--S--GV--P---DRFSGSG-------S--GT----D-FTLTISSLQA-EDVAVYYCHQYQS----------------------------TPLTFG-GGTKVDIK-"/>
    <s v="hv1"/>
    <s v="kv4"/>
    <n v="0.99999136"/>
    <n v="0.99999994000000003"/>
    <n v="0.11605074999999999"/>
    <n v="1"/>
    <n v="1"/>
    <n v="0"/>
  </r>
  <r>
    <x v="906"/>
    <x v="4"/>
    <x v="2"/>
    <s v="EVQ-LQQSGP-ELVKPGASMKISCKASGYSF---------TGYSMN-WVKQ-S-H-G-K--S-LE-WIGYIFPY-----------NDGTTY--N-----KF--K---GKATLTA-D---K-S--SS----T-AYMQLSSLTS-EDSAVYYCTRGY------------------------------GDYWG-QGTTLTVSS"/>
    <s v="DIV-MSQSPSSLAVSLGERVTITCKASQDI-----------NTYLN-WFQQ-K-P-G-K--S-PK-RLIYSA----------------SNL--T--S--GV--P---DRFSGSG-------S--GT----S-YSLTISNLQP-EDFATYYCQQYNN----------------------------YPLTFG-GGTKLEIK-"/>
    <s v="hv1"/>
    <s v="kv1"/>
    <n v="1.0465965000000001E-2"/>
    <n v="3.5094873999999998E-7"/>
    <n v="1.9050428000000001E-7"/>
    <n v="0"/>
    <n v="0"/>
    <n v="0"/>
  </r>
  <r>
    <x v="907"/>
    <x v="4"/>
    <x v="2"/>
    <s v="EVQ-LVESGG-GLVKPGGSLRLSCAASGFTF---------SAYYMT-WVRQ-A-P-G-K--G-LE-WVGRIKSKT----------GGTTDY--A--A--PV--K---GRFTISR-D---D-S--KN----T-LYLQMNSLKT-EDTAVYYCARHVG---------------------------YGAIYWG-QGTLVTVSS"/>
    <s v="EIV-LTQSPATLSLSPGERATLSCRASQSV-----------SSYLA-WYQQ-K-P-G-Q--A-PR-LLIYGA----------------SNR--A--T--GI--P---DRFSGSG-------S--GT----D-FTLTISRLEP-EDFAVYYCQQYGS----------------------------SPLTFG-GGTKVDF--"/>
    <s v="hv3"/>
    <s v="kv3"/>
    <n v="0.99699013999999997"/>
    <n v="0.99999994000000003"/>
    <n v="0.92673004000000003"/>
    <n v="1"/>
    <n v="1"/>
    <n v="1"/>
  </r>
  <r>
    <x v="908"/>
    <x v="4"/>
    <x v="2"/>
    <s v="EVQ-LVESGG-GLVQPGGSLRLSCAASGFTF---------SSYAMS-WVRQ-A-P-G-K--G-LE-WVSLISYD-----------GGNTYY--A--D--SV--K---GRFTISR-D---N-S--KN----T-LYLQMNSLRA-EDTAVYYCARQGYGS------------------------LWYFDVWG-QGTLVTVSS"/>
    <s v="DIV-MTQSPSSLSASVGDRVTITCRASQSI-----------SNYLA-WFQQ-K-P-G-K--A-PK-LLIYDA----------------SSL--Q--S--GV--P---SRFSGSG-------S--GT----D-FTLTISSLQP-EDFATYYCQQLHS----------------------------YPFTFG-PGTKVDIK-"/>
    <s v="hv3"/>
    <s v="kv1"/>
    <n v="0.87036480000000005"/>
    <n v="0.99999994000000003"/>
    <n v="0.99998299999999996"/>
    <n v="1"/>
    <n v="1"/>
    <n v="1"/>
  </r>
  <r>
    <x v="909"/>
    <x v="4"/>
    <x v="2"/>
    <s v="QVQ-LVQSGA-EVRKPGSSVKVSCQASGDTF---------GYGISH-WVRQ-A-P-G-Q--G-LE-WMGGVIPS-----------SGGTDY--A--Q--TF--Q---GRVSMTR-D---T-S--IN----T-AYMELLSLTS-EDTAVYYCARAQGV--------------------------DYFDYWG-QGTTVTVSS"/>
    <s v="DIV-MTQSPDSLAVSLGERATINCKSSQSVLSS----DNAQKNYLA-WYQQ-K-P-G-Q--P-PK-LLVYA-----------------A-------T--GV--P---SRFSGSG-------S--GT----D-FTLTISSLQA-EDVAVYYCQQYF-----------------------------FPPTFG-GGTKVEIK-"/>
    <s v="hv1"/>
    <s v="kv4"/>
    <n v="0.99999959999999999"/>
    <n v="0.99999994000000003"/>
    <n v="0.39552187999999999"/>
    <n v="1"/>
    <n v="1"/>
    <n v="0"/>
  </r>
  <r>
    <x v="910"/>
    <x v="4"/>
    <x v="2"/>
    <s v="EVQ-LVESGG-GLVQPGGSLRLSCAASGFNV---------SSNYMN-WVRQ-A-P-G-K--G-LE-WVAYISSY------------TGTNY--A--D--SV--K---GRFTISA-D---T-S--KN----T-AYLQMNSLRA-EDTAVYYCARVLYYD------------------------YSGLDYWG-QGTLVTVSS"/>
    <s v="DIQ-MTQSPSSLSASVGDRVTITCRASQSV-----------SSAVA-WYQQ-K-P-G-K--A-PK-LLIYSA----------------SDL--Y--S--GV--P---SRFSGSR-------S--GT----D-FTLTISSLQP-EDFATYYCQQAYY---------------------------TYPITFG-QGTKVEIK-"/>
    <s v="hv3"/>
    <s v="kv1"/>
    <n v="0.99999979999999999"/>
    <n v="0.99999994000000003"/>
    <n v="0.98475599999999996"/>
    <n v="1"/>
    <n v="1"/>
    <n v="1"/>
  </r>
  <r>
    <x v="911"/>
    <x v="4"/>
    <x v="2"/>
    <s v="EVQ-LVESGG-GLVQPGGSLRLSCAASGFNF---------SSYSIH-WVRQ-A-P-G-K--G-LE-WVASISSS-----------SGSTSY--A--D--SV--K---GRFTISA-D---T-S--KN----T-LYLQMNSLRA-EDTAVYYCARQG-----------------------------GLDYWG-QGTLVTVSS"/>
    <s v="DIV-MTQSPSSLSASVGDRVTITCRASQSV-----------SSAVA-WYQQ-K-P-G-K--A-PK-LLIYSA----------------SSL--Y--S--GV--P---SRFSGSR-------S--GT----D-FTLTISSLQP-EDFATYYCQQYSY----------------------------YPITFG-QGTKVEIK-"/>
    <s v="hv3"/>
    <s v="kv1"/>
    <n v="0.99999099999999996"/>
    <n v="0.99994784999999997"/>
    <n v="0.78898679999999999"/>
    <n v="1"/>
    <n v="1"/>
    <n v="1"/>
  </r>
  <r>
    <x v="912"/>
    <x v="4"/>
    <x v="2"/>
    <e v="#NAME?"/>
    <s v="EIV-LTQSPATLSLSPGERATLSCRASQSV-----------SSYLA-WYQQ-K-P-G-Q--A-PR-LLIYDA----------------SNR--A--T--GI--P---ARFSGSG-------S--GT----D-FTLTISSLEP-EDFAVYYCQQYGS----------------------------SPPTFG-QGTKVEIK-"/>
    <s v="hv1"/>
    <s v="kv3"/>
    <n v="0.99941550000000001"/>
    <n v="0.99999994000000003"/>
    <n v="0.99999979999999999"/>
    <n v="1"/>
    <n v="1"/>
    <n v="1"/>
  </r>
  <r>
    <x v="913"/>
    <x v="4"/>
    <x v="2"/>
    <s v="QVQ-LVQSGA-EVKKPGSSVKVSCKASGYSF---------TSYGIS-WVRQ-A-P-G-Q--G-LE-WMGRIIPI-----------FGTANY--A--Q--KF--Q---GRVTITA-D---K-S--TS----T-VYMELSSLRS-EDTAVYYCARPIS----------------------------VYDYWG-QGTLVTVSS"/>
    <s v="-IQ-MTQSPSSVSASVGDRVTITCRASQGI-----------SSWLA-WYQQ-K-P-G-K--A-PK-LLIYAA----------------SSL--Q--S--GV--P---SRFSGSG-------S--GT----D-FTLTISSLQP-EDFATYYCQQYNN----------------------------YPLTFG-QGTKVEIK-"/>
    <s v="hv1"/>
    <s v="kv1"/>
    <n v="0.99999934000000001"/>
    <n v="0.99999994000000003"/>
    <n v="0.99999970000000005"/>
    <n v="1"/>
    <n v="1"/>
    <n v="1"/>
  </r>
  <r>
    <x v="914"/>
    <x v="4"/>
    <x v="2"/>
    <s v="EVQ-LVESGG-GLVQPGGSLRLSCAASGFTF---------SSYAMS-WVRQ-A-P-G-K--G-LE-WVSAISSS-----------GSTIYY--A--D--SV--K---GRFTISR-D---N-S--KN----T-LYLQMNSLRA-EDTAVYYCAK----------------------------------DWG-QGVVVTVSS"/>
    <s v="DIQ-MTQSPSSLSASVGDRVTITCRASQSIG----------SIWLY-WYQQ-K-P-G-K--A-PK-LLISAA----------------SSL--Q--S--GV--P---SRFSGSG-------S--GT----D-FTLTISSLQP-EDFATYYCQQYSS----------------------------YPLTFG-GGTKVEIK-"/>
    <s v="hv3"/>
    <s v="kv1"/>
    <n v="1.4573162E-3"/>
    <n v="0.99976350000000003"/>
    <n v="0.57130789999999998"/>
    <n v="0"/>
    <n v="1"/>
    <n v="1"/>
  </r>
  <r>
    <x v="915"/>
    <x v="4"/>
    <x v="2"/>
    <s v="EVQ-LVESGG-GLVQPGGSLRLSCAASGFNV---------YSSSIH-WVRQ-A-P-G-K--G-LE-WVASISSS------------YSTYY--A--D--SV--K---GRFTISR-D---D-S--KN----T-LYLQMNSLRA-EDTAVYYCARHQGWS-----------------------GWSYFDYWG-QGTLVTV--"/>
    <s v="DIQ-MTQSPSSLSASVGDRVTITCRASQSV-----------SSAVA-WYQQ-K-P-G-K--A-PK-LLIYSA----------------SSL--Y--S--GV--P---SRFSGSR-------S--GT----D-FTLTISSLQP-EDFATYYCQQYKY----------------------------VPVTFG-QGTKVEI--"/>
    <s v="hv3"/>
    <s v="kv1"/>
    <n v="0.99999994000000003"/>
    <n v="0.99903934999999999"/>
    <n v="0.99984309999999998"/>
    <n v="1"/>
    <n v="1"/>
    <n v="1"/>
  </r>
  <r>
    <x v="916"/>
    <x v="4"/>
    <x v="2"/>
    <e v="#NAME?"/>
    <s v="DIQ-MTQSPSSLSASVGDRVSITCRASQIF------------NNLH-WYQQ-K-P-G-K--A-PK-LLIYYA----------------STL--Q--S--GV--P---SRFSGSG-------S--GT----E-FTLTISSLQP-EDFATYFCQQANS----------------------------FPYTFG-QGTKLEIK-"/>
    <s v="hv3"/>
    <s v="kv1"/>
    <n v="0.99999802999999998"/>
    <n v="0.99999910000000003"/>
    <n v="0.98672959999999998"/>
    <n v="1"/>
    <n v="1"/>
    <n v="1"/>
  </r>
  <r>
    <x v="917"/>
    <x v="4"/>
    <x v="2"/>
    <s v="QVQ-LQESGP-GLVKPSETLSLTCAVSGGSI---------SNYYWS-WIRQ-S-P-G-K--G-LE-WIGYIYYS------------GSTYY--N--P--SL--K---SRVTISV-D---T-S--KN----Q-FSLKLSSVTA-ADTAVYYCARDRRS-------------------------YYGLDYWG-QGTLVTVSS"/>
    <s v="DIV-LTQSPASLAVSLGQRATISCRASESVDN-------YGISSMN-WFQQ-K-P-G-Q--P-PK-LLIYLA----------------SNL--E--S--GV--P---ARFSGSG-------S--RT----D-FTLTIDPVEA-DDAATYYCQQYNS---------------------------YPPRTFG-QGTKLEIK-"/>
    <s v="hv4"/>
    <s v="kv4"/>
    <n v="0.99968239999999997"/>
    <n v="1.7119254000000001E-4"/>
    <n v="5.7317067000000001E-8"/>
    <n v="1"/>
    <n v="0"/>
    <n v="0"/>
  </r>
  <r>
    <x v="918"/>
    <x v="4"/>
    <x v="2"/>
    <s v="EVQ-LVESGG-GLVQPGGSLRLSCAASGFNV---------SYSSIH-WVRQ-A-P-G-K--G-LE-WVASISSY-----------YGYTYY--A--D--SV--K---GRFTISA-D---T-S--KN----T-AYLQMNSLRA-EDTAVYYCARSYYSG------------------------YWYFDVWG-QGTLVTVSS"/>
    <s v="DIQ-MTQSPSSLSASVGDRVTITCRASQSV-----------SSAVA-WYQQ-K-P-G-K--A-PK-LLIYSA----------------SSL--Y--S--GV--P---SRFSGSR-------S--GT----D-FTLTISSLQP-EDFATYYCQQHYT----------------------------YPITFG-QGTKVEIK-"/>
    <s v="hv3"/>
    <s v="kv1"/>
    <n v="0.99998909999999996"/>
    <n v="0.9999015"/>
    <n v="0.99971734999999995"/>
    <n v="1"/>
    <n v="1"/>
    <n v="1"/>
  </r>
  <r>
    <x v="919"/>
    <x v="4"/>
    <x v="2"/>
    <s v="QVQ-LVQSGA-EVKKPGASVKVSCKASGYTF---------TSYAMH-WVRQ-A-P-G-Q--R-LE-WMGWINR-------------GGTNY--A--Q--KF--Q---GRVTMTR-D---T-S--IS----T-AYMEL---RS-DDTAVYYCARDGY---------------------------YTYDVWG-QGTTVTVS-"/>
    <s v="DIQ-MTQSPSTLSASVGDRVTITCRASQSI-----------SSWLA-WYQQ-K-P-G-K--A-PK-LLIYKA----------------SSL--E--S--GV--P---SRFSGSG-------S--GT----E-FTLTISSLQP-DDFATYYCQQYHY---------------------------YPLFTFG-QGTKVEI--"/>
    <s v="hv1"/>
    <s v="kv1"/>
    <n v="0.99999696000000005"/>
    <n v="0.99999994000000003"/>
    <n v="8.5786089999999995E-2"/>
    <n v="1"/>
    <n v="1"/>
    <n v="0"/>
  </r>
  <r>
    <x v="920"/>
    <x v="4"/>
    <x v="2"/>
    <s v="EVQ-LVESGG-GLVQPGGSLRLSCAASGFNF---------SSSSIH-WVRQ-A-P-G-K--G-LE-WVASISS-------------SYTSY--A--D--SV--K---GRFTISA-D---T-S--KN----T-AYLQMNSLRA-EDTAVYYCARSDW---------------------------GAFDYWG-QGTLVTVSS"/>
    <s v="DIQ-MTQSPSSLSASVGDRVTITCKASQDV-----------STAVA-WYQQ-K-P-G-K--A-PK-LLIYSA----------------SSL--Y--S--GV--P---SRFSGSR-------S--GT----D-FTLTISSLQP-EDFATYYCQQSY-----------------------------YPFTFG-QGTKVEIK-"/>
    <s v="hv3"/>
    <s v="kv1"/>
    <n v="0.99999899999999997"/>
    <n v="0.99991816"/>
    <n v="0.95608599999999999"/>
    <n v="1"/>
    <n v="1"/>
    <n v="1"/>
  </r>
  <r>
    <x v="921"/>
    <x v="4"/>
    <x v="2"/>
    <s v="EVQ-LVESGG-GLVQPGGSLRLSCAVSGFTF---------SNYAMH-WVRQ-A-P-G-K--G-LE-WVASVYSS-----------SGST-Y--A--D--SV--K---GRFTISR-D---N-S--KN----T-LYLQMNSLRA-EDTAVYYCARPRAITP----------------------DSAWFAYWG-QGTLVTVSS"/>
    <s v="DIQ-MTQSPSSLSASVGDRVTITCRASQSV-----------SSAVA-WYQQ-K-P-G-K--A-PK-LLIYSA----------------SSL--Y--S--GV--P---SRFSGSR-------S--GT----D-FTLTISSLQP-EDFATYYCQQYLY---------------------------YPRITFG-QGTKVEIK-"/>
    <s v="hv3"/>
    <s v="kv1"/>
    <n v="0.99999729999999998"/>
    <n v="0.99999994000000003"/>
    <n v="0.98609939999999996"/>
    <n v="1"/>
    <n v="1"/>
    <n v="1"/>
  </r>
  <r>
    <x v="922"/>
    <x v="4"/>
    <x v="2"/>
    <s v="EVQ-LVESGG-GLVQPGGSLRLSCAASGFNV---------SYSSIH-WVRQ-A-P-G-K--G-LE-WVASISSS-----------YGYTYY--A--D--SV--K---GRFTISA-D---T-S--KN----T-AYLQMNSLRA-EDTAVYYCARSWYGWGS--------------------YFNYGMDV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94000000003"/>
    <n v="0.9999903"/>
    <n v="0.99579070000000003"/>
    <n v="1"/>
    <n v="1"/>
    <n v="1"/>
  </r>
  <r>
    <x v="923"/>
    <x v="4"/>
    <x v="2"/>
    <s v="EVR-LVESGG-GLVQPGGSLRLSCAASGFTF---------TSDWMS-WVRQ-A-P-G-K--G-LE-WVANINYN-----------GGEPYY--S--D--AV--K---GRFTISR-D---N-S--KN----T-LYLQM---KT-EDTAVYYCARGYS----------------------------DYDYWG-QGTLVTVSS"/>
    <s v="DIV-MTQSPSSLSASVGDRVTITCRASQSI-----------SSYLN-WYQQ-K-P-G-K--A-PK-LLLYSG----------------S-T--R--H--GV--P---SRFSGSG-------S--GT----D-FTLTISSLQP-EDFATYYCQQYSS----------------------------FPITFG-QGTKVEIK-"/>
    <s v="hv3"/>
    <s v="kv1"/>
    <n v="0.97229546"/>
    <n v="0.99999243000000004"/>
    <n v="0.17411489999999999"/>
    <n v="1"/>
    <n v="1"/>
    <n v="0"/>
  </r>
  <r>
    <x v="924"/>
    <x v="4"/>
    <x v="2"/>
    <s v="QVQ-LQESGP-GLVKPSETLSLTCTVSGGSIS--------SGYYWS-WIRQ-P-P-G-K--G-LE-WIGYIYYS------------GSTYY--N--P--SL--K---SRVTISV-D---T-S--KN----Q-FSLKLSSVTA-ADTAVYYCARSYYGY------------------------DWYFDVWG-PGTLVTVSS"/>
    <s v="DIV-MTQSPSSLSASVGDRVTITCRASQSI-----------SSYLN-WYQQ-K-P-G-K--A-PK-LLIYAA----------------SSL--Q--S--GV--P---SRFSGSG-------S--GT----E-FTLTISGLQP-EDFATYYCQQSYS---------------------------SPPFTFG-PGTKVEIK-"/>
    <s v="hv4"/>
    <s v="kv1"/>
    <n v="0.99870409999999998"/>
    <n v="0.99999994000000003"/>
    <n v="0.58587020000000001"/>
    <n v="1"/>
    <n v="1"/>
    <n v="1"/>
  </r>
  <r>
    <x v="925"/>
    <x v="4"/>
    <x v="2"/>
    <s v="EVQ-LVESGG-GLVQPGGSLRLSCAASGFTF---------SSYSMN-WVRQ-A-P-G-K--G-LE-WVANINQD-----------GGEKYY--V--D--SV--K---GRFTISR-D---N-A--KN----S-LYLQMNSLRA-EDTAVYYCARGSASG-----------------------YYYGMDVWG-QGTTVTVSS"/>
    <s v="DIQ-LTQSPSSLSASVGDRVTITCRASQSI-----------SSYLN-WYQQ-K-P-G-K--A-PK-LLIYDA----------------SNL--Q--S--GV--P---SRFSGSG-------S--GT----D-FTLTISSLQP-EDFATYYCQQSYS----------------------------TPRTFG-QGTKVEIK-"/>
    <s v="hv3"/>
    <s v="kv1"/>
    <n v="0.96095560000000002"/>
    <n v="0.99999994000000003"/>
    <n v="0.93640230000000002"/>
    <n v="1"/>
    <n v="1"/>
    <n v="1"/>
  </r>
  <r>
    <x v="926"/>
    <x v="4"/>
    <x v="2"/>
    <s v="QVQ-LVQSGA-EVKKPGSSVKVSCKASGGTF---------SSYAIS-WVRQ-A-P-G-Q--G-LE-WMGGIIIF------------GTANY--A--Q--KF--Q---GRVTITA-D---R-S--TS----T-AYMEL---RS-EDTAVYYCAREGGV--------------------------YSYDVWG-QGTMVT---"/>
    <s v="--V-MTQSPLSLPVTPGEPASISCRSSQSLLHS------NGYNYLD-WYLQ-K-P-G-Q--S-PQ-LLIYG-----------------SNR--A--S--GV--P---DRFSGSG-------S--GT----D-FTLKISRVEA-EDVGVYYCMQGTH----------------------------WPRTFG-QGTKLEI--"/>
    <s v="hv1"/>
    <s v="kv2"/>
    <n v="0.99999994000000003"/>
    <n v="0.99999994000000003"/>
    <n v="3.2096412000000001E-3"/>
    <n v="1"/>
    <n v="1"/>
    <n v="0"/>
  </r>
  <r>
    <x v="927"/>
    <x v="4"/>
    <x v="2"/>
    <s v="EVQ-LVESGG-GLVQPGGSLRLSCAASGFNV---------SYSSIH-WVRQ-A-P-G-K--G-LE-WVASISSY-----------YGYTYY--A--D--SV--K---GRFTISA-D---T-S--KN----T-AYLQM---RA-EDTAVYYCARHS-----------------------------YVA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29570000000001"/>
    <n v="0.99933510000000003"/>
    <n v="0.99853939999999997"/>
    <n v="1"/>
    <n v="1"/>
    <n v="1"/>
  </r>
  <r>
    <x v="928"/>
    <x v="4"/>
    <x v="2"/>
    <e v="#NAME?"/>
    <s v="--A-LTQPPS-VSGAPGQTVTISCTGSSGA-----------GYDVH-WYQQ-L-P-G-T--A-PK-LLIYDN----------------NNR--P--S--GV--P---DRFSGSK-------S--GT----S-ASLAITGLQA-EDEADYYCQSYDSS--------------------------LSGNVFG-TGTKVTVG-"/>
    <s v="hv3"/>
    <s v="lv1"/>
    <n v="0.99997729999999996"/>
    <n v="0.99982643000000004"/>
    <n v="0.22654464999999999"/>
    <n v="1"/>
    <n v="1"/>
    <n v="0"/>
  </r>
  <r>
    <x v="929"/>
    <x v="4"/>
    <x v="2"/>
    <s v="QVQ-LVQSGA-EVKKPGASVKVSCKASGYTF---------TDSAIH-WVRQ-A-P-G-Q--G-LE-WMGIINPG-----------SGGTSY--A--Q--KF--Q---GRVTMTR-D---T-S--TT----T-AYMEL---RS-DDTAIYYCARQQRYP------------------------DYGMDVWG-QGTTVTVSS"/>
    <s v="EIV-LTQSPGTLSLSPGERATLSCRASQVS-----------SSYLA-WYQQ-K-P-G-Q--A-PR-LLIYGA----------------SSR--A--T--GI--P---DRFSGSG-------S--GT----D-FTLTISRLEP-EDFAVYYCQQYGS----------------------------SPLTFG-QGTKVEIK-"/>
    <s v="hv1"/>
    <s v="kv3"/>
    <n v="0.99999970000000005"/>
    <n v="0.99999994000000003"/>
    <n v="0.1294208"/>
    <n v="1"/>
    <n v="1"/>
    <n v="0"/>
  </r>
  <r>
    <x v="930"/>
    <x v="4"/>
    <x v="2"/>
    <s v="EVQ-LVESGG-GLIQPGGSLRLSCAASGFTV---------SSNYMS-WVRQ-A-P-G-K--G-LE-WVSVNISN-----------GGSTYY--A--D--SV--K---GRFTISR-D---N-S--KN----T-LYLQMNSLRA-EDTAVYYCARGGVV-------------------------VYGMDYWG-QGTLVTVSS"/>
    <s v="DIQ-LTQSPSSLSASVGDRVTITCRASQGV-----------STYLA-WYQQ-K-P-G-K--A-PK-LLIFDA----------------SNL--E--T--GV--P---SRFSGSG-------S--GT----D-FTLTISSLQP-EDVGTYYCQQYGS----------------------------SPITFG-GGTKVEIK-"/>
    <s v="hv3"/>
    <s v="kv1"/>
    <n v="0.57205474000000001"/>
    <n v="0.95534660000000005"/>
    <n v="1.3424643E-2"/>
    <n v="1"/>
    <n v="1"/>
    <n v="0"/>
  </r>
  <r>
    <x v="931"/>
    <x v="4"/>
    <x v="2"/>
    <s v="EVQ-LVESGG-GLVQPGGSLRLSCAASGFTF---------SSYAMH-WVRQ-A-P-G-K--G-LE-WVAYISSG------------GSTYY--A--D--SV--K---GRFTISR-D---N-S--KN----T-LYLQM---RA-EDTAVYYCAKDTGY-------------------------YPSSDYWG-QGTLVTVSS"/>
    <s v="DIQ-MTQSPSSLSASVGDRVTITCQASQDI-----------DNYLN-WYQQ-K-P-G-K--A-PK-LLIYAA----------------STL--Q--S--GV--P---SRFSGSG-------S--GT----D-FTLTISSLQP-EDFATYYCQQSYS----------------------------TPWTFG-QGTKVEIK-"/>
    <s v="hv3"/>
    <s v="kv1"/>
    <n v="0.99997824000000002"/>
    <n v="0.99999994000000003"/>
    <n v="0.38648945000000001"/>
    <n v="1"/>
    <n v="1"/>
    <n v="0"/>
  </r>
  <r>
    <x v="932"/>
    <x v="4"/>
    <x v="2"/>
    <s v="QVQ-LQQSGP-ELVRPGASVKMSCKASGYSF---------TGYTMH-WVKQ-S-H-G-K--S-LE-WIGNINPN-----------NGDTSY--N--Q--KF--K---GKATLTV-D---K-S--SS----T-AYMELRSLTS-EDSAVYYCARSDY---------------------------FYGDVWG-AGTTVTVSS"/>
    <s v="DIV-MTQSQKFMSTSVGDRVSITCKASQNV-----------DNDNV-WYQQ-K-P-G-Q--S-PK-ALIYSA----------------SYR--Y--S--GV--P---ERF-GSG-------S--GT----D-FTLTISNVQS-EDLADYFCQQYNN----------------------------YPLTFG-AGTKLELK-"/>
    <s v="hv1"/>
    <s v="kv6"/>
    <n v="0.25674960000000002"/>
    <n v="1.2147126999999999E-7"/>
    <n v="3.1257066000000003E-5"/>
    <n v="0"/>
    <n v="0"/>
    <n v="0"/>
  </r>
  <r>
    <x v="933"/>
    <x v="4"/>
    <x v="2"/>
    <s v="EVQ-LVESGG-GLVKPGGSLRLSCSASGFPF---------STYDMS-WVRQ-T-P-E-K--R-LE-WVAYITESG----------GGITYY--A--D--SV--K---GRFTISR-D---N-S--KN----T-VFLQMNSLRA-EDTAVYYCARVQM----------------------------WPDVWG-KGTTLTVSS"/>
    <s v="DIV-LTQSPAIMSASPGEKVTMTCSASSSV------------SYMH-WYQQ-K-S-G-T--S-PK-RWIYDT----------------SKL--A--S--GV--P---ARFSGSG-------S--GT----S-YSLTISSMEA-EDAATYYCQQWSS----------------------------NPPTFG-GGTKLEIK-"/>
    <s v="hv3"/>
    <s v="kv6"/>
    <n v="0.99951535000000002"/>
    <n v="4.3370738000000001E-10"/>
    <n v="1.1464447E-5"/>
    <n v="1"/>
    <n v="0"/>
    <n v="0"/>
  </r>
  <r>
    <x v="934"/>
    <x v="4"/>
    <x v="2"/>
    <s v="EVQ-LVESGG-GLVQPGGSLRLSCAASGFTF---------SSYDMS-WVRQ-A-P-G-K--G-LE-WVANIKDG------------SEKYY--V--D--SV--K---GRFTISR-D---N-S--KN----T-LYLQMNSLRA-EDTAVYYCARDL-----------------------------GDFYWG-QGTLVTVSS"/>
    <s v="DIV-MTQSPDSLAVSLGERATINCKSSQSVLYS-----SNNKNYLA-WYQQ-K-P-G-Q--P-PK-LLIYWA----------------STR--E--S--GV--P---DRFSGSG-------S--GT----D-FTLTISSLQA-EDVAVYYCQQYYS----------------------------SPLTFG-GGTKVEIK-"/>
    <s v="hv3"/>
    <s v="kv4"/>
    <n v="0.99946773"/>
    <n v="0.99999994000000003"/>
    <n v="0.99439089999999997"/>
    <n v="1"/>
    <n v="1"/>
    <n v="1"/>
  </r>
  <r>
    <x v="935"/>
    <x v="4"/>
    <x v="2"/>
    <s v="QVQ-LQESGP-GLVKPSETLSLTCAVSGGSI---------SNYYWS-WIRQ-S-P-G-K--G-LE-WIGYIYYS------------GSTYY--N--P--SL--K---SRVTISV-D---T-S--KN----Q-FSLRL---TA-ADTAVYYCARLW------------------------------GDYWG-QGTLVTVSS"/>
    <s v="DIQ-MTQSPSTLSASVGDRVTITCRASQSI-----------SSWLA-WYQQ-K-P-G-K--A-PK-LLIYDA----------------SNL--E--T--GV--P---SRFSGSG-------S--GT----D-FTLTISSLQP-EDFATYYCQQYK-----------------------------TPPTFG-GGTKVEIK-"/>
    <s v="hv4"/>
    <s v="kv1"/>
    <n v="0.99998299999999996"/>
    <n v="0.99999959999999999"/>
    <n v="8.0166650000000006E-2"/>
    <n v="1"/>
    <n v="1"/>
    <n v="0"/>
  </r>
  <r>
    <x v="936"/>
    <x v="4"/>
    <x v="2"/>
    <s v="QVQ-LVESGG-GVVQPGRSLRLSCAASGFTF---------SSYGMH-WVRQ-A-P-G-K--G-LE-WVAVISYD-----------GSNKYY--A--D--SV--K---GRFTISR-D---N-S--KN----T-LYLQMNSLRA-EDTAVYYCARDRISS-----------------------GSIWFAYWG-QGTLVTVSS"/>
    <s v="DIQ-MTQSPSSLSASVGDRVTITCRASQSI-----------SSYLN-WYQQ-K-P-G-K--A-PK-LLIYAA----------------SSL--Q--S--GV--P---SRFSGSG-------S--GT----D-FTLTISSLQP-EDFATYYCQQSYS---------------------------TLALTFG-GGTKVEIK-"/>
    <s v="hv3"/>
    <s v="kv1"/>
    <n v="0.95752906999999998"/>
    <n v="0.99999994000000003"/>
    <n v="0.99999696000000005"/>
    <n v="1"/>
    <n v="1"/>
    <n v="1"/>
  </r>
  <r>
    <x v="937"/>
    <x v="4"/>
    <x v="2"/>
    <s v="EVQ-LVESGG-GLVQPGGSLRLSCAASGFTF---------SSYAMS-WVRQ-A-P-G-K--G-LE-WVSAISGS-----------GGSTYY--A--D--SV--K---GRFTISR-D---N-S--KN----T-LYLQMNSLRA-EDTAVYYCAKDRGG--------------------------GYFDLWG-QGTMVTVSS"/>
    <s v="DIQ-MTQSPSSLSASVGDRVTITCRASQSI-----------SSYLN-WYQQ-K-P-G-K--A-PK-LLIYAA----------------SSL--Q--S--GV--P---SRFSGSG-------S--GT----D-FTLTISSLQP-EDFATYYCQQSYS----------------------------TPWTFG-QGTKVEIK-"/>
    <s v="hv3"/>
    <s v="kv1"/>
    <n v="0.20016226000000001"/>
    <n v="0.99999994000000003"/>
    <n v="0.99999959999999999"/>
    <n v="0"/>
    <n v="1"/>
    <n v="1"/>
  </r>
  <r>
    <x v="938"/>
    <x v="4"/>
    <x v="2"/>
    <e v="#NAME?"/>
    <s v="DIQ-MTQSPSSLSASVGDRVTITCRASQSI-----------SSYLN-WYQQ-K-P-G-K--A-PK-LLIYAA----------------SSL--Q--S--GV--P---SRFSGSG-------S--GT----D-FTLTISSLQP-EDFATYYCQQSF-----------------------------DPRTFG-QGTKVEIK-"/>
    <s v="hv3"/>
    <s v="kv1"/>
    <n v="0.99991540000000001"/>
    <n v="0.99999994000000003"/>
    <n v="0.96293220000000002"/>
    <n v="1"/>
    <n v="1"/>
    <n v="1"/>
  </r>
  <r>
    <x v="939"/>
    <x v="4"/>
    <x v="2"/>
    <s v="QVQ-LQESGP-GLVKPSETLSVTCSVSGDSM---------NNYYWT-WIRQ-S-P-G-K--G-LE-WIGYISDR------------ESATY--N--P--SL--N---SRVVISR-D---T-S--KN----Q-LSLKL---TP-ADTAVYYCATARR---------------------------GQRDVWG-KGTTVTVSS"/>
    <s v="DIQ-MTQSPSSLSASVGDRVTITCRASQSV-----------SSYLN-WYQQ-K-P-G-K--A-PK-LLIYDA----------------SNL--Q--S--GV--P---SRFSGSG-------S--GT----D-FTLTISSLQP-EDFATYYCQQSYS----------------------------TPFTFG-PGTKVEIK-"/>
    <s v="hv4"/>
    <s v="kv1"/>
    <n v="0.99936455000000002"/>
    <n v="0.99999994000000003"/>
    <n v="1.4069099000000001E-4"/>
    <n v="1"/>
    <n v="1"/>
    <n v="0"/>
  </r>
  <r>
    <x v="940"/>
    <x v="4"/>
    <x v="2"/>
    <s v="QVQ-LKESGP-GLVAPSQSLSITCTVSGFSL---------TNYGVH-WVRQ-P-P-G-K--G-LE-WLGVIWRG-----------GGNTDY--N--S--AL--K---SRLSITK-D---N-S--KS----Q-VFFKMNSLQT-DDTAIYYCARDEIY--------------------------YGYDYWG-QGTSVTVSS"/>
    <s v="DIQ-MTQSPSTLSASVGDRVTITCRASQSI-----------DNWLA-WYQQ-K-P-G-E--A-PK-LLIYKA----------------SSL--Q--S--GV--P---SRFSGSG-------S--GT----E-FTLTISSLQP-DDVATYYCQHYNS----------------------------YPLTFG-GGTKVEIK-"/>
    <s v="hv4"/>
    <s v="kv1"/>
    <n v="3.4916644999999999E-6"/>
    <n v="0.99999886999999998"/>
    <n v="0.13780327000000001"/>
    <n v="0"/>
    <n v="1"/>
    <n v="0"/>
  </r>
  <r>
    <x v="941"/>
    <x v="4"/>
    <x v="2"/>
    <s v="EVQ-LVESGG-GLVQPGGSLRLSCAASGFTF---------SSYAMS-WVRQ-A-P-G-K--G-LE-WVSGISWNS----------GDSDNY--A--D--SV--K---GRFTISR-D---N-S--KN----T-LYLQMNSLRA-DDTAVYYCARSRYYS------------------------GGYFDYWG-QGTLVTVSS"/>
    <s v="DIV-MTQSPSSLSASVGDRVTITCRASQSI-----------SSYLN-WYQQ-K-P-G-K--A-PK-LLIYAA----------------SSL--Q--S--GV--P---SRFSGSG-------S--GT----D-FTLTISSLQP-EDFATYYCQQSYS----------------------------TPFTFG-PGTKVDIK-"/>
    <s v="hv3"/>
    <s v="kv1"/>
    <n v="0.99996320000000005"/>
    <n v="0.99999994000000003"/>
    <n v="0.99997026"/>
    <n v="1"/>
    <n v="1"/>
    <n v="1"/>
  </r>
  <r>
    <x v="942"/>
    <x v="4"/>
    <x v="2"/>
    <s v="EVQ-LVESGG-GLVQPGGSLRLSCAASGFNF---------SSSSIH-WVRQ-A-P-G-K--G-LE-WVASIYSY------------SYTSY--A--D--SV--K---GRFTISA-D---T-S--KN----T-AYLQMNSLRA-EDTAVYYCARQGYWS------------------------GYGMDYWG-QGTLVTVSS"/>
    <s v="DIQ-MTQSPSSLSASVGDRVTITCRASQSV-----------SSAVA-WYQQ-K-P-G-K--A-PK-LLIYSA----------------SSL--Y--S--GV--P---SRFSGSR-------S--GT----D-FTLTISSLQP-EDFATYYCQQSSS----------------------------SLITFG-QGTKVEIK-"/>
    <s v="hv3"/>
    <s v="kv1"/>
    <n v="0.99999934000000001"/>
    <n v="0.9999903"/>
    <n v="0.4192958"/>
    <n v="1"/>
    <n v="1"/>
    <n v="0"/>
  </r>
  <r>
    <x v="943"/>
    <x v="4"/>
    <x v="2"/>
    <s v="EVQ-LVQSGA-EVKKPGESLKISCKGSGYSF---------TSYWIG-WVRQ-M-P-G-K--G-LE-WMGIIYPG-----------DSDTRY--S--P--SF--Q---GQVTISA-D---K-S--IS----T-AYLQWSSLKA-SDTAMYYCARTQF---------------------------DYFDYWG-QGTLVTVSS"/>
    <s v="-SV-LTQPPS-ASGTPGQRVTISCSGSSSNI---------GSNTVN-WYQQ-L-P-G-T--A-PK-LLIYRN---------------RSDV--I--S--GV--S---DRFSGSK-------S--GT----S-ASLAISGLQS-EDEADYYCAAWDD---------------------------SLSGVFG-GGTKLTVL-"/>
    <s v="hv5"/>
    <s v="lv1"/>
    <n v="0.28232153999999998"/>
    <n v="0.99999994000000003"/>
    <n v="0.51669670000000001"/>
    <n v="0"/>
    <n v="1"/>
    <n v="1"/>
  </r>
  <r>
    <x v="944"/>
    <x v="4"/>
    <x v="2"/>
    <s v="EVQ-LVESGG-GLVQPGGSLRLSCAASGFNV---------YSSSIH-WVRQ-A-P-G-K--G-LE-WVASISSY-----------YGYTYY--A--D--SV--K---GRFTISA-D---T-S--KN----T-AYLQMNSLRA-EDTAVYYCARSDWGSSW--------------------YDYWGLDYWG-QGTLVTVSS"/>
    <s v="DIQ-MTQSPSSLSASVGDRVTITCRASQSV-----------SSAVA-WYQQ-K-P-G-K--A-PK-LLIYSA----------------SSL--Y--S--GV--P---SRFSGSR-------S--GT----D-FTLTISSLQP-EDFATYYCQQYKY----------------------------VPVTFG-QGTKVEIK-"/>
    <s v="hv3"/>
    <s v="kv1"/>
    <n v="0.99999994000000003"/>
    <n v="0.99933510000000003"/>
    <n v="0.99562839999999997"/>
    <n v="1"/>
    <n v="1"/>
    <n v="1"/>
  </r>
  <r>
    <x v="945"/>
    <x v="4"/>
    <x v="2"/>
    <e v="#NAME?"/>
    <s v="DIQ-MTQSPSSLSASVGDRVTITCRASQG-------------ISTN-WYQQ-K-P-G-K--A-PK-LLIYVA----------------SSL--Q--S--GV--P---SRFSGSG-------S--GT----D-FTLTISSLQP-EDFATYFCQQSNE----------------------------YPLTFG-PGTKLEIK-"/>
    <s v="hv4"/>
    <s v="kv1"/>
    <n v="8.2843849999999997E-2"/>
    <n v="0.99993080000000001"/>
    <n v="0.96431920000000004"/>
    <n v="0"/>
    <n v="1"/>
    <n v="1"/>
  </r>
  <r>
    <x v="946"/>
    <x v="4"/>
    <x v="2"/>
    <s v="QVQ-LVQSGA-ELKKPGASVKVSCKTSGYTF---------TSYGIS-WVRQ-A-P-G-Q--G-LE-WMGWISYN------------GNTYY--F--Q--KF--Q---GRVTMTR-T---T-S--TS----T-AYMEL---RS-EDTAVYYCARDLG----------------------------SRGYWG-QGTLVTVSS"/>
    <s v="DIV-MTQSPDSLAVSLGERATINCKSSQK-------------NYLA-WYQQ-K-P-G-Q--A-PR-LLIYGA----------------SSR--A--T--GI--P---DRFSGSG-------S--GT----D-FTLTISRLEP-EDFAVYYCQQYGG----------------------------SPFTFG-QGTKLEIK-"/>
    <s v="hv1"/>
    <s v="kv3"/>
    <n v="0.99999979999999999"/>
    <n v="0.97181609999999996"/>
    <n v="6.4346159999999994E-5"/>
    <n v="1"/>
    <n v="1"/>
    <n v="0"/>
  </r>
  <r>
    <x v="947"/>
    <x v="4"/>
    <x v="2"/>
    <s v="EVQ-LVESGG-GLVQPGRSLRLSCAASGFTF---------DDYAMH-WVRQ-A-P-G-K--G-LE-WVSGISWN-----------SGTIYY--A--D--SV--K---GRFTISR-D---N-A--KN----S-LFLQMNSLRA-EDTALYYCAKYG------------------------------SHRHG-QGALVTVSS"/>
    <s v="DIQ-MTQSPSSLSASVGDRVTITCRASQSI-----------SSYLN-WYQQ-K-P-G-K--A-PK-LLIYAA----------------SSL--Q--S--GV--P---SRFSGSG-------S--GT----D-FTLTISSLQP-EDFATYYCQQSS-----------------------------TPYTFG-QGTKVEIK-"/>
    <s v="hv3"/>
    <s v="kv1"/>
    <n v="0.9998591"/>
    <n v="0.99999994000000003"/>
    <n v="0.86729690000000004"/>
    <n v="1"/>
    <n v="1"/>
    <n v="1"/>
  </r>
  <r>
    <x v="948"/>
    <x v="4"/>
    <x v="2"/>
    <s v="QVQ-LQESGP-GLVKPSETLSLTCTVSGGSI---------SGYTWS-WIRQ-P-P-G-K--G-LE-WIGYIYYN------------GGTTY--N--P--SL--K---HRVSVSL-D---T-S--AS----Q-FSLKLTSVTA-ADTAVYYCARDLRYVV----------------------PGYGMDVWG-KGTTVTVSS"/>
    <s v="EIV-LTQSPATLSLSPGERATLSCRLTSQVS---------SSSYLA-WYQQ-K-P-G-Q--A-PR-LLIYDA----------------SNR--A--T--GI--P---ARFSGSG-------S--GT----D-FTLTISSLEP-EDFAVYYCQQRN-----------------------------WPLTFG-GGTKVEIK-"/>
    <s v="hv4"/>
    <s v="kv3"/>
    <n v="0.99999994000000003"/>
    <n v="0.99999994000000003"/>
    <n v="0.99627900000000003"/>
    <n v="1"/>
    <n v="1"/>
    <n v="1"/>
  </r>
  <r>
    <x v="949"/>
    <x v="4"/>
    <x v="2"/>
    <s v="EVK-LVESGG-GLVQPGGSLRLSCAASGFTF---------NSYWMI-WVRQ-A-P-G-K--G-LE-WVSVIYTG------------TTTYY--A--E--SV--K---GRFTISR-D---D-S--KN----T-LYLQMNSLKT-EDTAVYYCAREERGY-----------------------GYWGFDPWG-QGTLVTVSS"/>
    <s v="DIQ-MTQTTSSLSASLGDRVTISCRASQDI-----------SNYLN-WYQQ-K-P-D-G--T-VK-LLIYYT----------------SRL--H--S--GV--P---SRFSGSG-------S--GT----D-YSLTISNLEQ-EDIATYFCQQGNT----------------------------LPWTFG-GGTKLEIK-"/>
    <s v="hv3"/>
    <s v="kv1"/>
    <n v="0.99867620000000001"/>
    <n v="3.5242294000000002E-9"/>
    <n v="5.4313559999999997E-2"/>
    <n v="1"/>
    <n v="0"/>
    <n v="0"/>
  </r>
  <r>
    <x v="950"/>
    <x v="5"/>
    <x v="2"/>
    <s v="EVQ-LVQSGG-EVKKPGGSLKVSCKGSGYTF---------TDYYIH-WVRQ-A-P-G-Q--G-LE-WMGGLINP-----------SGSSYY--A--S--WA--K---SRVTISR-D---T-S--KN----Q-YVLKMNSLKT-EDTAVYYCTRGGSS--------------------------RYFDYWG-QGTLVTVSS"/>
    <s v="DIV-MTQSPDSLAVSLGERATINCKSSQSVLLR-----SSRKNYLA-WYQQ-K-P-G-Q--A-PK-LLIYWA----------------STR--E--S--GV--P---DRFSGSG-------S--GA----E-FTLTISSLQA-EDVAVYYCQQYYS----------------------------APPTFG-PGTKVDIK-"/>
    <s v="hv1"/>
    <s v="kv4"/>
    <n v="0.86022920000000003"/>
    <n v="0.99999994000000003"/>
    <n v="0.27566605999999999"/>
    <n v="1"/>
    <n v="1"/>
    <n v="0"/>
  </r>
  <r>
    <x v="951"/>
    <x v="5"/>
    <x v="2"/>
    <s v="EVQ-LQQSGA-ELVKPGASVKLSCTASGFNI---------KDTYMY-WVKQ-R-P-E-Q--G-LE-WIGRIDPA-----------NGDTKY--D--P--KF--Q---GKATITA-D---T-S--SN----T-AYLQLTSVTP-EDTAIYYCARGRG---------------------------YGSDFWG-QGTSVTVSS"/>
    <s v="DIL-MTQSPSSMSVSLGDTVSITCHASQGI-----------SSNIG-WLQQ-K-P-G-K--S-FM-GLIYYG----------------TNL--V--D--GV--P---SRFSGSG-------S--GA----D-YSLTISSLDS-EDFADYYCVQYAQ----------------------------LPYTFG-GGTKLEIK-"/>
    <s v="hv1"/>
    <s v="lv5"/>
    <n v="1.4871590000000001E-3"/>
    <n v="1.5476132000000001E-8"/>
    <n v="0.80923710000000004"/>
    <n v="0"/>
    <n v="0"/>
    <n v="1"/>
  </r>
  <r>
    <x v="952"/>
    <x v="5"/>
    <x v="2"/>
    <e v="#NAME?"/>
    <s v="-DT-MTQSQ-PASVSPGERVTLTCSASGSI-----------SSDLA-WYQQ-K-P-G-Q--A-PR-LLIYGA----------------SSR--A--S--GV--P---DRFSGSG-------S--GT----D-FTLAISRLEP-EDFAV-YCQQYEG----------------------------SPFTFG-PGTKVEIK-"/>
    <s v="hv4"/>
    <s v="kv3"/>
    <n v="0.99999994000000003"/>
    <n v="0.99999859999999996"/>
    <n v="1.5447750000000001E-4"/>
    <n v="1"/>
    <n v="1"/>
    <n v="0"/>
  </r>
  <r>
    <x v="953"/>
    <x v="5"/>
    <x v="2"/>
    <s v="QVQ-LQQSGA-ELVKPGASVKLSCKASGYTF---------SSYWMH-WVKQ-R-P-G-Q--G-LE-WIGEIFPG-----------SGSTNY--N--E--KF--K---GKATLTA-D---K-S--SS----T-AYMQLSSLTS-EDSAVYYCARSYYG-------------------------YEGFDPWG-QGTPVTVSS"/>
    <s v="DIQ-MTQTTSSLSASLGDRVTISCRASQDI-----------SNYLN-WYQQ-K-P-D-G--T-VK-LLIYYT----------------SRL--H--S--GV--P---SRFSGSG-------S--GT----D-YSLTISNLEQ-EDIATYFCQQGNT----------------------------LPLTFG-AGTKLELK-"/>
    <s v="hv1"/>
    <s v="kv1"/>
    <n v="9.9626009999999997E-3"/>
    <n v="4.041923E-8"/>
    <n v="7.4984586999999996E-7"/>
    <n v="0"/>
    <n v="0"/>
    <n v="0"/>
  </r>
  <r>
    <x v="954"/>
    <x v="5"/>
    <x v="2"/>
    <s v="QVQ-LVQSGA-EVKKPGASVKVSCKASGYTF---------TSYAIS-WVRQ-A-P-G-Q--G-LE-WMGWISYN------------GNTNY--A--Q--KL--Q---GRVTMTT-D---T-S--TS----T-AYMELRSLRS-DDTAVYYCARVKVR-------------------------GLPMDYWG-QGTLVTVSS"/>
    <s v="DIQ-MTQSPSSLSASVGDRVTITCRASQSI-----------SSYLN-WYQQ-K-P-G-K--A-PK-LLIYAA----------------SSL--Q--S--GV--P---SRFSGSG-------S--GT----D-FTLTISSLQP-EDFATYYCQQSYS----------------------------TPVTFG-QGTKVEIK-"/>
    <s v="hv1"/>
    <s v="kv1"/>
    <n v="0.99995655000000006"/>
    <n v="0.99999994000000003"/>
    <n v="0.99999623999999998"/>
    <n v="1"/>
    <n v="1"/>
    <n v="1"/>
  </r>
  <r>
    <x v="955"/>
    <x v="5"/>
    <x v="2"/>
    <s v="QVQ-LQQSGA-ELVKPGASVKLSCKASGYTF---------TSYWMH-WVKQ-R-P-G-Q--G-LE-WIGEIFPG-----------SGSTNY--N--E--KF--K---GKATLTA-D---K-S--SS----T-AYMQLSSLTS-EDSAVYYCARDLGY--------------------------YGMDVWG-QGTTVTVSS"/>
    <s v="DIL-LTQSPAILSVSPGERVSFSCRASQSI-----------GTDIH-WYQQ-R-T-N-G--S-PR-LLIKYA----------------SES--I--S--GI--P---SRFSGSG-------S--GT----D-FTLSINSVES-EDIADYYCQQSNW----------------------------LPWTFG-GGTKLEIK-"/>
    <s v="hv1"/>
    <s v="kv6"/>
    <n v="9.9063180000000001E-2"/>
    <n v="3.2653856999999998E-5"/>
    <n v="7.8967830000000002E-8"/>
    <n v="0"/>
    <n v="0"/>
    <n v="0"/>
  </r>
  <r>
    <x v="956"/>
    <x v="5"/>
    <x v="2"/>
    <s v="EVQ-LVESGG-GLVKPGGSLRLSCAASGFTF---------SSYSMN-WVRQ-A-P-G-K--G-LE-WVSSISSS------------SSYIY--A--D--SV--K---GRFTISR-D---N-A--KN----S-LYLQMNSLRA-EDTAVYYCARDRLYGYSG------------------GYYYYYMDVWG-KGTTVTVSS"/>
    <s v="-YE-LTQPPS-VSVAPGKTATITCGGNNIG-----------SKSVH-WYQQ-K-P-G-Q--A-PV-LVIYKD----------------SER--P--S--GI--P---ERFSGSN-------S--GN----T-ATLTISRVEA-GDEADYYCQVWD-----------------------------SGVVFG-GGTKLTVL-"/>
    <s v="hv3"/>
    <s v="lv3"/>
    <n v="0.99999994000000003"/>
    <n v="0.99999994000000003"/>
    <n v="0.99999979999999999"/>
    <n v="1"/>
    <n v="1"/>
    <n v="1"/>
  </r>
  <r>
    <x v="957"/>
    <x v="5"/>
    <x v="2"/>
    <s v="EVQ-LVESGG-GLVKPGGSLRLSCAASGFTF---------STYSMN-WVRQ-A-P-G-K--G-LE-WVGSITSS------------RSIYY--A--D--SV--K---GRFTISR-D---N-S--KN----T-LFLQM---RA-EDTAVYYCVKDTGD--------------------------LVYDYWG-QGTLVTVSS"/>
    <s v="DIQ-MTQSPSSLSASVGDRVTITCRASQSI-----------SNYLN-WYQQ-K-P-G-K--A-PK-LLIYAA----------------SSL--Q--S--GV--P---SRFSGSG-------S--GT----D-FTLTISSLQP-EDFATYYCQQSYS---------------------------TLALTFG-GGTKVEIK-"/>
    <s v="hv3"/>
    <s v="kv1"/>
    <n v="0.99999994000000003"/>
    <n v="0.99999994000000003"/>
    <n v="2.7344675999999998E-2"/>
    <n v="1"/>
    <n v="1"/>
    <n v="0"/>
  </r>
  <r>
    <x v="958"/>
    <x v="5"/>
    <x v="2"/>
    <s v="QVQ-LVQSGA-EVKRPGSSVTVSCKASGGSF---------STYALS-WVRQ-A-P-G-Q--G-LE-WMGGIIPI-----------FGGNKY--A--Q--KF--Q---GRVTITA-D---K-S--TS----T-AYMELSSLRS-EDTAVYYCARGEHG--------------------------NWYDVWG-QGTTVTVSS"/>
    <s v="DIQ-MTQSPSSLSASVGDRVTITCRASQSI-----------DNYLN-WYQQ-K-P-G-K--A-PK-LLIYAA----------------SSL--Q--S--GV--P---SRFSGSG-------S--GT----D-FTLTISSLQP-EDFATYYCQQSYS----------------------------TPFTFG-PGTKVDIK-"/>
    <s v="hv1"/>
    <s v="kv1"/>
    <n v="0.99999979999999999"/>
    <n v="0.99999994000000003"/>
    <n v="0.99477079999999996"/>
    <n v="1"/>
    <n v="1"/>
    <n v="1"/>
  </r>
  <r>
    <x v="959"/>
    <x v="5"/>
    <x v="2"/>
    <s v="EVQ-LVESGG-GLVQPGGSLRLSCAASGFNF---------SSSSIH-WVRQ-A-P-G-K--G-LE-WVASIYSY-----------YGSTSY--A--D--SV--K---GRFTISA-D---T-S--KN----T-AYLQMNSLRA-EDTAVYYCARDRSS--------------------------GYLDYWG-QGTLVTVSS"/>
    <s v="DIV-MTQSPLSLPVTPGEPASISCRSSQSLLHS------NGYNYLD-WYLQ-K-P-G-Q--S-PQ-LLIYLG----------------SNR--A--S--GV--P---DRFSGSG-------S--GT----D-FTLKISRVEA-EDVGVYYCMQALQ----------------------------TPFTFG-PGTKVEIK-"/>
    <s v="hv3"/>
    <s v="kv2"/>
    <n v="0.99997599999999998"/>
    <n v="0.99999994000000003"/>
    <n v="1.1485341E-2"/>
    <n v="1"/>
    <n v="1"/>
    <n v="0"/>
  </r>
  <r>
    <x v="960"/>
    <x v="5"/>
    <x v="2"/>
    <s v="QVQ-LVESGG-GLVKPGGSLRLSCAASGFTF---------SSYSIH-WVRQ-A-P-G-K--G-LE-WVSSISGS------------GGTYY--A--D--SV--K---GRFTISR-D---N-S--KN----T-LYLQM---RA-EDTAVYYCAKDDD----------------------------IYDYWG-QGTLVTVSS"/>
    <s v="EIV-LTQSPATLSLSPGERATLSCRASQSV-----------SSYLA-WYQQ-K-P-G-Q--A-PR-LLIYGA----------------SSR--A--T--GI--P---ARFSGSG-------S--GT----D-FTLTI-RLEP-EDFAVYYCQQYG-----------------------------SSPTFG-QGTKVEIK-"/>
    <s v="hv3"/>
    <s v="kv3"/>
    <n v="0.99999994000000003"/>
    <n v="0.99999994000000003"/>
    <n v="5.4700717000000003E-2"/>
    <n v="1"/>
    <n v="1"/>
    <n v="0"/>
  </r>
  <r>
    <x v="961"/>
    <x v="5"/>
    <x v="2"/>
    <e v="#NAME?"/>
    <s v="-IV-MTQSPSSLSASVGDRVTITCRASQSV-----------SSAVA-WYQQ-K-P-G-K--A-PK-LLIYSA----------------SSL--Y--S--GV--P---SRFSGSR-------S--GT----D-FTLTISSLQP-EDFATYYCQQYLY---------------------------YSLVTFG-QGTKVEIK-"/>
    <s v="hv3"/>
    <s v="kv1"/>
    <n v="0.99999945999999995"/>
    <n v="0.99999720000000003"/>
    <n v="2.2116610000000002E-3"/>
    <n v="1"/>
    <n v="1"/>
    <n v="0"/>
  </r>
  <r>
    <x v="962"/>
    <x v="5"/>
    <x v="2"/>
    <s v="EVQ-LVESGG-GLVQPGGSLRLSCAASGFTF---------SSYAMS-WVRQ-A-P-G-K--G-LE-WVSAISSS------------GSTYY--A--D--SV--K---GRFTISR-D---N-S--KN----T-LYLQMNSLRA-EDTAVYYCARYDGYQ-----------------------NWRWYDVWG-QGTTVTVSS"/>
    <s v="DIQ-LTQSPSSLSASVGDRVTITCRASQSI-----------SDYLA-WYQQ-K-P-G-K--A-PK-LLIYAA----------------SYL--E--S--GV--P---SRFSGSG-------S--GT----D-FTLTISSLQP-EDFATYYCQQGAN---------------------------SALITFG-QGTKVEIK-"/>
    <s v="hv3"/>
    <s v="kv1"/>
    <n v="0.75117385000000003"/>
    <n v="0.99999994000000003"/>
    <n v="9.0500707000000004E-4"/>
    <n v="1"/>
    <n v="1"/>
    <n v="0"/>
  </r>
  <r>
    <x v="963"/>
    <x v="5"/>
    <x v="2"/>
    <s v="EVQ-LVESGG-GLVQPGGSLRLSCAASGFTF---------STYAMS-WVRQ-A-P-G-K--G-LE-WVSGISDG------------SSIYY--A--D--SV--K---GRFTISR-D---N-S--KN----T-LYLQM---RA-EDTAVYYCARLGY----------------------------GGDYWG-QGTLVTVSS"/>
    <s v="DIQ-MTQSPSTLSASVGDRVTITCRASQSI-----------SSWLA-WYQQ-K-P-G-K--A-PK-LLIYKA----------------SSL--E--S--GV--P---SRFSGSG-------S--GT----E-FTLTISSLQP-DDFATYYCQQYN------------------------------YWTFG-QGTKVEIK-"/>
    <s v="hv3"/>
    <s v="kv1"/>
    <n v="0.99998635000000002"/>
    <n v="0.99999994000000003"/>
    <n v="0.96030789999999999"/>
    <n v="1"/>
    <n v="1"/>
    <n v="1"/>
  </r>
  <r>
    <x v="964"/>
    <x v="5"/>
    <x v="2"/>
    <e v="#NAME?"/>
    <s v="DIQ-MTQSPSSLSASVGDRVTITCRASQSI-----------SSYLN-WYQQ-K-P-G-K--A-PK-LLIYAA----------------SSL--Q--S--GV--P---SRFSGSG-------S--GT----D-FTLTISSLQP-EDFATYYCQQSYS----------------------------TPWTFG-QGTKVEIK-"/>
    <s v="hv1"/>
    <s v="kv1"/>
    <n v="0.99146484999999995"/>
    <n v="0.99999994000000003"/>
    <n v="0.999942"/>
    <n v="1"/>
    <n v="1"/>
    <n v="1"/>
  </r>
  <r>
    <x v="965"/>
    <x v="5"/>
    <x v="2"/>
    <s v="QVQ-LQQSGA-ELARPGASVKLSCKASGYTF---------TSYWMH-WVKQ-R-P-G-Q--G-LE-WIGYIYHS-----------GDTTNY--N--E--KF--K---GKATLTA-D---K-S--SS----T-AYMQLTSLTS-EDSAVYFCARALTY--------------------------GYDYLWG-PGTLVTVSA"/>
    <s v="DIV-MTQSPSSLSA-VGDRVTITCQASQDI-----------SNYLN-WYQQ-R-P-G-K--A-PK-LLIYDA----------------SNL--E--T--GV--P---SRFSGSG-------S--GT----D-FTFTISSLQP-EDIATYYCQQYDY----------------------------VPLTFG-GGTKVEIK-"/>
    <s v="hv1"/>
    <s v="kv1"/>
    <n v="5.3196976999999998E-6"/>
    <n v="0.99999994000000003"/>
    <n v="2.1134826E-4"/>
    <n v="0"/>
    <n v="1"/>
    <n v="0"/>
  </r>
  <r>
    <x v="966"/>
    <x v="5"/>
    <x v="2"/>
    <s v="EVQ-LVESGG-GLVQPGGSLRLSCAASGFTF---------SSYAMS-WVRQ-A-P-G-K--G-LE-WVSGISWN------------GGINY--A--D--SV--K---GRFTISR-D---N-A--KN----S-LYLQM---RA-EDTAVYYCARSRG----------------------------YSSVWG-KGTSVTVSS"/>
    <s v="DIQ-MTQSPSSLSASVGDRVTITCRASQSI-----------SSYLN-WYQQ-K-P-G-K--A-PK-LLIYAA----------------SSL--Q--S--GV--P---SRFSGSG-------S--GT----D-FTLTISSLQP-EDFATYYCQQSYS----------------------------TPITFG-QGTKVEIK-"/>
    <s v="hv3"/>
    <s v="kv1"/>
    <n v="0.99999970000000005"/>
    <n v="0.99999994000000003"/>
    <n v="0.89180760000000003"/>
    <n v="1"/>
    <n v="1"/>
    <n v="1"/>
  </r>
  <r>
    <x v="967"/>
    <x v="5"/>
    <x v="2"/>
    <e v="#NAME?"/>
    <s v="--E-LTQPPS-VSVSPGQTASITCSGDKLG-----------KNYVS-WYQQ-V-P-G-T--A-PK-LLIYDN----------------NKR--P--S--GI--P---ERFSGSS-------S--GN----T-ATLTISGTQA-MDEADYYCQTYDS----------------------------SSTVFG-GGTKLTVL-"/>
    <s v="hv1"/>
    <s v="lv3"/>
    <n v="0.99999959999999999"/>
    <n v="0.99997382999999995"/>
    <n v="0.93831010000000004"/>
    <n v="1"/>
    <n v="1"/>
    <n v="1"/>
  </r>
  <r>
    <x v="968"/>
    <x v="5"/>
    <x v="2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969"/>
    <x v="5"/>
    <x v="2"/>
    <s v="QVQ-LQQSGP-ELVKPGASVKISCKASGYTF---------TDYSMH-WVKQ-R-P-G-R--G-LE-WIGRTING-----------SGTANY--N--Q--KF--K---GRATLTV-D---K-S--ST----T-AYMQLSSVTS-EDSAIYYCARRGE---------------------------GWFAYWG-QGTTLTVSS"/>
    <s v="DIV-LTQSPAILSVSPGERVSFSCRASQTIE----------TSLIH-WVQE-K-P-D-Q--L----LLICYD----------------STL--H--P--GI--P---ARFSGSG-------S--GR----D-YSFSISNLEP-EDIATYYCLQYD-----------------------------NLPWFG-GGTKLEIK-"/>
    <s v="hv1"/>
    <s v="kv3"/>
    <n v="0.99316939999999998"/>
    <n v="6.109345E-4"/>
    <n v="1.5865769E-3"/>
    <n v="1"/>
    <n v="0"/>
    <n v="0"/>
  </r>
  <r>
    <x v="970"/>
    <x v="5"/>
    <x v="2"/>
    <s v="EVQ-LVESGG-GLVQPGGSLRLSCAASGFTF---------SNWMIH-WVRQ-T-P-G-K--G-LE-WVASISSS-----------SGSTSY--A--D--SV--K---GRFTISA-D---T-S--KN----T-AYLQMNSLRA-EDTAVYYCARSRGWY------------------------GDAFDIWG-QGTLVTVSS"/>
    <s v="EIV-LTQSPATLSLSPGERATLSCRASQSVS----------SSYLA-WYQQ-K-P-G-Q--A-PR-LLIYGA----------------STR--A--T--GI--P---ARFSGSG-------S--GT----E-FTLTISSLQS-EDFAVYYCQQYNN----------------------------WPITFG-QGTKVEIK-"/>
    <s v="hv3"/>
    <s v="kv3"/>
    <n v="0.99998240000000005"/>
    <n v="0.99999994000000003"/>
    <n v="0.98559903999999998"/>
    <n v="1"/>
    <n v="1"/>
    <n v="1"/>
  </r>
  <r>
    <x v="971"/>
    <x v="5"/>
    <x v="2"/>
    <s v="EVQ-LVESGG-GLVQPGGSLRLSCAASGFNNY--------SIHWMQ-WVRR---P-G-K--G-LE-WVASISSG------------GSTYY--A--D--SV--K---GRFTISA-D---T-S--KN----T-AYLQMNSLRA-EDTAVYYCARGSS---------------------------NYYDYWG-QGTLVTVSS"/>
    <s v="DIQ-MTQSPSSLSASVGDRVTITCRASQSV-----------SSAVA-WYQQ-K-P-G-K--A-PK-LLIYSA----------------SSL--Y--S--GV--P---SRFSGSR-------S--GT----D-FTLTISSLQP-EDFATYYCQQYSY----------------------------YPAVFG-QGTKVEIK-"/>
    <s v="hv3"/>
    <s v="kv1"/>
    <n v="0.99999459999999996"/>
    <n v="0.99998885000000004"/>
    <n v="0.99883549999999999"/>
    <n v="1"/>
    <n v="1"/>
    <n v="1"/>
  </r>
  <r>
    <x v="972"/>
    <x v="5"/>
    <x v="2"/>
    <s v="QVQ-LVQSGG-QMKKPGASVKISCKTSGYIF---------TDYFLH-WVKQ-R-P-G-Q--G-LE-WIGWISAY------------SGGNY--N--Q--KF--K---GKATLTA-D---K-S--SN----T-AYMQLSSLTS-EDSAVYFCARSW-----------------------------PFDYWG-QGTTLTVSS"/>
    <s v="DIV-MTQSPSSLTVTAGEKVTMSCKSSQSVL----------SRNLA-WYQQ-K-P-G-Q--S-PK-LLIYWA----------------STR--E--S--GV--P---DRFTGSG-------S--GT----D-FTLTISSVQA-EDLADYFCQQYE------------------------------YRTFG-GGTKLEIK-"/>
    <s v="hv1"/>
    <s v="lv5"/>
    <n v="9.3051960000000003E-2"/>
    <n v="1.4987619000000001E-9"/>
    <n v="1.2643858000000001E-3"/>
    <n v="0"/>
    <n v="0"/>
    <n v="0"/>
  </r>
  <r>
    <x v="973"/>
    <x v="5"/>
    <x v="2"/>
    <s v="EVQ-LVESGG-GLVQPGGSLRLSCAASGFTF---------SNFAMS-WVRQ-T-P-G-K--G-LE-WVSTISNG------------GGTYY--A--D--SV--K---GRFTISR-D---N-A--KN----S-LYLQM---RA-EDTAVYYCVKD--------------------------------DYWG-QGTLVTVSS"/>
    <s v="DIQ-MTQSPSSLSASVGDRVTITCRASQSI-----------SNWLA-WYQQ-K-P-G-K--A-PK-LLIYAA----------------SSL--Q--S--GV--P---SRFSGSG-------S--GT----D-FTLTISSLQP-EDFATYYCQQHYT----------------------------TPPTFG-QGTKVEIK-"/>
    <s v="hv3"/>
    <s v="kv1"/>
    <n v="0.99951416000000004"/>
    <n v="0.99932960000000004"/>
    <n v="0.95972199999999996"/>
    <n v="1"/>
    <n v="1"/>
    <n v="1"/>
  </r>
  <r>
    <x v="974"/>
    <x v="5"/>
    <x v="2"/>
    <e v="#NAME?"/>
    <s v="DIV-MSQSPSSLAVSAGEKVTMSCKSSQSLLNS-----GNQKNYLA-WYQQ-K-P-G-Q--P-PK-LLIYWA----------------STR--E--S--GV--P---DRFTGSG-------S--GT----D-FTLTISSLQA-EDVAVYYCQQYYD---------------------------SAPRTFG-GGTKVEIK-"/>
    <s v="hv3"/>
    <s v="kv4"/>
    <n v="0.99957339999999995"/>
    <n v="0.1834778"/>
    <n v="0.53733103999999998"/>
    <n v="1"/>
    <n v="0"/>
    <n v="1"/>
  </r>
  <r>
    <x v="975"/>
    <x v="5"/>
    <x v="2"/>
    <e v="#NAME?"/>
    <s v="DIQ-MTQSPSSLSASVGDRVTITCRASQSI-----------SSWLA-WYQQ-K-P-G-K--A-PK-LLIYSA----------------SFL--Y--S--GV--P---SRFSGSG-------S--GT----D-YTLTISSLQP-EDFATYYCQQYSS----------------------------FPWTFG-GGTKVEIK-"/>
    <s v="hv1"/>
    <s v="kv1"/>
    <n v="0.99968409999999996"/>
    <n v="0.99933976000000002"/>
    <n v="0.97316426"/>
    <n v="1"/>
    <n v="1"/>
    <n v="1"/>
  </r>
  <r>
    <x v="976"/>
    <x v="5"/>
    <x v="2"/>
    <s v="EVQ-LVESGG-GLVQPGGSLRLSCAASGFTF---------SSYAMS-WVRQ-A-P-G-K--G-LE-WVSAISGS-----------GGSTYY--A--D--SV--K---GRFTISR-D---N-S--KN----T-LYLQMNSLRA-EDTAVYYCAKDR-----------------------------GVDYWG-QGTLVTVSS"/>
    <s v="DIQ-MTQSPSSLSASVGDRVTITCRASQSV-----------SSAVA-WYQQ-K-P-G-K--A-PK-LLIYSA----------------SYR--Y--T--GV--P---SRFSGSG-------S--GT----D-FTLTISSLQP-EDFATYYCQQYK-----------------------------YPPTFG-QGTKVEIK-"/>
    <s v="hv3"/>
    <s v="kv1"/>
    <n v="2.0093316E-2"/>
    <n v="0.98770990000000003"/>
    <n v="1.18439595E-4"/>
    <n v="0"/>
    <n v="1"/>
    <n v="0"/>
  </r>
  <r>
    <x v="977"/>
    <x v="5"/>
    <x v="2"/>
    <s v="QVQ-LVQSGA-EVKKPGASVKVSCKASGYTF---------TSYYMY-WVRQ-A-P-G-Q--G-LE-WMGWISYN------------GNTYY--A--Q--KF--Q---GRVTMTT-D---T-S--TT----T-GYMELRRLRS-DDTAVYYCARQQV----------------------------NFDYWG-QGTLVTVSS"/>
    <s v="DIQ-MTQSPSSLSASVGDRVTITCRASQSI-----------SSWLA-WYQQ-K-P-G-K--A-PK-LLIYAA----------------SSL--Q--S--GV--P---SRFSGSG-------S--GT----D-FTLTISSLQP-EDFATYYCQQYNS---------------------------YFPITFG-QGTKLEIK-"/>
    <s v="hv1"/>
    <s v="kv1"/>
    <n v="0.99999934000000001"/>
    <n v="0.99999994000000003"/>
    <n v="0.99122613999999998"/>
    <n v="1"/>
    <n v="1"/>
    <n v="1"/>
  </r>
  <r>
    <x v="978"/>
    <x v="5"/>
    <x v="2"/>
    <s v="EVQ-LVESGG-GLVQPGGSLRLSCAASGFTF---------SNYYMS-WVRQ-A-P-G-K--G-LE-WVANIKDG------------SEKYY--V--D--SV--K---GRFTISR-D---N-A--KN----S-LYLQMNSLRA-EDTAVYYCARKGQGVV---------------------GYYYGMDVWG-QGTTVTVSS"/>
    <s v="DIQ-MTQSPSSLSASVGDRVTITCRASQSI-----------SSYLN-WFQH-K-P-G-K--A-PK-LLIYKA----------------SSL--Q--S--GV--P---SRFSGSG-------S--GT----D-FTLTISSLQP-EDFATYYCQQSY-----------------------------YPYTFG-QGTKLEIK-"/>
    <s v="hv3"/>
    <s v="kv1"/>
    <n v="0.99810666000000003"/>
    <n v="0.99999994000000003"/>
    <n v="0.99998670000000001"/>
    <n v="1"/>
    <n v="1"/>
    <n v="1"/>
  </r>
  <r>
    <x v="979"/>
    <x v="5"/>
    <x v="2"/>
    <s v="EVK-LQESGA-EVKKPGSSVKVSCKASGGTF---------TSYAMH-WVRQ-A-P-G-Q--R-LE-WMGLIYTGD----------DTTYPS--A--Q--KF--Q---GRITMTT-D---I-S--TS----T-AYMELSSLRS-EDTAVYYCARVSDG--------------------------AYFDYWG-QGTTLTVSS"/>
    <s v="DIV-LTQSPASLAVSLGQRATISCRASESVDS-------YGNSFMN-WFQQ-K-P-G-Q--P-PK-LLIYAA----------------SNL--G--S--GV--P---ARFSGSG-------S--GT----D-FTLNIHPVEE-EDAATYYCQQSNE----------------------------DPWTFG-GGTKLEIK-"/>
    <s v="hv1"/>
    <s v="lv3"/>
    <n v="0.18064163999999999"/>
    <n v="5.9354140000000002E-8"/>
    <n v="2.9723849999999999E-6"/>
    <n v="0"/>
    <n v="0"/>
    <n v="0"/>
  </r>
  <r>
    <x v="980"/>
    <x v="5"/>
    <x v="2"/>
    <s v="-VQ-LVQSGA-EVKRPGSSVRVSCKASGGTF---------NNYFWS-WVRQ-A-P-G-R--G-LE-WMGGIFPI------------SGSTY--A--Q--QF--Q---GRVTMTR-D---T-S--IS----T-AYMEL---RS-DDTAVYYCARG-------------------------------QDYWG-RGTLVTVSS"/>
    <s v="DIQ-MTQSPSTLSASVGDRVTITCRSSQSV-----------DNWLA-WYQQ-K-P-G-K--A-PK-LLIYKA----------------STL--E--S--GV--P---SRFSGSG-------S--GT----E-FTLTISSLQP-DDFATYYCQQYNN----------------------------YPYTFG-QGTKVEIK-"/>
    <s v="hv1"/>
    <s v="kv1"/>
    <n v="0.99999994000000003"/>
    <n v="0.99999994000000003"/>
    <n v="0.98528119999999997"/>
    <n v="1"/>
    <n v="1"/>
    <n v="1"/>
  </r>
  <r>
    <x v="981"/>
    <x v="5"/>
    <x v="2"/>
    <s v="QVQ-LQQSGP-ELVKPGASVKISCKASGYTF----------TDFMH-WVKQ-S-H-A-KE-S-LE-WIGFISYN------------GNTNY--N--Q--KF--K---GKATFTT-D-----S--SS----T-AYMELRSLTS-EDSAVYYCARD--------------------------------QIWG-QGTTVTVSS"/>
    <s v="DIV-LTQSPDSLAVSLGERATINCKSSQNN-----------KNYLA-WYQQ-K-P-G-Q--P-PK-LLIYWA----------------STR--H--A--GV--P---DRFSGSG-------S--GT----D-FTLTISSLQA-EDVAVYYCQQYYS----------------------------YPFTFG-PGTKVDIK-"/>
    <s v="hv1"/>
    <s v="kv4"/>
    <n v="0.98958283999999996"/>
    <n v="0.99999994000000003"/>
    <n v="5.0167014999999997E-5"/>
    <n v="1"/>
    <n v="1"/>
    <n v="0"/>
  </r>
  <r>
    <x v="982"/>
    <x v="5"/>
    <x v="2"/>
    <s v="EVQ-LVESGG-GLVQPGGSLRLSCAASGFTF---------SDYAMS-WVRQ-A-P-G-K--G-LE-WVSGISWN-----------SGYTEY--A--D--SV--K---GRFTISR-D---N-S--KN----T-LYLQMNSLRA-EDTAIYYCVKDYYDY------------------------RGWGDLWG-RGTLVTVSS"/>
    <s v="DIV-MTQSPSSLAVSAGEKVTMSCKSSQSLSSR------NQKNYLA-WYQQ-K-P-G-Q--P-PK-LLIYWA----------------STR--E--S--GV--P---DRFTGSG-------S--GT----D-FTLTISSVQA-EDLAVYYCHQYL-----------------------------NPRTFG-PGTKVDIK-"/>
    <s v="hv3"/>
    <s v="kv4"/>
    <n v="0.99999684"/>
    <n v="1.9795916E-4"/>
    <n v="9.4335570000000004E-3"/>
    <n v="1"/>
    <n v="0"/>
    <n v="0"/>
  </r>
  <r>
    <x v="983"/>
    <x v="5"/>
    <x v="2"/>
    <s v="QVQ-LVQSGA-EVKKPGASVKVSCKASGYTF---------TSYAIS-WVRQ-A-P-G-Q--G-LE-WMGWINNS------------GGTNY--A--Q--KF--Q---GRVTMTT-D---T-S--TS----T-AYMEL---RS-EDTAVYYCARSDYSYG----------------------SYSGYDYWG-QGTLVTVSS"/>
    <s v="DIQ-MTQSPSSLSASVGDRVTITCKASQNV-----------DTDLA-WYQQ-K-P-G-K--A-PK-LLIYAA----------------SNL--Q--S--GV--P---SRFSGSG-------S--GT----D-FTLTISSLQP-EDFATYYCQQYNN----------------------------YPLTFG-QGTKVEIK-"/>
    <s v="hv1"/>
    <s v="kv1"/>
    <n v="0.9999673"/>
    <n v="0.76060660000000002"/>
    <n v="4.0120805999999999E-4"/>
    <n v="1"/>
    <n v="1"/>
    <n v="0"/>
  </r>
  <r>
    <x v="984"/>
    <x v="5"/>
    <x v="2"/>
    <s v="EVQ-LVESGG-GLVQPGGSLRLSCAASGFTF---------SSYAMS-WVRQ-V-P-G-K--G-LE-WVSGIFDDS----------GDTIYY--A--D--SV--K---GRFTISR-D---N-A--KN----S-LYLQMNSLRA-EDTAVYYCARVVGV--------------------------GYFDYWG-QGTLVTVSS"/>
    <s v="QAV-VTQESA-LTTSPGETVTLTCRSSTGAVT--------TSNYAN-WVQE-K-P-D-H--L-FT-GLIGGI----------------NNR--A--P--GV--P---ARFSGSL-------I--GD----K-AALTITGAQT-EDEADYYCATWDS----------------------------SLWVFG-GGTKLTVL-"/>
    <s v="hv3"/>
    <s v="lv7"/>
    <n v="0.99986553"/>
    <n v="2.2245329999999999E-7"/>
    <n v="0.97925549999999995"/>
    <n v="1"/>
    <n v="0"/>
    <n v="1"/>
  </r>
  <r>
    <x v="985"/>
    <x v="5"/>
    <x v="2"/>
    <s v="EVQ-LVESGG-GLVQPGGSLRLSCAASGFTF---------SNYAMT-WVRQ-A-P-G-E--G-LE-WVSYISSS-----------SGYTYY--A--D--SV--K---GRFTISR-D---N-S--KN----T-LYLQMNSLRA-EDTAVYYCARETYYD------------------------NGYFDYWG-QGTLVTVSS"/>
    <s v="DIQ-MTQSPSSLSASVGDRVTITCRASQSI-----------SSYLN-WYQQ-K-P-G-K--A-PK-LLIYRA----------------SRL--Q--S--GV--P---SRFSGSG-------S--GT----D-FTLTISSLQP-EDFATYYCQQSYS----------------------------TPPTFG-QGTKVEIK-"/>
    <s v="hv3"/>
    <s v="kv1"/>
    <n v="0.99999994000000003"/>
    <n v="0.99998014999999996"/>
    <n v="0.99742454000000003"/>
    <n v="1"/>
    <n v="1"/>
    <n v="1"/>
  </r>
  <r>
    <x v="986"/>
    <x v="5"/>
    <x v="2"/>
    <s v="EVQ-LVESGG-GLVKAGGSLRLSCAASGFTF---------SDYYMS-WVRQ-A-P-G-K--G-LE-WVGRIKSKD---------DVSYTSY--A--D--SV--K---GRFTISR-D---N-A--KN----T-LYLQMNSLRA-EDTAVYYCARRAPYY------------------------GYLGAYWG-QGTLVTVSS"/>
    <s v="DIQ-MTQSPSSLSASVGDRVTITCRASQSV-----------SSAVA-WYQQ-K-P-G-K--A-PK-LLIYSA----------------SSL--Y--S--GV--P---SRFSGSR-------S--GT----D-FTLTISSLQP-EDFATYYCQQSSS----------------------------YPVTFG-QGTKVEIK-"/>
    <s v="hv3"/>
    <s v="kv1"/>
    <n v="0.99996894999999997"/>
    <n v="0.99999744000000002"/>
    <n v="0.62980354000000005"/>
    <n v="1"/>
    <n v="1"/>
    <n v="1"/>
  </r>
  <r>
    <x v="987"/>
    <x v="5"/>
    <x v="2"/>
    <s v="QVQ-LVQSGP-GLVAPSQSLSITCTVSGFSL---------TGYYWS-WIRQ-P-P-G-K--G-LE-WLGVIWAG------------GSTDY--N--S--AL--K---SRLSISK-D---N-S--KS----Q-VFLKMNSLQT-DDTARYYCARDR-----------------------------YDDYWG-QGTSVTVSS"/>
    <s v="DIQ-MTQSPSSLSASLGDRVTISCRASQDIS---------IGNLLH-WYQQ-K-P-G-K--A-PK-LLIYT-----------------STL--Q--S--GI--P---SRFSGSG-------S--GR----D-YSLTISNLEP-EDIATYYCLQYDN----------------------------LPLTFG-AGTKLELK-"/>
    <s v="hv4"/>
    <s v="kv1"/>
    <n v="7.3672435999999994E-2"/>
    <n v="3.3419929000000001E-4"/>
    <n v="5.5930320000000004E-3"/>
    <n v="0"/>
    <n v="0"/>
    <n v="0"/>
  </r>
  <r>
    <x v="988"/>
    <x v="5"/>
    <x v="2"/>
    <s v="EVQ-LVESGG-GLVQPGGSLRLSCAASGFTF---------SSYAMH-WVRQ-A-P-G-K--G-LE-WVANIKDG------------SEKYY--V--D--SV--K---GRFTISR-D---N-A--KN----T-LYLQMSSLRA-EDTAVYYCARQQVY--------------------------GGGDYWG-QGTLVTVSS"/>
    <s v="--V-MTQSPSSLSASVGDRVTITCRASQSI-----------SSYLN-WYQQ-K-P-G-K--A-PK-LLIYDA----------------SNL--E--T--GV--P---SRFSGSG-------S--GT----D-FTFTISSLQP-EDIATYYCQQYD-----------------------------YSATFG-QGTKVEIK-"/>
    <s v="hv3"/>
    <s v="kv1"/>
    <n v="0.99946630000000003"/>
    <n v="0.99999994000000003"/>
    <n v="0.46506273999999997"/>
    <n v="1"/>
    <n v="1"/>
    <n v="0"/>
  </r>
  <r>
    <x v="989"/>
    <x v="5"/>
    <x v="2"/>
    <s v="EVK-LQESGP-ELKKPGASVKVSCKASGYTF---------TDYWMH-WVKQ-A-P-G-Q--G-LE-WIGGIFPSD----------SYTNGY--T--Q--KF--K---GKATLTA-D---K-S--SS----T-AYMQLSSLTS-EDSAVYFCARRYG----------------------------YYDYWG-QGTTVTVSS"/>
    <s v="DIE-LTQTPY--TVSLGQKVSLTCKASQSID----------YSALA-WYRQ-K-P-D-G--T-VK-LLIYYTT--------------QLPP--S--S--GV--P---DRFSGSG-------S--GT----D-YSLTISSLEP-EDFAIYYCQQTN-----------------------------WPLTFG-AGTKLELK-"/>
    <s v="hv1"/>
    <s v="kv3"/>
    <n v="9.5273150000000002E-7"/>
    <n v="5.1893523000000002E-10"/>
    <n v="3.927078E-10"/>
    <n v="0"/>
    <n v="0"/>
    <n v="0"/>
  </r>
  <r>
    <x v="990"/>
    <x v="5"/>
    <x v="2"/>
    <s v="EVQ-LVESGG-GLVQPGGSLRLSCAASGFTF---------SNYWMN-WVRQ-A-P-G-K--G-LE-WVAYISSY-----------SGYTSY--A--D--SV--K---GRFTISA-D---T-S--KN----T-AYLQMNSLRA-EDTAVYYCARVSYY-------------------------DGVFDYWG-QGTLVTVSS"/>
    <s v="DIQ-MTQSPSSLSASVGDRVTITCRASQDI-----------NEWLA-WYQQ-K-A-G-K--A-PK-LLIYTA----------------TNL--Q--S--GV--P---SRFSGSG-------S--GT----D-FTLTISSLQP-EDFATYYCQQYNY----------------------------SLITFG-GGTKVEIK-"/>
    <s v="hv3"/>
    <s v="kv1"/>
    <n v="0.99998920000000002"/>
    <n v="0.97676194000000005"/>
    <n v="0.18025598000000001"/>
    <n v="1"/>
    <n v="1"/>
    <n v="0"/>
  </r>
  <r>
    <x v="991"/>
    <x v="5"/>
    <x v="2"/>
    <s v="QLQ-LQESGP-GLVKPSETLSLTCTVSGFSL---------TNYGLH-WVRQ-P-P-G-K--G-LE-WIGYIYG-------------SGSTY--N--P--SL--K---SRVTVSV-D---M-S---S----T-KYIQMKSLQF-DV-----SAD---------------------------------EYWG-QGTMVTVSS"/>
    <s v="DIE-LTQSPSSLSASVGDRVTITCRASQGV-----------STDLA-WYQQ-K-P-G-K--A-PK-LLIYAA----------------SNL--Q--S--GV--P---SRFSGSG-------S--GT----D-FTLTISSLQP-EDFATYYCQQGNT----------------------------FPLTFG-GGTKVEIK-"/>
    <s v="hv4"/>
    <s v="kv1"/>
    <n v="1.1460941999999999E-3"/>
    <n v="0.99986459999999999"/>
    <n v="2.0033641999999999E-4"/>
    <n v="0"/>
    <n v="1"/>
    <n v="0"/>
  </r>
  <r>
    <x v="992"/>
    <x v="5"/>
    <x v="2"/>
    <s v="QVQ-LQQSGA-ELVRPGTSVKLSCTVSGFYT----------TYHWL-WIRQ-P-G-P-G--G-FE-WIGYINQY------------GYTSY--N--Q--KF--Q---DKATLTA-D---K-S--SS----T-AYMQLTSLTS-EDSAVYYCARSVYS-------------------------DGSDFWNG-HGTAVTVSS"/>
    <s v="DIQ-MTQSPSSLSASLGDRVTITCRASQDI-----------SNYLN-WYQQ-K-P-G-K--A-PR-LLIYGA----------------SSL--Q--S--GV--P---SRFSGSG-------S--GT----E-FTLTISSLQP-EDFATYYCQQSYT----------------------------TPYTFG-QGTKVEIK-"/>
    <s v="hv4"/>
    <s v="kv1"/>
    <n v="6.3339739999999998E-4"/>
    <n v="0.99999970000000005"/>
    <n v="0.74337169999999997"/>
    <n v="0"/>
    <n v="1"/>
    <n v="1"/>
  </r>
  <r>
    <x v="993"/>
    <x v="5"/>
    <x v="2"/>
    <e v="#NAME?"/>
    <s v="DIQ-MTQSPSSLSASVGDRVTITCRASQSV-----------SSAVA-WYQQ-K-P-G-K--A-PK-LLIYSA----------------SSL--Y--S--GV--P---SRFSGSR-------S--GT----D-FTLTISSLQP-EDFATYYCQQIWS----------------------------TPITFG-QGTKVEIK-"/>
    <s v="hv3"/>
    <s v="kv1"/>
    <n v="0.99999636000000003"/>
    <n v="0.99999959999999999"/>
    <n v="0.95319480000000001"/>
    <n v="1"/>
    <n v="1"/>
    <n v="1"/>
  </r>
  <r>
    <x v="994"/>
    <x v="5"/>
    <x v="2"/>
    <s v="EVQ-LVESGG-GLVQPGGSLRLSCAASGFTF---------SNFGMH-WVRQ-T-P-E-K--R-LE-WVAYISSG------------GNTYY--A--D--SV--K---GRFTISA-D---T-S--KN----T-AYLQM---RA-EDTAVYYCARSY-----------------------------GSDYWG-QGTLVTVSS"/>
    <s v="DIQ-MTQSPSSLSASVGDRVTITCRASQGI------------RDVA-WYQQ-K-P-G-K--A-PK-LLIYYA----------------STL--Q--S--GV--P---SRFSGSG-------S--GT----D-FTLTISSLQP-EDFATYYCQQYK-----------------------------TPPTFG-GGTKVEIK-"/>
    <s v="hv3"/>
    <s v="kv1"/>
    <n v="0.89167249999999998"/>
    <n v="0.59645592999999997"/>
    <n v="0.84304009999999996"/>
    <n v="1"/>
    <n v="1"/>
    <n v="1"/>
  </r>
  <r>
    <x v="995"/>
    <x v="5"/>
    <x v="2"/>
    <s v="QVQ-LQQSGP-ELVKPGASVKLSCQASGYTF---------TSYNIM-WVKQ-R-P-G-Q--G-LE-WIGRIYPGD----------SDTYHN--N--E--RF--K---DKATLTA-D---K-S--SS----T-VYMQLNSLTS-EDSAVYYCARSYAYG-----------------------YDSWFAYWG-QGTLVTVSA"/>
    <s v="DIV-LTQSPASLAVSLGQRATISCRASESVDN-------YGISFMN-WFQQ-K-P-G-Q--P-PK-LLIYAA----------------SNQ--G--S--GV--P---ARFSGSG-------S--GT----D-FSLNIHPVEE-DDTAMYFCQQSKE----------------------------VPYTFG-GGTKLEIK-"/>
    <s v="hv1"/>
    <s v="kv7"/>
    <n v="4.3511557999999997E-5"/>
    <n v="8.0834020000000001E-8"/>
    <n v="1.631564E-4"/>
    <n v="0"/>
    <n v="0"/>
    <n v="0"/>
  </r>
  <r>
    <x v="996"/>
    <x v="5"/>
    <x v="2"/>
    <s v="QVQ-LVESGG-GVVQPGRSLRLSCAASGFTF---------SNYGMH-WVRQ-A-P-G-K--G-LE-WVAIMNWG-----------DITKYY--A--D--SV--K---GRFTISR-D---N-S--KN----T-LYLQM---RA-EDTAVYYCAKVRT----------------------------WSDYWG-QGTLVTVSS"/>
    <s v="DIQ-MTQSPSTLSASVGDRVTITCRASQSI-----------SSWLA-WYQQ-K-P-G-K--A-PK-LLIYKA----------------SSL--E--S--GV--P---SRFSGSG-------S--GT----E-FTLTISSLQP-DDFATYYCQQYN-----------------------------NYWTFG-QGTKVEIK-"/>
    <s v="hv3"/>
    <s v="kv1"/>
    <n v="0.99999919999999998"/>
    <n v="0.99999994000000003"/>
    <n v="0.99701390000000001"/>
    <n v="1"/>
    <n v="1"/>
    <n v="1"/>
  </r>
  <r>
    <x v="997"/>
    <x v="5"/>
    <x v="2"/>
    <e v="#NAME?"/>
    <s v="DIV-LTQSPDSLAVSLGERATINCKSSQWYS----------NGWLA-WYQQ-K-P-G-Q--A-PR-LLIYGA----------------SNR--A--T--GI--P---DRFSGSG-------S--GT----D-FTLTISRLEP-EDFAVYYCQQYGS----------------------------SPWTFG-QGTKVEIK-"/>
    <s v="hv4"/>
    <s v="kv3"/>
    <n v="0.87501775999999998"/>
    <n v="0.99846179999999995"/>
    <n v="0.6768575"/>
    <n v="1"/>
    <n v="1"/>
    <n v="1"/>
  </r>
  <r>
    <x v="998"/>
    <x v="5"/>
    <x v="2"/>
    <s v="EVQ-LLESGG-GLVQPGGSLRLSCAASGFTF---------STYAMS-WVRQ-A-P-G-K--G-LE-WVSHIGG-------------GGTYY--A--D--SV--K---GRFTISR-D---N-S--KN----T-LYLQM---RA-EDMA-YYCAKLGD---------------------------YWLDYWG-QGTLVTVSS"/>
    <s v="DIQ-MTQSPSSLSASVGDRVTITCRASQTI-----------SNYLD-WYQQ-K-P-G-K--A-PK-LLIYAA----------------SSL--Q--S--GV--P---SRFSGSG-------S--GT----D-FTLTISSLQP-EDFATYYCLQHNS----------------------------YPYTFG-QGTKLEIK-"/>
    <s v="hv3"/>
    <s v="kv1"/>
    <n v="0.99997659999999999"/>
    <n v="0.99999400000000005"/>
    <n v="0.92099390000000003"/>
    <n v="1"/>
    <n v="1"/>
    <n v="1"/>
  </r>
  <r>
    <x v="999"/>
    <x v="5"/>
    <x v="2"/>
    <s v="EVQ-LVESGG-GLVQPGGSLRLSCAASGFNY---------SSTYIH-WVRQ-A-P-G-K--G-LE-WVASISSY-----------YGYTYY--A--D--SV--K---GRFTISA-D---T-S--KN----T-AYLQMNSLRA-EDTAVYYCARQAPSG------------------------YWYFDYWG-QGTLVTVSS"/>
    <s v="DIQ-MTQSPSSLSASVGDRVTITCRASQSV-----------DSDVA-WYQQ-K-P-G-K--A-PK-LLIYSA----------------SSL--Y--S--GV--P---SRFSGSR-------S--GT----D-FTLTISSLQP-EDFATYYCQQSDS----------------------------SLITFG-QGTKVEIK-"/>
    <s v="hv3"/>
    <s v="kv1"/>
    <n v="0.99992055000000002"/>
    <n v="0.99998575000000001"/>
    <n v="0.97490036000000002"/>
    <n v="1"/>
    <n v="1"/>
    <n v="1"/>
  </r>
  <r>
    <x v="1000"/>
    <x v="6"/>
    <x v="2"/>
    <s v="QVQ-LVQSGA-EVKKPGASVKVSCKASGYTF---------TSYGIS-WVRQ-A-P-G-Q--G-LE-WMGWISY-------------NGNKY--S--Q--KF--Q---GRVTMTR-D---T-S--IS----T-AYMELSRLRS-DDTAVYYCARAGG---------------------------FGSDVWG-QGTTVTVSS"/>
    <s v="DIQ-LTQSPSFLSASVGDKVTITCRASQGV------------RNLA-WYQQ-K-P-G-K--A-PK-LLIYKA----------------SRL--E--T--GV--P---SRFSGSG-------S--GT----D-FTLTISSLQP-EDFATYYCQQYNS----------------------------FPWTFG-QGTKVEIK-"/>
    <s v="hv1"/>
    <s v="kv1"/>
    <n v="0.99999979999999999"/>
    <n v="0.62978940000000005"/>
    <n v="0.91076433999999995"/>
    <n v="1"/>
    <n v="1"/>
    <n v="1"/>
  </r>
  <r>
    <x v="1001"/>
    <x v="6"/>
    <x v="2"/>
    <s v="EVQ-LVESGG-GLVQPGGSLRLSCAASGFNF---------SSSSIH-WVRQ-A-P-G-K--G-LE-WVASISSS-----------SGSTSY--A--D--SV--K---GRFTISA-D---T-S--KN----T-AYLQMNSLRA-EDTAVYYCARLGYGS-----------------------GSGYLDIWG-QGTLVTVSS"/>
    <s v="--A-LTQPPS-VSVSPGQTASITCSGSRSN-----------IGSKS-WYRQ-R-P-G-Q--A-PR-TLIYRN----------------NKR--P--S--GI--P---ERFSGSS-------S--GT----T-VTLTISGVEA-GDEADYYCQTWDS---------------------------SNVTVFG-GGTKLTVL-"/>
    <s v="hv3"/>
    <s v="lv3"/>
    <n v="0.99999979999999999"/>
    <n v="0.95914763000000003"/>
    <n v="0.99701583000000005"/>
    <n v="1"/>
    <n v="1"/>
    <n v="1"/>
  </r>
  <r>
    <x v="1002"/>
    <x v="6"/>
    <x v="2"/>
    <s v="EVQ-LQQSGP-ELVKPGASVKMSCKASGYTF---------TSYSMH-WVKQ-R-P-G-Q--G-LE-WIGYINPY------------NDGKY--N--E--KF--K---GKATLTV-D---K-S--SS----T-AYMQLSSLTS-EDSAVYFCARERGA--------------------------YWFAYWG-QGTSVTVSS"/>
    <s v="DIV-LTQSPASLAVSLGQRATISCRASKSVD----------SNFLH-WYQQ-K-P-G-Q--P-PK-LLIFS-----------------N----A--S--GI--P---ARFSGSG-------S--GT----D-FTLNIHPVEE-EDAATYYCQQSNE----------------------------DPFTFG-SGTKLEIK-"/>
    <s v="hv1"/>
    <s v="kv3"/>
    <n v="2.6286057999999998E-3"/>
    <n v="9.8688900000000006E-6"/>
    <n v="3.4892399999999998E-5"/>
    <n v="0"/>
    <n v="0"/>
    <n v="0"/>
  </r>
  <r>
    <x v="1003"/>
    <x v="6"/>
    <x v="2"/>
    <s v="EVQ-LVESGG-GLVQPGGSLRLSCAASGFTF---------SSYSMN-WVRQ-A-P-G-K--G-LE-WVANIKDG------------RNTYY--A--D--SV--K---GRFTISR-D---N-S--KN----T-LYLQM---RA-EDTAVYYCARDLG---------------------------YGMDVWG-QGTTLTVSS"/>
    <s v="DIQ-MTQSPSSLSASVGDRVTITCRASQSI-----------SNYLN-WYQQ-K-P-G-K--A-PK-LLIYDA----------------SNL--A--S--GV--P---SRFSGSG-------S--GT----D-FTLTISSLQP-EDFATYYCQQSYF----------------------------YLRTFG-QGTKVEIK-"/>
    <s v="hv3"/>
    <s v="kv1"/>
    <n v="0.99998860000000001"/>
    <n v="0.99999994000000003"/>
    <n v="0.94705075000000005"/>
    <n v="1"/>
    <n v="1"/>
    <n v="1"/>
  </r>
  <r>
    <x v="1004"/>
    <x v="6"/>
    <x v="2"/>
    <s v="EVQ-LVESGG-GLVQPGGSLRLSCAASGFNF---------SSSSIH-WVRQ-A-P-G-K--G-LE-WVASISS-------------SYTSY--A--D--SV--K---GRFTISA-D---T-S--KN----T-AYLQM---RA-EDTAVYYCARWEYG--------------------------SSGDSWG-QGTLVTVSS"/>
    <s v="DIQ-MTQSPSSLSASVGDRVTITCRASQSV-----------SSAVA-WYQQ-K-P-G-K--A-PK-LLIYSA----------------SSL--Y--S--GV--P---SRFSGSR-------S--GT----D-FTLTISSLQP-EDFATYYCQQGYS----------------------------GPITFG-QGTKVEIK-"/>
    <s v="hv3"/>
    <s v="kv1"/>
    <n v="0.99999945999999995"/>
    <n v="0.99983120000000003"/>
    <n v="0.98846763000000004"/>
    <n v="1"/>
    <n v="1"/>
    <n v="1"/>
  </r>
  <r>
    <x v="1005"/>
    <x v="6"/>
    <x v="2"/>
    <s v="EVQ-LVQSGG-GLVQPGGSLRLSCAASGFTFT--------SDYYMS-WIRQ-A-P-G-K--G-LE-WVSAISSS------------GSTYY--A--D--SV--K---GRFTISR-D---N-S--KN----T-LYLQM---RA-EDTAVYYCAKV--------------------------------DYWG-QGTLVTVSS"/>
    <s v="DIQ-MTQSPSSLSASVGDRVTITCRASQSI-----------SNWLA-WYQQ-K-P-G-K--A-PK-LLIYAA----------------SSL--Q--S--GV--P---SRFSGSG-------S--GT----D-FTLTISSLQP-EDFATYYCQQSYS----------------------------TVFTFG-QGTKVEIK-"/>
    <s v="hv3"/>
    <s v="kv1"/>
    <n v="0.99999530000000003"/>
    <n v="0.99999994000000003"/>
    <n v="0.24279734"/>
    <n v="1"/>
    <n v="1"/>
    <n v="0"/>
  </r>
  <r>
    <x v="1006"/>
    <x v="6"/>
    <x v="2"/>
    <s v="QVQ-LQQPGA-ELVKPGASVKLSCKASGYTF---------TSDWIH-WVKQ-R-P-G-H--G-LE-WIGEIIPS-----------YGRANY--N--E--KI--Q---KKATLTA-D---K-S--SS----T-AFMQLSSLTS-EDSAVYYCARKGLR-------------------------GYGMDVWG-AGTTVTVSS"/>
    <s v="DIL-LTQSPAILSVSPGERVSFSCRASQSI-----------GTDIH-WYQQ-R-T-N-G--S-PR-LLIKYA----------------SES--I--S--GI--P---SRFSGSG-------S--GT----D-FTLSINSVES-EDIANYYCQQSNR----------------------------WPFTFG-SGTKLEIK-"/>
    <s v="hv1"/>
    <s v="kv3"/>
    <n v="0.75859343999999995"/>
    <n v="3.9501170000000004E-6"/>
    <n v="2.1878979000000001E-4"/>
    <n v="1"/>
    <n v="0"/>
    <n v="0"/>
  </r>
  <r>
    <x v="1007"/>
    <x v="6"/>
    <x v="2"/>
    <s v="EVQ-LVESGG-GLVQPGGSLRLSCAASGFTF---------SSYAMH-WVRQ-A-P-G-K--G-LE-WVAYISPSS----------GSTIYY--A--D--SV--K---GRFTISR-D---N-A--KN----S-LYLQMNSLRA-EDTAVYYCARG--------------------------------GYWG-QGILVTVSS"/>
    <s v="DIQ-MTQSPSSLSASVGDRVTITCRASQSI-----------SSYLN-WYQQ-K-P-G-K--A-PK-LLIYSA----------------SFL--Y--S--GV--P---SRFSGSG-------S--GT----E-FTLTISSLQP-EDFATYYCQQFGY---------------------------GYPFTFG-QGTKVEIK-"/>
    <s v="hv3"/>
    <s v="kv1"/>
    <n v="0.99994665000000005"/>
    <n v="0.99997610000000003"/>
    <n v="0.54467509999999997"/>
    <n v="1"/>
    <n v="1"/>
    <n v="1"/>
  </r>
  <r>
    <x v="1008"/>
    <x v="6"/>
    <x v="2"/>
    <s v="EVQ-LVESGG-GLVQPGGSLRLSCAASGFNF----------SYYIS-WVRQ-A-P-G-K--G-LE-WVAGIYPG------------GSTFY--A--D--SV--K---GRFTISR-D---N-S--KN----T-LYLQMNSLRA-EDTAVYYCARLNWGYG---------------------AWRVYFDYWG-QGTLVTVSS"/>
    <s v="QSV-LTQPPS-VSGAPGQRVTISCTGSSSNIG--------AGYDVH-WYQQ-L-P-G-T--A-PK-LLIYGN----------------SNR--P--S--GV--P---DRFSGSK-------S--GT----S-ASLAITGLQA-EDEADYYCQSYDS---------------------------SLSVVFG-GGTKLTVL-"/>
    <s v="hv3"/>
    <s v="lv1"/>
    <n v="0.99998600000000004"/>
    <n v="0.99999994000000003"/>
    <n v="0.79031090000000004"/>
    <n v="1"/>
    <n v="1"/>
    <n v="1"/>
  </r>
  <r>
    <x v="1009"/>
    <x v="6"/>
    <x v="2"/>
    <s v="EVQ-LVESGG-GLVQPGGSLRLSCAASGFNF---------SDYYMS-WVRQ-A-P-G-K--G-LE-WVAYISSG------------GSTYY--A--D--SV--K---GRFTISR-D---N-S--KN----T-LYLQMNSLRA-EDTAVYYCARSRSSSS---------------------GSPSGYFYWG-QGTLVTVSS"/>
    <s v="DIQ-MTQSPSSLSASVGDRVTITCRASQSV-----------SSAVA-WYQQ-K-P-G-K--A-PK-LLIYSA----------------SYR--Y--T--GV--P---SRFSGSG-------S--GT----D-FTLTISSLQP-EDFATYYCQQSYY----------------------------APRTFG-QGTKVEIK-"/>
    <s v="hv3"/>
    <s v="kv1"/>
    <n v="0.99999720000000003"/>
    <n v="0.99913954999999999"/>
    <n v="4.6820633E-2"/>
    <n v="1"/>
    <n v="1"/>
    <n v="0"/>
  </r>
  <r>
    <x v="1010"/>
    <x v="6"/>
    <x v="2"/>
    <s v="QVQ-LQQSGP-EVVKPGASVKLSCTASGFNIK--------DDGTIY-WVKQ-R-P-E-Q--G-LE-WIGRIDPA-----------NGNTKY--D--P--KF--Q---GKATITT-D---T-F--SN----T-AYLQLSSLTS-EDTAVYYCARPWGG-------------------------FYAMDYWG-QGTSVTVSS"/>
    <s v="DVV-MTQSPLSLPVTPGEPASISCRSSQSLLHS------NGYNYLD-WYLQ-K-P-G-Q--S-PQ-LLIYLG----------------SNR--A--S--GV--P---DRFSGSG-------S--GT----D-FTLKISRVEA-EDVGVYYCMQAL-----------------------------QTPTFG-QGTRLEI--"/>
    <s v="hv1"/>
    <s v="kv2"/>
    <n v="6.0903125000000002E-2"/>
    <n v="0.99999994000000003"/>
    <n v="7.9517469999999997E-4"/>
    <n v="0"/>
    <n v="1"/>
    <n v="0"/>
  </r>
  <r>
    <x v="1011"/>
    <x v="6"/>
    <x v="2"/>
    <s v="QVQ-LQQPGA-ELVKPGASVKLSCKASGYTF---------TSDWIH-WVKQ-R-P-G-H--G-LE-WIGEIIPS-----------YGRANY--N--E--KI--Q---KKATLTA-D---K-S--SS----T-AY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7064355999999998"/>
    <n v="3.9501170000000004E-6"/>
    <n v="1.1613232999999999E-5"/>
    <n v="1"/>
    <n v="0"/>
    <n v="0"/>
  </r>
  <r>
    <x v="1012"/>
    <x v="6"/>
    <x v="2"/>
    <s v="EVQ-LQQSGA-ELVKPGASVKLSCTASGFNI---------KDTYMH-WVKQ-R-P-E-Q--G-LE-WIGRIDPA-----------NGDTKY--D--P--KF--Q---GKATITA-D---T-S--SN----T-AYLQLSSLTS-EDTAVYYCVRPLYD-------------------------YYAMDYWG-QGTSVTVSS"/>
    <s v="DIL-MTQSPSSMSVSLGDTVSITCHASQGI-----------SSNIG-WLQQ-K-P-G-K--S-FM-GLIYYG----------------TNL--V--D--GV--P---SRFSGSG-------S--GA----D-YSLTISSLDS-EDFADYYCVQYAQ----------------------------LPYTFG-GGTKLEIK-"/>
    <s v="hv1"/>
    <s v="lv5"/>
    <n v="9.2683859999999993E-6"/>
    <n v="1.5476132000000001E-8"/>
    <n v="0.46027455"/>
    <n v="0"/>
    <n v="0"/>
    <n v="0"/>
  </r>
  <r>
    <x v="1013"/>
    <x v="6"/>
    <x v="2"/>
    <s v="QGQ-LVQSGP-ELKKPGTSVKISCKTSGYR-----------FISYE-WIRQ-H-P-G-K--G-LE-WMGYISYG-----------SGRTYY--N--E--KF--K---GKATFTE-D---T-S--AS----T-AYMELSSLTS-EDSAIYYCALGG------------------------------YDVWG-QGTTVTVSS"/>
    <s v="DIQ-MTQSPSSLSASVGDRVTITCRASQNI-----------NNYLA-WYQQ-K-P-G-K--A-PK-LLIYAA----------------STL--Q--S--GV--P---SRFSGSG-------S--GT----D-FTLTISSLQP-EDIATYYCLQGNN----------------------------SPYTFG-QGTKLEIK-"/>
    <s v="hv1"/>
    <s v="kv1"/>
    <n v="0.11652638999999999"/>
    <n v="0.99986934999999999"/>
    <n v="0.46776659999999998"/>
    <n v="0"/>
    <n v="1"/>
    <n v="0"/>
  </r>
  <r>
    <x v="1014"/>
    <x v="6"/>
    <x v="2"/>
    <s v="QVQ-LQESGP-GLVKPSETLSLTCTVSGASI---------SSYYWS-WIRQ-P-P-G-K--G-LE-WIGYIYYS------------GSTNY--N--P--SL--K---SRVTISV-D---T-S--KN----Q-FSLKLSSVTA-ADTAVYYCARDVS---------------------------SGRPLWG-QGTLVTVSS"/>
    <s v="DIQ-LTQSPSSLSASVGDRVTITCRASQSI-----------STFLN-WYQQ-K-P-G-K--A-PK-LLIYAA----------------SSL--Q--S--GV--P---SRFSGSG-------S--GT----E-FTLTISSLQP-EDFATYYCQQLN-----------------------------SAWTFG-QGTKVEIK-"/>
    <s v="hv4"/>
    <s v="kv1"/>
    <n v="0.99996879999999999"/>
    <n v="0.99999994000000003"/>
    <n v="0.39631164000000002"/>
    <n v="1"/>
    <n v="1"/>
    <n v="0"/>
  </r>
  <r>
    <x v="1015"/>
    <x v="6"/>
    <x v="2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1016"/>
    <x v="6"/>
    <x v="2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1017"/>
    <x v="6"/>
    <x v="2"/>
    <s v="-VQ-LQQSGA-ELVKPGASVKLSCKASGYTF---------TSDWIH-WVKQ-R-P-G-H--G-LE-WIGEIIPS-----------YGRANY--N--E--KI--Q---KKATLTA-D---K-S--SS----T-AFMQLSSLTS-EDSAVYYCARERGD--------------------------GYFAVWG-AGTTVTVSA"/>
    <s v="DIV-LTQSPASLAVSLGQRATISCRASKSVSTD------YGISFMH-WYQQ-K-P-G-Q--P-PK-LLIYAA----------------SNQ--G--S--GV--P---ARFSGSG-------S--GT----D-FSLNIHPVEEDDDTAVYYCQQSNE----------------------------DPWTFG-GGTKLEIK-"/>
    <s v="hv1"/>
    <s v="kv4"/>
    <n v="1.2035031999999999E-3"/>
    <n v="5.463467E-8"/>
    <n v="3.5814168E-8"/>
    <n v="0"/>
    <n v="0"/>
    <n v="0"/>
  </r>
  <r>
    <x v="1018"/>
    <x v="6"/>
    <x v="2"/>
    <s v="EVQ-LVESGG-GLVQPGGSLRLSCAASGFNF---------SSSSIH-WVRQ-A-P-G-K--G-LE-WVASISSS-----------SGSTSY--A--D--SV--K---GRFTISA-D---T-S--KN----T-AYLQMNSLRA-EDTAVYYCARSYGW--------------------------YYDSSWG-QGTLVTVSS"/>
    <s v="DIQ-MTQSPSSLSASVGDRVTITCRASQSV-----------SSAVA-WYQQ-K-P-G-K--A-PK-LLIYSA----------------SSL--Y--S--GV--P---SRFSGSR-------S--GT----D-FTLTISSLQP-EDFATYYCQQYYS---------------------------SHPITFG-QGTKVEIK-"/>
    <s v="hv3"/>
    <s v="kv1"/>
    <n v="0.99999945999999995"/>
    <n v="0.98739445000000003"/>
    <n v="0.96262055999999996"/>
    <n v="1"/>
    <n v="1"/>
    <n v="1"/>
  </r>
  <r>
    <x v="1019"/>
    <x v="6"/>
    <x v="2"/>
    <s v="EVQ-LQQSGP-ELVKPGASMKTSCKASGYSF----------TDYIN-WVKQ-S-H-G-K--S-LE-WIGNINPY-----------NGGTSY--N--Q--KK--K-----ATLTV-D---K-S--SS----T-AYMELRSLTS-EDSAVYYCARVRPY--------------------------YDYDYWG-QGTSVTVSS"/>
    <s v="DIV-MTQSPASLSESVGETV--TCRASGTIR----------SNYLN-WYQQ-K-P-G-K--S-PQ-LLIYLA----------------SNL--E--P--GS--I---PRFNGSG-------S--GT----D-FTLTISSVQA-EDLAVYYCQNDYT----------------------------LPYTFG-GGTKLEIK-"/>
    <s v="hv1"/>
    <s v="kv1"/>
    <n v="5.4079719999999996E-3"/>
    <n v="2.2561698E-4"/>
    <n v="1.1212657E-11"/>
    <n v="0"/>
    <n v="0"/>
    <n v="0"/>
  </r>
  <r>
    <x v="1020"/>
    <x v="6"/>
    <x v="2"/>
    <s v="QVQ-LVQSGA-EVKKPGSSVKVSCKASGGPF---------RSNNIH-WVRQ-A-P-G-Q--G-LE-WMGGIIPG-----------LGPIAY--A--Q--RF--Q---GRVTITA-DR--Q-S--SN----T-AYMEL---TS-EDTAVYFCARQQGA--------------------------LRSDVWG-QGTTVTVSS"/>
    <s v="EIV-LTQSPGTLSLSPGERATLSCRASQSV-----------SSTLA-WYQQ-K-P-G-Q--A-PR-LLIYGA----------------SSR--A--T--GI--P---DRFSGSG-------S--GT----D-FTLTISRLEP-EDFAVYYCQQYGS----------------------------SPWTFG-QGTKVEIK-"/>
    <s v="hv1"/>
    <s v="kv3"/>
    <n v="0.99999994000000003"/>
    <n v="0.99999994000000003"/>
    <n v="4.2895139999999998E-2"/>
    <n v="1"/>
    <n v="1"/>
    <n v="0"/>
  </r>
  <r>
    <x v="1021"/>
    <x v="6"/>
    <x v="2"/>
    <s v="QVT-LKESGP-GILQPSQTLSLTCSFSGSSS---------NNYYWG-WIRQ-P-P-G-K--G-LE-WIGEIVKS-----------SGSTNY--N--P--SL--K---SRVTISV-D---T-S--KN----Q-FSLKLSSVTA-ADTAVYYCARVRQVY-----------------------YVMSFDYWG-QGTLVTVSS"/>
    <s v="DIQ-MTQSPSSLSASVGDRVTITCRASQGI-----------NNYLA-WYQQ-K-P-G-K--A-PK-VLIYAA----------------STL--Q--S--GV--P---SRFSGSG-------S--GT----E-FTLTISSLQP-EDFATYYCQQYNS----------------------------YPWTFG-QGTKVEIK-"/>
    <s v="hv4"/>
    <s v="kv1"/>
    <n v="0.99999994000000003"/>
    <n v="0.99994665000000005"/>
    <n v="0.99646259999999998"/>
    <n v="1"/>
    <n v="1"/>
    <n v="1"/>
  </r>
  <r>
    <x v="1022"/>
    <x v="6"/>
    <x v="2"/>
    <s v="QVQ-LQQPGA-ELVKPGASVKLSCKASGYTF---------TSDWIH-WVKQ-R-P-G-H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8016913"/>
    <n v="3.9501170000000004E-6"/>
    <n v="1.4216321999999999E-4"/>
    <n v="1"/>
    <n v="0"/>
    <n v="0"/>
  </r>
  <r>
    <x v="1023"/>
    <x v="6"/>
    <x v="2"/>
    <s v="QVQ-LQQSGA-ELARPGASVKLSCKASGYTF---------TEYTIH-WVKQ-R-P-G-Q--G-LE-WIGDIYPG-----------DGDTNY--N--G--KF--K---GKATLTA-D---K-S--SS----T-AYMQLSSLTS-EDSAVYYCARERGY-------------------------GTYFDVWG-AGTTVTVSS"/>
    <s v="DIV-VTQTPLSLPVSLGDQASISCRSSQSLVHS------NGNTYLH-WYLQ-K-P-G-Q--S-PK-LLIYKV----------------SNR--F--S--GV--P---DRFSGSG-------S--GT----D-FTLKISRVEA-EDLGVYYCFQGSH----------------------------VPLTFG-AGTKLELK-"/>
    <s v="hv1"/>
    <s v="kv2"/>
    <n v="0.20192911999999999"/>
    <n v="5.5860784E-7"/>
    <n v="0.103054285"/>
    <n v="0"/>
    <n v="0"/>
    <n v="0"/>
  </r>
  <r>
    <x v="1024"/>
    <x v="6"/>
    <x v="2"/>
    <s v="EVQ-LVESGG-GLVQPGGSLRLSCAASGFTF---------SNYGMN-WVRQ-A-P-G-K--G-LE-WVAGIYHS-----------GSTIYY--A--D--SV--K---GRFTISR-D---N-S--KN----T-LYLQMNSLRA-EDTAVYYCARGEGVGGYYY---------------DYYYYYYYMDVWG-KGTTVTVSS"/>
    <s v="DIQ-MTQSPSSLSASVGDRVTITCRASQSI-----------SSYLN-WYQQ-K-P-G-K--A-PK-LLIYAT----------------SSL--Q--S--GV--P---SRFSGSG-------S--GT----D-FTLTISSLQP-EDFATYYCQQSY------------------------------STLFG-QGTKVEIK-"/>
    <s v="hv3"/>
    <s v="kv1"/>
    <n v="0.99999970000000005"/>
    <n v="0.99999994000000003"/>
    <n v="0.51494819999999997"/>
    <n v="1"/>
    <n v="1"/>
    <n v="1"/>
  </r>
  <r>
    <x v="1025"/>
    <x v="6"/>
    <x v="2"/>
    <e v="#NAME?"/>
    <s v="DIQ-MTQSPSSLSASVGDRVTITCRASQSI-----------SSYLN-WYQQ-K-P-G-K--A-PK-LLIYAA----------------SSL--Q--S--GV--P---SRFSGSG-------S--GT----D-FTLTISSLQP-EDFATYYCQQSYS---------------------------TLALTFG-GGTKVEIK-"/>
    <s v="hv3"/>
    <s v="kv1"/>
    <n v="0.99999254999999998"/>
    <n v="0.99999994000000003"/>
    <n v="7.7475699999999995E-2"/>
    <n v="1"/>
    <n v="1"/>
    <n v="0"/>
  </r>
  <r>
    <x v="1026"/>
    <x v="6"/>
    <x v="2"/>
    <s v="QVQ-LVQSGA-EVKKPGASVKVSCRAFGYTF---------TGYYMH-WVRQ-A-P-G-Q--G-LE-WMGWINPN-----------SGDTNY--A--Q--KF--Q---GRVTMTR-D---T-S--IS----T-AYMELSRLRS-DDTAVYYCARER------------------------------GDYWG-QGTLVTV--"/>
    <s v="DIQ-MTQSPSSLSASVGDRVTITCRASQSI-----------SSYLN-WYQQ-K-P-G-K--A-PK-LLIYAA----------------SYL--E--S--GV--P---SRFSGSG-------S--GT----D-FTLTISSLQP-EDFATYYCQQYEG----------------------------APPTFG-QGTKVEIK-"/>
    <s v="hv1"/>
    <s v="kv1"/>
    <n v="0.99999994000000003"/>
    <n v="0.99985120000000005"/>
    <n v="0.75688462999999995"/>
    <n v="1"/>
    <n v="1"/>
    <n v="1"/>
  </r>
  <r>
    <x v="1027"/>
    <x v="6"/>
    <x v="2"/>
    <s v="QVQ-LVQSGA-EVKKPGSSVKVSCRASGYLF---------TSYAIS-WVRQ-A-P-G-Q--G-LE-WMGRIIPI-----------FGTANY--A--Q--KF--Q---GRVTITA-D---E-S--TS----T-AYMEL---RS-EDTAVYYCARESYYGSS--------------------GYHFAFDIWG-QGTMVTVSS"/>
    <s v="DIV-MTQSPSSLSASVGDRVTITCQASQDI-----------SNYLN-WYQQ-K-P-G-K--A-PK-LLIYVA----------------SSL--Q--S--GV--P---SRFSGSG-------S--GT----D-FTLTISSLQP-EDFATYYCQQSYS----------------------------TPWTFG-QGTKVEIK-"/>
    <s v="hv1"/>
    <s v="kv1"/>
    <n v="0.99999994000000003"/>
    <n v="0.99999994000000003"/>
    <n v="8.4448289999999992E-3"/>
    <n v="1"/>
    <n v="1"/>
    <n v="0"/>
  </r>
  <r>
    <x v="1028"/>
    <x v="6"/>
    <x v="2"/>
    <s v="EVQ-LVESGG-GLVQPGGSLRLSCAASGFTF---------SHYGMS-WVRQ-A-P-G-K--G-LE-WVAYISSG------------GSTYY--A--D--SV--K---GRFTISR-D---N-S--KN----T-LYLQMNSLRA-EDTAVYYCARTGSP-------------------------YGYFDYWG-QGTLVTVSS"/>
    <s v="DIQ-MTQSPSSLSASVGDRVTITCRASQSI-----------GSYLN-WYQQ-K-P-G-K--A-PK-LLIYAA----------------SSL--Q--S--GV--P---SRFSGSG-------S--GT----D-FTLTISSLQP-EDFATYYCQQS-------------------------------YSTFG-GGTKVEIK-"/>
    <s v="hv3"/>
    <s v="kv1"/>
    <n v="0.97220295999999995"/>
    <n v="0.99999994000000003"/>
    <n v="0.73494725999999999"/>
    <n v="1"/>
    <n v="1"/>
    <n v="1"/>
  </r>
  <r>
    <x v="1029"/>
    <x v="6"/>
    <x v="2"/>
    <s v="EVQ-LVESGG-GLVQPGGSLRLSCAASGFTF---------SNYAMS-WVRQ-A-P-G-K--G-LE-WVSGISWS-----------GGSTYY--A--D--SV--K---GRFTISR-D---N-S--KN----T-LYLQMNSLRA-EDTAVYYCARHDRAD-----------------------GGNYFDYWG-QGTLVTVSS"/>
    <s v="DIQ-MTQSPSSLSASVGDRVTITCRASQGI-----------SNYLA-WYQQ-K-P-G-K--A-PK-LLIYAA----------------SSL--Q--S--GV--P---SRFSGSG-------S--GT----D-FTLTISSLQP-EDFATYYCQQYN-----------------------------SYLHFG-QGTKVEIK-"/>
    <s v="hv3"/>
    <s v="kv1"/>
    <n v="0.9983168"/>
    <n v="0.9999979"/>
    <n v="0.99999994000000003"/>
    <n v="1"/>
    <n v="1"/>
    <n v="1"/>
  </r>
  <r>
    <x v="1030"/>
    <x v="6"/>
    <x v="2"/>
    <s v="QVQ-LVQSGA-EVKKPGSSVKVSCKASGGTF----------ISAIS-WVRQ-A-P-G-Q--G-LE-WMGGIIIF-----------GTANNS--A--Q--KF--Q---GRVTITA-D---K-S--TS----T-AYMELSSLRS-EDTAMYYCARAAVDD-----------------------LLGGFDYWG-QGTLVTVS-"/>
    <s v="DIV-LTQSPGTLSLSPGERATLSCRASQSVR----------SSYLA-WYQQ-K-P-G-Q--A-PR-LLIYGA----------------SSR--A--T--GI--P---DRFSGSG-------S--GT----D-FTLTISRLEP-EDFAVYYCQQYGS----------------------------SPWTFG-QGTKVEIK-"/>
    <s v="hv1"/>
    <s v="kv3"/>
    <n v="0.99999945999999995"/>
    <n v="0.99999994000000003"/>
    <n v="0.92453660000000004"/>
    <n v="1"/>
    <n v="1"/>
    <n v="1"/>
  </r>
  <r>
    <x v="1031"/>
    <x v="6"/>
    <x v="2"/>
    <e v="#NAME?"/>
    <s v="-SV-LTQPPS-VSAAPGQKVTISCSGSSSNI---------GNDYVS-WYQQ-L-P-G-T--A-PK-LLIYDN----------------NKR--P--S--GI--P---DRFSGSK-------S--GT----S-ATLGITGLQT-GDEADYYCGTWDS----------------------------SLWVFG-GGTKLTVL-"/>
    <s v="hv1"/>
    <s v="lv1"/>
    <n v="0.99998039999999999"/>
    <n v="0.99999994000000003"/>
    <n v="0.28905700000000001"/>
    <n v="1"/>
    <n v="1"/>
    <n v="0"/>
  </r>
  <r>
    <x v="1032"/>
    <x v="6"/>
    <x v="2"/>
    <s v="EVQ-LVESGG-GLVQPGGSLRLSCAASGFTF---------SNYGMN-WVRQ-A-P-G-K--G-LE-WVAGIIWSD----------GNNTYY--A--D--SV--K---GRFTISA-D---T-S--KN----T-AYLQMNSLRA-EDTAVYYCARHGNS--------------------------VYWDVWG-QGTTVTVSS"/>
    <s v="DIQ-MTQSPSSLSASVGDRVTITCRASQSI-----------SNYVA-WYQQ-K-P-G-K--A-PK-LLIYSA----------------SNL--E--S--GV--P---SRFSGSR-------S--GT----D-FTLTISSLQP-EDFATYYCQQS--------------------------------FFPG-TGTRLEIK-"/>
    <s v="hv3"/>
    <s v="kv1"/>
    <n v="0.99776379999999998"/>
    <n v="0.99999970000000005"/>
    <n v="0.98074967000000002"/>
    <n v="1"/>
    <n v="1"/>
    <n v="1"/>
  </r>
  <r>
    <x v="1033"/>
    <x v="6"/>
    <x v="2"/>
    <s v="QVQ-LQQPGT-ELVKPGASVKLSCKASGYTF---------TSDWIH-WMKQ-S-H-G-K--S-LE-WIGDINPY-----------NGGTSY--N--Q--NF--K---GKATLTV-D---K-S--SS----T-AFMH---LTS-EDSAVYYCARDYDD--------------------------AWFAYWG-QGTLVTVSA"/>
    <s v="DIV-MTQSPSSLAVSAGEKVTMSCKSSQSLLNS-----RTRKNYLA-WYQQ-K-P-G-Q--S-PK-LLIYWA----------------STR--E--S--GV--P---DRFTGSG-------S--GT----D-FTLTISSVQA-EDLAVYYCQQYYS----------------------------YPYTFG-GGTKLEIK-"/>
    <s v="hv1"/>
    <s v="kv4"/>
    <n v="3.5723227E-3"/>
    <n v="8.156223E-8"/>
    <n v="0.99404764000000001"/>
    <n v="0"/>
    <n v="0"/>
    <n v="1"/>
  </r>
  <r>
    <x v="1034"/>
    <x v="6"/>
    <x v="2"/>
    <s v="QVQ-LQQPGA-ELVKPGASVKMSCKASGYTF---------TSDWIH-WVKQ-R-P-G-Q--G-LE-WIGEIIPS-----------YGRANY--N--E--KI--Q---KKATLTA-D---K-S--SS----T-AFMQLSSLTS-EDSAVYYCARERGD--------------------------GYFAVWG-AGTTVTVSS"/>
    <s v="DIL-LTQSPAILSVSPGERVSFSCRASQSI-----------GTDIH-WYQQ-R-T-N-G--S-PR-LLIKYA----------------SES--I--S--GI--P---SRFSGSG-------S--GT----D-FTLSINSVES-EDIANYYCQQSNR----------------------------WPFTFG-SGTKLEIK-"/>
    <s v="hv1"/>
    <s v="kv3"/>
    <n v="0.47803104000000002"/>
    <n v="3.9501170000000004E-6"/>
    <n v="3.7031345999999998E-5"/>
    <n v="0"/>
    <n v="0"/>
    <n v="0"/>
  </r>
  <r>
    <x v="1035"/>
    <x v="6"/>
    <x v="2"/>
    <s v="QVQ-LVQSGA-EVKKPGASVKVSCKASGYTF---------TSYGIS-WVRQ-A-P-G-Q--G-LE-WMGWINPN-----------SGGTNY--A--Q--KF--Q---GRVTMTR-D---T-S--TS----T-VYMELSSLRS-EDTAVYYCARFQP---------------------------VYFDYWG-QGTLVTVSS"/>
    <s v="DIQ-MTQSPSSLSASVGDRVTITCQASQDI-----------SNYLN-WYQQ-K-P-G-K--A-PK-LLIYDA----------------SNL--E--T--GV--P---SRFSGSG-------S--GT----D-FSLTISSLQP-EDVATYYCQQYDN----------------------------LPFTFG-PGTKVEIK-"/>
    <s v="hv1"/>
    <s v="kv1"/>
    <n v="0.99971030000000005"/>
    <n v="0.99999994000000003"/>
    <n v="3.2148004000000002E-4"/>
    <n v="1"/>
    <n v="1"/>
    <n v="0"/>
  </r>
  <r>
    <x v="1036"/>
    <x v="6"/>
    <x v="2"/>
    <s v="QIQ-LVQSGP-ELKKPGETVKISCKASGYTF---------TDYSMH-WVKQ-A-P-G-K--G-LK-WMGWINTT-----------DGSEDF--A--R--DF--K---GRFAFSL-E---T-S--AS----T-AYLQINNLKN-EDTATYFCARLGD---------------------------YRDYVWG-QGTTVTVSS"/>
    <s v="DVV-MTQSPLSLPVTLGQPASISCKSSQSLLY--------SNDYLH-WYLQ-K-P-G-Q--S-PK-LMIYKV----------------SNR--F--S--GV--P---DRFSGSG-------S--GT----D-FTLKISRVEA-EDLGVYFCSQSTH----------------------------VPWVFG-GGTKLTVL-"/>
    <s v="hv7"/>
    <s v="kv2"/>
    <n v="0.37822339999999999"/>
    <n v="5.3318352000000003E-5"/>
    <n v="0.14918029999999999"/>
    <n v="0"/>
    <n v="0"/>
    <n v="0"/>
  </r>
  <r>
    <x v="1037"/>
    <x v="6"/>
    <x v="2"/>
    <s v="QVQ-LVQSGG-GLVRPGTSVKVSCKASGFTFS--------DAYWMN-WVRQ-A-P-G-K--G-LE-WIGVINPK-----------GGTTEY--N--E--KF--K---GKATLTA-D---T-S--SN----T-AYMQLSSLTS-EDSAVYYCARRFPY--------------------------GYFDYWG-QGTLVTVSS"/>
    <s v="DIQ-MTQSPSSLSASVGDRVTITCRASQSI-----------SSYLN-WYQQ-K-P-G-K--A-PK-LLIYAA----------------SSL--Q--S--GV--P---SRFSGSG-------S--GT----D-FTLTISSLQP-EDFATYYCQQSYS----------------------------TLFTFG-PGTKVDIK-"/>
    <s v="hv1"/>
    <s v="kv1"/>
    <n v="0.15781105000000001"/>
    <n v="0.99999994000000003"/>
    <n v="5.8806320000000001E-6"/>
    <n v="0"/>
    <n v="1"/>
    <n v="0"/>
  </r>
  <r>
    <x v="1038"/>
    <x v="6"/>
    <x v="2"/>
    <s v="EVQ-LVESGG-GLVQPGGSLRLSCAASGFIF---------STYWMH-WVRQ-A-P-G-K--G-LE-WVASISSS-----------SGSTSY--A--D--SV--K---GRFTISA-D---T-S--KN----T-AYLQMNSLRA-EDTAVYYCARQGYVYQGG------------------YSYYYGMDVWG-QGTLVTVSS"/>
    <s v="DIV-MTQSPDSLAVSLGERATINCKSSQSVLYS-----SNNKNYLA-WYQQ-K-P-G-Q--P-PK-LLIYWA----------------STR--E--S--GV--P---DRFSGSG-------S--GT----D-FTLTISSLQA-EDVAVYYCQQYYK----------------------------TPYTFG-QGTKVEIK-"/>
    <s v="hv3"/>
    <s v="kv4"/>
    <n v="0.99999994000000003"/>
    <n v="0.99999994000000003"/>
    <n v="0.99440634000000006"/>
    <n v="1"/>
    <n v="1"/>
    <n v="1"/>
  </r>
  <r>
    <x v="1039"/>
    <x v="6"/>
    <x v="2"/>
    <s v="EVQ-LVESGG-GLVQPGGSLRLSCAASGFNV---------SYSSIH-WVRQ-A-P-G-K--G-LE-WVASIYSY-----------SGSTYY--A--D--SV--K---GRFTISA-D---T-S--KN----T-AYLQMNSLRA-EDTAVYYCARAAYYG-----------------------YGSSFDYWG-QGTLVTVSS"/>
    <s v="-IQ-LTQSPSFLSASVGDRVTITCRASQGI-----------SSWLA-WYQQ-K-P-G-K--A-PK-LLIYAA----------------STL--Q--S--GV--P---SRFSGSG-------S--GT----D-FTLTISSLQP-EDFATYYCQQSYS---------------------------TPPYTFG-QGTKLEIK-"/>
    <s v="hv3"/>
    <s v="kv1"/>
    <n v="0.99999349999999998"/>
    <n v="0.99999994000000003"/>
    <n v="0.64465150000000004"/>
    <n v="1"/>
    <n v="1"/>
    <n v="1"/>
  </r>
  <r>
    <x v="1040"/>
    <x v="6"/>
    <x v="2"/>
    <s v="EVQ-LVESGG-GLVQPGGSLRLSCAASGFNF---------SSSSIH-WVRQ-A-P-G-K--G-LE-WVASISSS-----------YYSTYY--A--D--SV--K---GRFTISA-D---T-S--KN----T-AYLQMNSLRA-EDTAVYYCARSYAG-------------------------YWYFDYWG-QGTLVTVSS"/>
    <s v="----LTQPAS-VSGSPGQSITISCTGTSSDVG--------GYNYVS-WYQQ-H-P-G-K--A-PK-LMIYDV----------------SKR--P--S--GV--S---NRFSGSK-------S--GN----T-ASLTISGLQA-EDEADYYCSSYAG----------------------------SSTVFG-GGTKLTVL-"/>
    <s v="hv3"/>
    <s v="lv2"/>
    <n v="0.99999300000000002"/>
    <n v="0.99999979999999999"/>
    <n v="0.66423666000000003"/>
    <n v="1"/>
    <n v="1"/>
    <n v="1"/>
  </r>
  <r>
    <x v="1041"/>
    <x v="6"/>
    <x v="2"/>
    <s v="EVQ-LVESGG-GLVQPGGSLRLSCAASGFNF---------SYYSIH-WVRQ-A-P-G-K--G-LE-WVASIYSY-----------SGYTYY--A--D--SV--K---GRFTISA-D---T-S--KN----T-AYLQMNSLRA-EDTAVYYCARVLY---------------------------SYFDYWG-QGTLVTVSS"/>
    <s v="DIQ-MTQSPSSLSASVGDRVTITCRASQSV-----------SSAVA-WYQQ-K-P-G-K--A-PK-LLIYSA----------------SSL--Y--S--GV--P---SRFSGSR-------S--GT----D-FTLTISSLQP-EDFATYYCQQSSN----------------------------WPLTFG-GGTKVEIK-"/>
    <s v="hv3"/>
    <s v="kv1"/>
    <n v="0.99989229999999996"/>
    <n v="0.99998719999999996"/>
    <n v="0.98906826999999997"/>
    <n v="1"/>
    <n v="1"/>
    <n v="1"/>
  </r>
  <r>
    <x v="1042"/>
    <x v="6"/>
    <x v="2"/>
    <s v="EVQ-LVESGG-GLVQPGGSLRLSCAASGFNV---------SYSSIH-WVRQ-A-P-G-K--G-LE-WVASIYSG------------GSTYY--A--D--SV--K---GRFTISA-D---T-S--KN----T-AYLQMNSLRA-EDTAVYYCARPYGWG------------------------YSGLDYWG-QGTLVTVSS"/>
    <s v="-SV-LTQPPS-ASGTPGQRVTISCSGSSSNI---------GSNYVY-WYQQ-L-P-G-T--A-PK-LLIYSN----------------NQR--P--S--GV--P---DRFSGSK-------S--GT----S-ASLAISGLRS-EDEADYYCAAWDD---------------------------SLHWVFG-GGTKLTVL-"/>
    <s v="hv3"/>
    <s v="lv1"/>
    <n v="0.99999017000000001"/>
    <n v="0.99999994000000003"/>
    <n v="0.61734809999999996"/>
    <n v="1"/>
    <n v="1"/>
    <n v="1"/>
  </r>
  <r>
    <x v="1043"/>
    <x v="6"/>
    <x v="2"/>
    <s v="QLQ-LQESGP-GLVKPSETLSLTCTVSGFSL---------TSYG-N-WLKQ-W-I-G-K--S-LE-WIGTIYYT------------GNPTY---------V--K---GRFTISR-L---K-S--IT----V-VPRSMNSLAS-ADTATYFCARDPY---------------------------GVNNGHF-QGDLVTVSS"/>
    <s v="DIV-MTQTPSLSLAVDGQPASISCRSSQSLVY-------SSNQK------N-G-C-G-Q--S-PR-LLIKYASQ------------SSGFQ--G--S--GI--P---DRFSGSG-----------T----D-FTLTISSLQS-EDIATYFCLGGNY----------------------------YYFTFG-GGTKLEIK-"/>
    <s v="hv4"/>
    <s v="kv4"/>
    <n v="2.8491825999999999E-4"/>
    <n v="1.6374371000000001E-3"/>
    <n v="1.0705251E-23"/>
    <n v="0"/>
    <n v="0"/>
    <n v="0"/>
  </r>
  <r>
    <x v="1044"/>
    <x v="6"/>
    <x v="2"/>
    <s v="QVQ-LVQSGA-EVKKPGSSVKVSCKASGGTF---------SSYAIS-WVRQ-A-P-G-Q--G-LE-WMGGIIIF------------GTANY--A--Q--KF--Q---GRVTITA-D---E-S--TS----T-AYMEL---RS-EDTAVYYCARGGV----------------------------GVDVWG-QGTTVTVSS"/>
    <s v="EIV-LTQSPGTLSLSPGERATLSCRASQVS-----------SSYLA-WYQQ-K-P-G-Q--A-PR-LLIYGA----------------SSR--A--T--GI--P---DRFSGSG-------S--GT----D-FTLTISRLEP-EDFAVYYCQQYGS----------------------------SPWTFG-QGTKVEIK-"/>
    <s v="hv1"/>
    <s v="kv3"/>
    <n v="0.99999959999999999"/>
    <n v="0.99999994000000003"/>
    <n v="1.0436598E-3"/>
    <n v="1"/>
    <n v="1"/>
    <n v="0"/>
  </r>
  <r>
    <x v="1045"/>
    <x v="6"/>
    <x v="2"/>
    <s v="QGQ-LVQSGP-ELKKPGETVKISCKASGYTF---------TDYSIH-WVKQ-A-P-G-K--G-LK-WMGWINTE-----------TGEPTY--A--D--DF--K---GRFAFSL-E---T-S--AS----T-AYLQINNLKN-EDTATYFCARGDY---------------------------DYFDYWG-QGTLVTVSS"/>
    <s v="DIV-LTQSPASLAVSLGQRATISCKASQSVS----------TSYMH-WYQQ-K-P-G-Q--P-PK-LLIYDA----------------SSL--D--S--GV--P---ARFSGSG-------S--GT----D-FTLNIHPVEE-EDAATYYCQHHR-----------------------------SQPTFG-AGTKLEIK-"/>
    <s v="hv7"/>
    <s v="kv4"/>
    <n v="0.19261526000000001"/>
    <n v="2.0025842999999999E-6"/>
    <n v="4.9590140000000003E-9"/>
    <n v="0"/>
    <n v="0"/>
    <n v="0"/>
  </r>
  <r>
    <x v="1046"/>
    <x v="6"/>
    <x v="2"/>
    <s v="QVQ-LQESGP-GLVKPSQTLSLTCTVSGGSIS-------SGSYYWS-WIRQ-P-P-G-K--G-LE-WIGEINH-------------GSTNY--N--P--SL--K---SRVTISV-D---T-S--KN----Q-FSLKLSSVTA-ADTAVYYCARTGGD--------------------------YYYDYWG-QGTLVTVSS"/>
    <s v="DIV-MTQSPSSLSASVGDRVTITCRASQSI-----------SSYLN-WYQQ-K-P-G-K--A-PK-LLIYDA----------------SSL--Q--S--GV--P---SRFSGSG-------S--GT----D-FTLTISSLQP-EDFATYYCQQSYS----------------------------SPPTFG-QGTKVEIK-"/>
    <s v="hv4"/>
    <s v="kv1"/>
    <n v="0.99999970000000005"/>
    <n v="0.99999994000000003"/>
    <n v="0.99997645999999996"/>
    <n v="1"/>
    <n v="1"/>
    <n v="1"/>
  </r>
  <r>
    <x v="1047"/>
    <x v="6"/>
    <x v="2"/>
    <s v="QIQ-LVQSGR-EVKNPGETVKISCKASGYTF---------TEYPML-WVKQ-A-P-G-K--G-FR-WMGLIYTN-----------TGEPTY--A--E--EF--K---GRFVFSL-E---I-S--AS----T-AYLQI---KN-EDTATYFCVRDYF---------------------------ISLDYWG-QGTSVTVSS"/>
    <s v="DIV-MTQSHKFMSTSVGDRVSITCKASQDVS---------TAVAVY-RYQQ-K-P-G-Q--S-PK-LLIYWA----------------STR--H--I--GV--P---DRFTGSG-------S--GT----D-FTLTISNVQS-EDLADYFCLQYS-----------------------------SYPTFG-GGTKLEIK-"/>
    <s v="hv7"/>
    <s v="kv4"/>
    <n v="0.882073"/>
    <n v="3.6776587000000003E-8"/>
    <n v="2.9519703999999998E-9"/>
    <n v="1"/>
    <n v="0"/>
    <n v="0"/>
  </r>
  <r>
    <x v="1048"/>
    <x v="6"/>
    <x v="2"/>
    <s v="EVQ-LVESGG-GLVQPGGSLRLSCAASGFTFS-------FDMHWMS-WVRQ-A-P-G-K--G-LE-WVSGINRKY---------YSTDSDS--I--SRFTF--K---DRFTVY------M-T--RR----I-AYMDLSSLT--DDTATYFCAFD-------------------------------DSSWG-QGTMVTVSS"/>
    <s v="DIQ-MTQSPSSLSASVGDRVTITCRASQSI-----------SNYLA-WYQQ-K-P-G-K--A-PK-LLIYVA----------------SDL--A--S--GV--P---SRFSGSG-------S--GT----D-FTLTISSLQP-EDFATYYCQQYEG---------------------------TPPFTFG-PGTKVEIK-"/>
    <s v="hv3"/>
    <s v="kv1"/>
    <n v="0.99992999999999999"/>
    <n v="0.99998379999999998"/>
    <n v="6.2836049999999996E-4"/>
    <n v="1"/>
    <n v="1"/>
    <n v="0"/>
  </r>
  <r>
    <x v="1049"/>
    <x v="6"/>
    <x v="2"/>
    <e v="#NAME?"/>
    <s v="EIV-MTQSPSSLSASVGDRVTITCRASQGI-----------SSDLA-WYQQ-K-P-G-K--A-PK-LLIYAA----------------SNL--Q--S--GV--P---SRFSGSG-------S--GT----D-FTLTISSLQP-EDFATYYCQQLNS----------------------------YPFTFG-PGTKVDIK-"/>
    <s v="hv4"/>
    <s v="kv1"/>
    <n v="0.99980073999999997"/>
    <n v="0.99999369999999999"/>
    <n v="0.95142287000000003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AD2DC-8E06-D94B-BA2B-CC3A2B792F6B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3" firstHeaderRow="1" firstDataRow="3" firstDataCol="1"/>
  <pivotFields count="13">
    <pivotField dataField="1" showAll="0">
      <items count="1051"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axis="axisRow" showAll="0">
      <items count="8">
        <item x="5"/>
        <item x="0"/>
        <item x="1"/>
        <item x="2"/>
        <item x="3"/>
        <item x="6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1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seq_id" fld="0" subtotal="count" baseField="0" baseItem="0"/>
    <dataField name="Sum of CNN_H_ge50pct" fld="10" baseField="0" baseItem="0"/>
    <dataField name="Sum of CNN_L_ge50pct" fld="11" baseField="0" baseItem="0"/>
    <dataField name="Sum of CNN_P_ge50pc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7F8E-BA51-E343-A4F3-4793881D07BB}">
  <dimension ref="A3:Q20"/>
  <sheetViews>
    <sheetView workbookViewId="0">
      <selection activeCell="A19" sqref="A19:K28"/>
    </sheetView>
  </sheetViews>
  <sheetFormatPr baseColWidth="10" defaultRowHeight="16" x14ac:dyDescent="0.2"/>
  <cols>
    <col min="1" max="1" width="13" bestFit="1" customWidth="1"/>
    <col min="2" max="2" width="25.33203125" bestFit="1" customWidth="1"/>
    <col min="3" max="3" width="21" bestFit="1" customWidth="1"/>
    <col min="4" max="4" width="20.6640625" bestFit="1" customWidth="1"/>
    <col min="5" max="5" width="20.83203125" bestFit="1" customWidth="1"/>
    <col min="6" max="6" width="27.6640625" bestFit="1" customWidth="1"/>
    <col min="7" max="7" width="21" bestFit="1" customWidth="1"/>
    <col min="8" max="8" width="20.6640625" bestFit="1" customWidth="1"/>
    <col min="9" max="9" width="20.83203125" bestFit="1" customWidth="1"/>
    <col min="10" max="10" width="13.83203125" bestFit="1" customWidth="1"/>
    <col min="11" max="11" width="21" bestFit="1" customWidth="1"/>
    <col min="12" max="12" width="20.6640625" bestFit="1" customWidth="1"/>
    <col min="13" max="13" width="20.83203125" bestFit="1" customWidth="1"/>
    <col min="14" max="14" width="18.33203125" bestFit="1" customWidth="1"/>
    <col min="15" max="15" width="25.5" bestFit="1" customWidth="1"/>
    <col min="16" max="16" width="25.1640625" bestFit="1" customWidth="1"/>
    <col min="17" max="17" width="25.33203125" bestFit="1" customWidth="1"/>
  </cols>
  <sheetData>
    <row r="3" spans="1:17" x14ac:dyDescent="0.2">
      <c r="B3" s="3" t="s">
        <v>2902</v>
      </c>
    </row>
    <row r="4" spans="1:17" x14ac:dyDescent="0.2">
      <c r="B4" t="s">
        <v>2898</v>
      </c>
      <c r="F4" t="s">
        <v>2899</v>
      </c>
      <c r="J4" t="s">
        <v>2891</v>
      </c>
      <c r="N4" t="s">
        <v>2910</v>
      </c>
      <c r="O4" t="s">
        <v>2904</v>
      </c>
      <c r="P4" t="s">
        <v>2908</v>
      </c>
      <c r="Q4" t="s">
        <v>2905</v>
      </c>
    </row>
    <row r="5" spans="1:17" x14ac:dyDescent="0.2">
      <c r="A5" s="3" t="s">
        <v>2900</v>
      </c>
      <c r="B5" t="s">
        <v>2911</v>
      </c>
      <c r="C5" t="s">
        <v>2906</v>
      </c>
      <c r="D5" t="s">
        <v>2909</v>
      </c>
      <c r="E5" t="s">
        <v>2903</v>
      </c>
      <c r="F5" t="s">
        <v>2911</v>
      </c>
      <c r="G5" t="s">
        <v>2906</v>
      </c>
      <c r="H5" t="s">
        <v>2909</v>
      </c>
      <c r="I5" t="s">
        <v>2903</v>
      </c>
      <c r="J5" t="s">
        <v>2911</v>
      </c>
      <c r="K5" t="s">
        <v>2906</v>
      </c>
      <c r="L5" t="s">
        <v>2909</v>
      </c>
      <c r="M5" t="s">
        <v>2903</v>
      </c>
    </row>
    <row r="6" spans="1:17" x14ac:dyDescent="0.2">
      <c r="A6" s="4" t="s">
        <v>2896</v>
      </c>
      <c r="B6" s="5">
        <v>50</v>
      </c>
      <c r="C6" s="5">
        <v>48</v>
      </c>
      <c r="D6" s="5">
        <v>45</v>
      </c>
      <c r="E6" s="5">
        <v>25</v>
      </c>
      <c r="F6" s="5">
        <v>50</v>
      </c>
      <c r="G6" s="5">
        <v>38</v>
      </c>
      <c r="H6" s="5">
        <v>37</v>
      </c>
      <c r="I6" s="5">
        <v>26</v>
      </c>
      <c r="J6" s="5">
        <v>50</v>
      </c>
      <c r="K6" s="5">
        <v>42</v>
      </c>
      <c r="L6" s="5">
        <v>40</v>
      </c>
      <c r="M6" s="5">
        <v>27</v>
      </c>
      <c r="N6" s="5">
        <v>150</v>
      </c>
      <c r="O6" s="5">
        <v>128</v>
      </c>
      <c r="P6" s="5">
        <v>122</v>
      </c>
      <c r="Q6" s="5">
        <v>78</v>
      </c>
    </row>
    <row r="7" spans="1:17" x14ac:dyDescent="0.2">
      <c r="A7" s="4" t="s">
        <v>2890</v>
      </c>
      <c r="B7" s="5">
        <v>50</v>
      </c>
      <c r="C7" s="5">
        <v>44</v>
      </c>
      <c r="D7" s="5">
        <v>44</v>
      </c>
      <c r="E7" s="5">
        <v>31</v>
      </c>
      <c r="F7" s="5">
        <v>50</v>
      </c>
      <c r="G7" s="5">
        <v>35</v>
      </c>
      <c r="H7" s="5">
        <v>38</v>
      </c>
      <c r="I7" s="5">
        <v>23</v>
      </c>
      <c r="J7" s="5">
        <v>50</v>
      </c>
      <c r="K7" s="5">
        <v>40</v>
      </c>
      <c r="L7" s="5">
        <v>39</v>
      </c>
      <c r="M7" s="5">
        <v>27</v>
      </c>
      <c r="N7" s="5">
        <v>150</v>
      </c>
      <c r="O7" s="5">
        <v>119</v>
      </c>
      <c r="P7" s="5">
        <v>121</v>
      </c>
      <c r="Q7" s="5">
        <v>81</v>
      </c>
    </row>
    <row r="8" spans="1:17" x14ac:dyDescent="0.2">
      <c r="A8" s="4" t="s">
        <v>2892</v>
      </c>
      <c r="B8" s="5">
        <v>50</v>
      </c>
      <c r="C8" s="5">
        <v>39</v>
      </c>
      <c r="D8" s="5">
        <v>41</v>
      </c>
      <c r="E8" s="5">
        <v>32</v>
      </c>
      <c r="F8" s="5">
        <v>50</v>
      </c>
      <c r="G8" s="5">
        <v>40</v>
      </c>
      <c r="H8" s="5">
        <v>41</v>
      </c>
      <c r="I8" s="5">
        <v>27</v>
      </c>
      <c r="J8" s="5">
        <v>50</v>
      </c>
      <c r="K8" s="5">
        <v>40</v>
      </c>
      <c r="L8" s="5">
        <v>35</v>
      </c>
      <c r="M8" s="5">
        <v>25</v>
      </c>
      <c r="N8" s="5">
        <v>150</v>
      </c>
      <c r="O8" s="5">
        <v>119</v>
      </c>
      <c r="P8" s="5">
        <v>117</v>
      </c>
      <c r="Q8" s="5">
        <v>84</v>
      </c>
    </row>
    <row r="9" spans="1:17" x14ac:dyDescent="0.2">
      <c r="A9" s="4" t="s">
        <v>2893</v>
      </c>
      <c r="B9" s="5">
        <v>50</v>
      </c>
      <c r="C9" s="5">
        <v>44</v>
      </c>
      <c r="D9" s="5">
        <v>43</v>
      </c>
      <c r="E9" s="5">
        <v>28</v>
      </c>
      <c r="F9" s="5">
        <v>50</v>
      </c>
      <c r="G9" s="5">
        <v>41</v>
      </c>
      <c r="H9" s="5">
        <v>39</v>
      </c>
      <c r="I9" s="5">
        <v>26</v>
      </c>
      <c r="J9" s="5">
        <v>50</v>
      </c>
      <c r="K9" s="5">
        <v>41</v>
      </c>
      <c r="L9" s="5">
        <v>35</v>
      </c>
      <c r="M9" s="5">
        <v>21</v>
      </c>
      <c r="N9" s="5">
        <v>150</v>
      </c>
      <c r="O9" s="5">
        <v>126</v>
      </c>
      <c r="P9" s="5">
        <v>117</v>
      </c>
      <c r="Q9" s="5">
        <v>75</v>
      </c>
    </row>
    <row r="10" spans="1:17" x14ac:dyDescent="0.2">
      <c r="A10" s="4" t="s">
        <v>2894</v>
      </c>
      <c r="B10" s="5">
        <v>50</v>
      </c>
      <c r="C10" s="5">
        <v>41</v>
      </c>
      <c r="D10" s="5">
        <v>43</v>
      </c>
      <c r="E10" s="5">
        <v>29</v>
      </c>
      <c r="F10" s="5">
        <v>50</v>
      </c>
      <c r="G10" s="5">
        <v>37</v>
      </c>
      <c r="H10" s="5">
        <v>34</v>
      </c>
      <c r="I10" s="5">
        <v>19</v>
      </c>
      <c r="J10" s="5">
        <v>50</v>
      </c>
      <c r="K10" s="5">
        <v>36</v>
      </c>
      <c r="L10" s="5">
        <v>38</v>
      </c>
      <c r="M10" s="5">
        <v>21</v>
      </c>
      <c r="N10" s="5">
        <v>150</v>
      </c>
      <c r="O10" s="5">
        <v>114</v>
      </c>
      <c r="P10" s="5">
        <v>115</v>
      </c>
      <c r="Q10" s="5">
        <v>69</v>
      </c>
    </row>
    <row r="11" spans="1:17" x14ac:dyDescent="0.2">
      <c r="A11" s="4" t="s">
        <v>2897</v>
      </c>
      <c r="B11" s="5">
        <v>50</v>
      </c>
      <c r="C11" s="5">
        <v>43</v>
      </c>
      <c r="D11" s="5">
        <v>48</v>
      </c>
      <c r="E11" s="5">
        <v>28</v>
      </c>
      <c r="F11" s="5">
        <v>50</v>
      </c>
      <c r="G11" s="5">
        <v>37</v>
      </c>
      <c r="H11" s="5">
        <v>34</v>
      </c>
      <c r="I11" s="5">
        <v>22</v>
      </c>
      <c r="J11" s="5">
        <v>50</v>
      </c>
      <c r="K11" s="5">
        <v>45</v>
      </c>
      <c r="L11" s="5">
        <v>36</v>
      </c>
      <c r="M11" s="5">
        <v>25</v>
      </c>
      <c r="N11" s="5">
        <v>150</v>
      </c>
      <c r="O11" s="5">
        <v>125</v>
      </c>
      <c r="P11" s="5">
        <v>118</v>
      </c>
      <c r="Q11" s="5">
        <v>75</v>
      </c>
    </row>
    <row r="12" spans="1:17" x14ac:dyDescent="0.2">
      <c r="A12" s="4" t="s">
        <v>2895</v>
      </c>
      <c r="B12" s="5">
        <v>50</v>
      </c>
      <c r="C12" s="5">
        <v>43</v>
      </c>
      <c r="D12" s="5">
        <v>43</v>
      </c>
      <c r="E12" s="5">
        <v>29</v>
      </c>
      <c r="F12" s="5">
        <v>50</v>
      </c>
      <c r="G12" s="5">
        <v>43</v>
      </c>
      <c r="H12" s="5">
        <v>45</v>
      </c>
      <c r="I12" s="5">
        <v>29</v>
      </c>
      <c r="J12" s="5">
        <v>50</v>
      </c>
      <c r="K12" s="5">
        <v>42</v>
      </c>
      <c r="L12" s="5">
        <v>44</v>
      </c>
      <c r="M12" s="5">
        <v>28</v>
      </c>
      <c r="N12" s="5">
        <v>150</v>
      </c>
      <c r="O12" s="5">
        <v>128</v>
      </c>
      <c r="P12" s="5">
        <v>132</v>
      </c>
      <c r="Q12" s="5">
        <v>86</v>
      </c>
    </row>
    <row r="13" spans="1:17" x14ac:dyDescent="0.2">
      <c r="A13" s="4" t="s">
        <v>2901</v>
      </c>
      <c r="B13" s="5">
        <v>350</v>
      </c>
      <c r="C13" s="5">
        <v>302</v>
      </c>
      <c r="D13" s="5">
        <v>307</v>
      </c>
      <c r="E13" s="5">
        <v>202</v>
      </c>
      <c r="F13" s="5">
        <v>350</v>
      </c>
      <c r="G13" s="5">
        <v>271</v>
      </c>
      <c r="H13" s="5">
        <v>268</v>
      </c>
      <c r="I13" s="5">
        <v>172</v>
      </c>
      <c r="J13" s="5">
        <v>350</v>
      </c>
      <c r="K13" s="5">
        <v>286</v>
      </c>
      <c r="L13" s="5">
        <v>267</v>
      </c>
      <c r="M13" s="5">
        <v>174</v>
      </c>
      <c r="N13" s="5">
        <v>1050</v>
      </c>
      <c r="O13" s="5">
        <v>859</v>
      </c>
      <c r="P13" s="5">
        <v>842</v>
      </c>
      <c r="Q13" s="5">
        <v>548</v>
      </c>
    </row>
    <row r="20" spans="12:13" x14ac:dyDescent="0.2">
      <c r="L20" t="s">
        <v>2917</v>
      </c>
      <c r="M20" t="s">
        <v>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723A-D6B6-FB40-AC0E-B77AF6504D75}">
  <dimension ref="A1:Q29"/>
  <sheetViews>
    <sheetView tabSelected="1" topLeftCell="B4" workbookViewId="0">
      <selection activeCell="G13" sqref="G13"/>
    </sheetView>
  </sheetViews>
  <sheetFormatPr baseColWidth="10" defaultRowHeight="16" x14ac:dyDescent="0.2"/>
  <cols>
    <col min="1" max="1" width="10.5" bestFit="1" customWidth="1"/>
    <col min="2" max="2" width="13.5" bestFit="1" customWidth="1"/>
    <col min="3" max="3" width="20.5" bestFit="1" customWidth="1"/>
    <col min="4" max="4" width="20" bestFit="1" customWidth="1"/>
    <col min="5" max="5" width="20.1640625" bestFit="1" customWidth="1"/>
    <col min="6" max="6" width="13.5" bestFit="1" customWidth="1"/>
    <col min="7" max="7" width="20.5" bestFit="1" customWidth="1"/>
    <col min="8" max="8" width="20" bestFit="1" customWidth="1"/>
    <col min="9" max="9" width="20.1640625" bestFit="1" customWidth="1"/>
    <col min="10" max="10" width="13.5" bestFit="1" customWidth="1"/>
    <col min="11" max="11" width="20.5" bestFit="1" customWidth="1"/>
    <col min="12" max="12" width="20" bestFit="1" customWidth="1"/>
    <col min="13" max="13" width="20.1640625" bestFit="1" customWidth="1"/>
    <col min="14" max="14" width="18" bestFit="1" customWidth="1"/>
    <col min="15" max="15" width="25" bestFit="1" customWidth="1"/>
    <col min="16" max="16" width="24.5" bestFit="1" customWidth="1"/>
    <col min="17" max="17" width="24.6640625" bestFit="1" customWidth="1"/>
  </cols>
  <sheetData>
    <row r="1" spans="1:17" x14ac:dyDescent="0.2">
      <c r="B1" t="s">
        <v>2902</v>
      </c>
    </row>
    <row r="2" spans="1:17" x14ac:dyDescent="0.2">
      <c r="B2" s="6" t="s">
        <v>2898</v>
      </c>
      <c r="C2" s="6"/>
      <c r="D2" s="6"/>
      <c r="E2" s="6"/>
      <c r="F2" s="6" t="s">
        <v>2899</v>
      </c>
      <c r="G2" s="6"/>
      <c r="H2" s="6"/>
      <c r="I2" s="6"/>
      <c r="J2" s="6" t="s">
        <v>2891</v>
      </c>
      <c r="K2" s="6"/>
      <c r="L2" s="6"/>
      <c r="M2" s="6"/>
      <c r="N2" t="s">
        <v>2910</v>
      </c>
      <c r="O2" t="s">
        <v>2904</v>
      </c>
      <c r="P2" t="s">
        <v>2908</v>
      </c>
      <c r="Q2" t="s">
        <v>2905</v>
      </c>
    </row>
    <row r="3" spans="1:17" x14ac:dyDescent="0.2">
      <c r="A3" t="s">
        <v>2900</v>
      </c>
      <c r="B3" t="s">
        <v>2911</v>
      </c>
      <c r="C3" t="s">
        <v>2906</v>
      </c>
      <c r="D3" t="s">
        <v>2909</v>
      </c>
      <c r="E3" t="s">
        <v>2903</v>
      </c>
      <c r="F3" t="s">
        <v>2911</v>
      </c>
      <c r="G3" t="s">
        <v>2906</v>
      </c>
      <c r="H3" t="s">
        <v>2909</v>
      </c>
      <c r="I3" t="s">
        <v>2903</v>
      </c>
      <c r="J3" t="s">
        <v>2911</v>
      </c>
      <c r="K3" t="s">
        <v>2906</v>
      </c>
      <c r="L3" t="s">
        <v>2909</v>
      </c>
      <c r="M3" t="s">
        <v>2903</v>
      </c>
    </row>
    <row r="4" spans="1:17" x14ac:dyDescent="0.2">
      <c r="A4" t="s">
        <v>2896</v>
      </c>
      <c r="B4">
        <v>50</v>
      </c>
      <c r="C4">
        <v>48</v>
      </c>
      <c r="D4">
        <v>45</v>
      </c>
      <c r="E4">
        <v>25</v>
      </c>
      <c r="F4">
        <v>50</v>
      </c>
      <c r="G4">
        <v>38</v>
      </c>
      <c r="H4">
        <v>37</v>
      </c>
      <c r="I4">
        <v>26</v>
      </c>
      <c r="J4">
        <v>50</v>
      </c>
      <c r="K4">
        <v>42</v>
      </c>
      <c r="L4">
        <v>40</v>
      </c>
      <c r="M4">
        <v>27</v>
      </c>
      <c r="N4">
        <v>150</v>
      </c>
      <c r="O4">
        <v>128</v>
      </c>
      <c r="P4">
        <v>122</v>
      </c>
      <c r="Q4">
        <v>78</v>
      </c>
    </row>
    <row r="5" spans="1:17" x14ac:dyDescent="0.2">
      <c r="A5" t="s">
        <v>2890</v>
      </c>
      <c r="B5">
        <v>50</v>
      </c>
      <c r="C5">
        <v>44</v>
      </c>
      <c r="D5">
        <v>44</v>
      </c>
      <c r="E5">
        <v>31</v>
      </c>
      <c r="F5">
        <v>50</v>
      </c>
      <c r="G5">
        <v>35</v>
      </c>
      <c r="H5">
        <v>38</v>
      </c>
      <c r="I5">
        <v>23</v>
      </c>
      <c r="J5">
        <v>50</v>
      </c>
      <c r="K5">
        <v>40</v>
      </c>
      <c r="L5">
        <v>39</v>
      </c>
      <c r="M5">
        <v>27</v>
      </c>
      <c r="N5">
        <v>150</v>
      </c>
      <c r="O5">
        <v>119</v>
      </c>
      <c r="P5">
        <v>121</v>
      </c>
      <c r="Q5">
        <v>81</v>
      </c>
    </row>
    <row r="6" spans="1:17" x14ac:dyDescent="0.2">
      <c r="A6" t="s">
        <v>2892</v>
      </c>
      <c r="B6">
        <v>50</v>
      </c>
      <c r="C6">
        <v>39</v>
      </c>
      <c r="D6">
        <v>41</v>
      </c>
      <c r="E6">
        <v>32</v>
      </c>
      <c r="F6">
        <v>50</v>
      </c>
      <c r="G6">
        <v>40</v>
      </c>
      <c r="H6">
        <v>41</v>
      </c>
      <c r="I6">
        <v>27</v>
      </c>
      <c r="J6">
        <v>50</v>
      </c>
      <c r="K6">
        <v>40</v>
      </c>
      <c r="L6">
        <v>35</v>
      </c>
      <c r="M6">
        <v>25</v>
      </c>
      <c r="N6">
        <v>150</v>
      </c>
      <c r="O6">
        <v>119</v>
      </c>
      <c r="P6">
        <v>117</v>
      </c>
      <c r="Q6">
        <v>84</v>
      </c>
    </row>
    <row r="7" spans="1:17" x14ac:dyDescent="0.2">
      <c r="A7" t="s">
        <v>2893</v>
      </c>
      <c r="B7">
        <v>50</v>
      </c>
      <c r="C7">
        <v>44</v>
      </c>
      <c r="D7">
        <v>43</v>
      </c>
      <c r="E7">
        <v>28</v>
      </c>
      <c r="F7">
        <v>50</v>
      </c>
      <c r="G7">
        <v>41</v>
      </c>
      <c r="H7">
        <v>39</v>
      </c>
      <c r="I7">
        <v>26</v>
      </c>
      <c r="J7">
        <v>50</v>
      </c>
      <c r="K7">
        <v>41</v>
      </c>
      <c r="L7">
        <v>35</v>
      </c>
      <c r="M7">
        <v>21</v>
      </c>
      <c r="N7">
        <v>150</v>
      </c>
      <c r="O7">
        <v>126</v>
      </c>
      <c r="P7">
        <v>117</v>
      </c>
      <c r="Q7">
        <v>75</v>
      </c>
    </row>
    <row r="8" spans="1:17" x14ac:dyDescent="0.2">
      <c r="A8" t="s">
        <v>2894</v>
      </c>
      <c r="B8">
        <v>50</v>
      </c>
      <c r="C8">
        <v>41</v>
      </c>
      <c r="D8">
        <v>43</v>
      </c>
      <c r="E8">
        <v>29</v>
      </c>
      <c r="F8">
        <v>50</v>
      </c>
      <c r="G8">
        <v>37</v>
      </c>
      <c r="H8">
        <v>34</v>
      </c>
      <c r="I8">
        <v>19</v>
      </c>
      <c r="J8">
        <v>50</v>
      </c>
      <c r="K8">
        <v>36</v>
      </c>
      <c r="L8">
        <v>38</v>
      </c>
      <c r="M8">
        <v>21</v>
      </c>
      <c r="N8">
        <v>150</v>
      </c>
      <c r="O8">
        <v>114</v>
      </c>
      <c r="P8">
        <v>115</v>
      </c>
      <c r="Q8">
        <v>69</v>
      </c>
    </row>
    <row r="9" spans="1:17" x14ac:dyDescent="0.2">
      <c r="A9" t="s">
        <v>2897</v>
      </c>
      <c r="B9">
        <v>50</v>
      </c>
      <c r="C9">
        <v>43</v>
      </c>
      <c r="D9">
        <v>48</v>
      </c>
      <c r="E9">
        <v>28</v>
      </c>
      <c r="F9">
        <v>50</v>
      </c>
      <c r="G9">
        <v>37</v>
      </c>
      <c r="H9">
        <v>34</v>
      </c>
      <c r="I9">
        <v>22</v>
      </c>
      <c r="J9">
        <v>50</v>
      </c>
      <c r="K9">
        <v>45</v>
      </c>
      <c r="L9">
        <v>36</v>
      </c>
      <c r="M9">
        <v>25</v>
      </c>
      <c r="N9">
        <v>150</v>
      </c>
      <c r="O9">
        <v>125</v>
      </c>
      <c r="P9">
        <v>118</v>
      </c>
      <c r="Q9">
        <v>75</v>
      </c>
    </row>
    <row r="10" spans="1:17" x14ac:dyDescent="0.2">
      <c r="A10" t="s">
        <v>2895</v>
      </c>
      <c r="B10">
        <v>50</v>
      </c>
      <c r="C10">
        <v>43</v>
      </c>
      <c r="D10">
        <v>43</v>
      </c>
      <c r="E10">
        <v>29</v>
      </c>
      <c r="F10">
        <v>50</v>
      </c>
      <c r="G10">
        <v>43</v>
      </c>
      <c r="H10">
        <v>45</v>
      </c>
      <c r="I10">
        <v>29</v>
      </c>
      <c r="J10">
        <v>50</v>
      </c>
      <c r="K10">
        <v>42</v>
      </c>
      <c r="L10">
        <v>44</v>
      </c>
      <c r="M10">
        <v>28</v>
      </c>
      <c r="N10">
        <v>150</v>
      </c>
      <c r="O10">
        <v>128</v>
      </c>
      <c r="P10">
        <v>132</v>
      </c>
      <c r="Q10">
        <v>86</v>
      </c>
    </row>
    <row r="11" spans="1:17" x14ac:dyDescent="0.2">
      <c r="A11" t="s">
        <v>2901</v>
      </c>
      <c r="B11">
        <v>350</v>
      </c>
      <c r="C11">
        <v>302</v>
      </c>
      <c r="D11">
        <v>307</v>
      </c>
      <c r="E11">
        <v>202</v>
      </c>
      <c r="F11">
        <v>350</v>
      </c>
      <c r="G11">
        <v>271</v>
      </c>
      <c r="H11">
        <v>268</v>
      </c>
      <c r="I11">
        <v>172</v>
      </c>
      <c r="J11">
        <v>350</v>
      </c>
      <c r="K11">
        <v>286</v>
      </c>
      <c r="L11">
        <v>267</v>
      </c>
      <c r="M11">
        <v>174</v>
      </c>
      <c r="N11">
        <v>1050</v>
      </c>
      <c r="O11">
        <v>859</v>
      </c>
      <c r="P11">
        <v>842</v>
      </c>
      <c r="Q11">
        <v>548</v>
      </c>
    </row>
    <row r="20" spans="1:13" x14ac:dyDescent="0.2">
      <c r="A20" t="s">
        <v>2918</v>
      </c>
      <c r="B20" s="6" t="s">
        <v>2898</v>
      </c>
      <c r="C20" s="6"/>
      <c r="D20" s="6"/>
      <c r="E20" s="6" t="s">
        <v>2899</v>
      </c>
      <c r="F20" s="6"/>
      <c r="G20" s="6"/>
      <c r="H20" s="6" t="s">
        <v>2891</v>
      </c>
      <c r="I20" s="6"/>
      <c r="J20" s="6"/>
      <c r="K20" s="6" t="s">
        <v>2913</v>
      </c>
      <c r="L20" s="6"/>
      <c r="M20" s="6"/>
    </row>
    <row r="21" spans="1:13" x14ac:dyDescent="0.2">
      <c r="A21" t="s">
        <v>2912</v>
      </c>
      <c r="B21" t="s">
        <v>2915</v>
      </c>
      <c r="C21" t="s">
        <v>2916</v>
      </c>
      <c r="D21" t="s">
        <v>2914</v>
      </c>
      <c r="E21" t="s">
        <v>2915</v>
      </c>
      <c r="F21" t="s">
        <v>2916</v>
      </c>
      <c r="G21" t="s">
        <v>2914</v>
      </c>
      <c r="H21" t="s">
        <v>2915</v>
      </c>
      <c r="I21" t="s">
        <v>2916</v>
      </c>
      <c r="J21" t="s">
        <v>2914</v>
      </c>
      <c r="K21" t="s">
        <v>2915</v>
      </c>
      <c r="L21" t="s">
        <v>2916</v>
      </c>
      <c r="M21" t="s">
        <v>2914</v>
      </c>
    </row>
    <row r="22" spans="1:13" x14ac:dyDescent="0.2">
      <c r="A22" t="s">
        <v>2896</v>
      </c>
      <c r="B22" s="7">
        <f>C4/B4</f>
        <v>0.96</v>
      </c>
      <c r="C22" s="7">
        <f>D4/B4</f>
        <v>0.9</v>
      </c>
      <c r="D22" s="7">
        <f>E4/B4</f>
        <v>0.5</v>
      </c>
      <c r="E22" s="7">
        <f>G4/F4</f>
        <v>0.76</v>
      </c>
      <c r="F22" s="7">
        <f>H4/F4</f>
        <v>0.74</v>
      </c>
      <c r="G22" s="7">
        <f>I4/F4</f>
        <v>0.52</v>
      </c>
      <c r="H22" s="7">
        <f>K4/J4</f>
        <v>0.84</v>
      </c>
      <c r="I22" s="7">
        <f>L4/J4</f>
        <v>0.8</v>
      </c>
      <c r="J22" s="7">
        <f>M4/J4</f>
        <v>0.54</v>
      </c>
      <c r="K22" s="7">
        <f>O4/N4</f>
        <v>0.85333333333333339</v>
      </c>
      <c r="L22" s="7">
        <f>P4/N4</f>
        <v>0.81333333333333335</v>
      </c>
      <c r="M22" s="7">
        <f>Q4/N4</f>
        <v>0.52</v>
      </c>
    </row>
    <row r="23" spans="1:13" x14ac:dyDescent="0.2">
      <c r="A23" t="s">
        <v>2890</v>
      </c>
      <c r="B23" s="7">
        <f t="shared" ref="B23:B30" si="0">C5/B5</f>
        <v>0.88</v>
      </c>
      <c r="C23" s="7">
        <f t="shared" ref="C23:C29" si="1">D5/B5</f>
        <v>0.88</v>
      </c>
      <c r="D23" s="7">
        <f t="shared" ref="D23:D29" si="2">E5/B5</f>
        <v>0.62</v>
      </c>
      <c r="E23" s="7">
        <f t="shared" ref="E23:E29" si="3">G5/F5</f>
        <v>0.7</v>
      </c>
      <c r="F23" s="7">
        <f t="shared" ref="F23:F29" si="4">H5/F5</f>
        <v>0.76</v>
      </c>
      <c r="G23" s="7">
        <f t="shared" ref="G23:G29" si="5">I5/F5</f>
        <v>0.46</v>
      </c>
      <c r="H23" s="7">
        <f t="shared" ref="H23:H29" si="6">K5/J5</f>
        <v>0.8</v>
      </c>
      <c r="I23" s="7">
        <f t="shared" ref="I23:I29" si="7">L5/J5</f>
        <v>0.78</v>
      </c>
      <c r="J23" s="7">
        <f t="shared" ref="J23:J29" si="8">M5/J5</f>
        <v>0.54</v>
      </c>
      <c r="K23" s="7">
        <f t="shared" ref="K23:K29" si="9">O5/N5</f>
        <v>0.79333333333333333</v>
      </c>
      <c r="L23" s="7">
        <f t="shared" ref="L23:L29" si="10">P5/N5</f>
        <v>0.80666666666666664</v>
      </c>
      <c r="M23" s="7">
        <f t="shared" ref="M23:M29" si="11">Q5/N5</f>
        <v>0.54</v>
      </c>
    </row>
    <row r="24" spans="1:13" x14ac:dyDescent="0.2">
      <c r="A24" t="s">
        <v>2892</v>
      </c>
      <c r="B24" s="7">
        <f t="shared" si="0"/>
        <v>0.78</v>
      </c>
      <c r="C24" s="7">
        <f t="shared" si="1"/>
        <v>0.82</v>
      </c>
      <c r="D24" s="7">
        <f t="shared" si="2"/>
        <v>0.64</v>
      </c>
      <c r="E24" s="7">
        <f t="shared" si="3"/>
        <v>0.8</v>
      </c>
      <c r="F24" s="7">
        <f t="shared" si="4"/>
        <v>0.82</v>
      </c>
      <c r="G24" s="7">
        <f t="shared" si="5"/>
        <v>0.54</v>
      </c>
      <c r="H24" s="7">
        <f t="shared" si="6"/>
        <v>0.8</v>
      </c>
      <c r="I24" s="7">
        <f t="shared" si="7"/>
        <v>0.7</v>
      </c>
      <c r="J24" s="7">
        <f t="shared" si="8"/>
        <v>0.5</v>
      </c>
      <c r="K24" s="7">
        <f t="shared" si="9"/>
        <v>0.79333333333333333</v>
      </c>
      <c r="L24" s="7">
        <f t="shared" si="10"/>
        <v>0.78</v>
      </c>
      <c r="M24" s="7">
        <f t="shared" si="11"/>
        <v>0.56000000000000005</v>
      </c>
    </row>
    <row r="25" spans="1:13" x14ac:dyDescent="0.2">
      <c r="A25" t="s">
        <v>2893</v>
      </c>
      <c r="B25" s="7">
        <f t="shared" si="0"/>
        <v>0.88</v>
      </c>
      <c r="C25" s="7">
        <f t="shared" si="1"/>
        <v>0.86</v>
      </c>
      <c r="D25" s="7">
        <f t="shared" si="2"/>
        <v>0.56000000000000005</v>
      </c>
      <c r="E25" s="7">
        <f t="shared" si="3"/>
        <v>0.82</v>
      </c>
      <c r="F25" s="7">
        <f t="shared" si="4"/>
        <v>0.78</v>
      </c>
      <c r="G25" s="7">
        <f t="shared" si="5"/>
        <v>0.52</v>
      </c>
      <c r="H25" s="7">
        <f t="shared" si="6"/>
        <v>0.82</v>
      </c>
      <c r="I25" s="7">
        <f t="shared" si="7"/>
        <v>0.7</v>
      </c>
      <c r="J25" s="7">
        <f t="shared" si="8"/>
        <v>0.42</v>
      </c>
      <c r="K25" s="7">
        <f t="shared" si="9"/>
        <v>0.84</v>
      </c>
      <c r="L25" s="7">
        <f t="shared" si="10"/>
        <v>0.78</v>
      </c>
      <c r="M25" s="7">
        <f t="shared" si="11"/>
        <v>0.5</v>
      </c>
    </row>
    <row r="26" spans="1:13" x14ac:dyDescent="0.2">
      <c r="A26" t="s">
        <v>2894</v>
      </c>
      <c r="B26" s="7">
        <f t="shared" si="0"/>
        <v>0.82</v>
      </c>
      <c r="C26" s="7">
        <f t="shared" si="1"/>
        <v>0.86</v>
      </c>
      <c r="D26" s="7">
        <f t="shared" si="2"/>
        <v>0.57999999999999996</v>
      </c>
      <c r="E26" s="7">
        <f t="shared" si="3"/>
        <v>0.74</v>
      </c>
      <c r="F26" s="7">
        <f t="shared" si="4"/>
        <v>0.68</v>
      </c>
      <c r="G26" s="7">
        <f t="shared" si="5"/>
        <v>0.38</v>
      </c>
      <c r="H26" s="7">
        <f t="shared" si="6"/>
        <v>0.72</v>
      </c>
      <c r="I26" s="7">
        <f t="shared" si="7"/>
        <v>0.76</v>
      </c>
      <c r="J26" s="7">
        <f t="shared" si="8"/>
        <v>0.42</v>
      </c>
      <c r="K26" s="7">
        <f t="shared" si="9"/>
        <v>0.76</v>
      </c>
      <c r="L26" s="7">
        <f t="shared" si="10"/>
        <v>0.76666666666666672</v>
      </c>
      <c r="M26" s="7">
        <f t="shared" si="11"/>
        <v>0.46</v>
      </c>
    </row>
    <row r="27" spans="1:13" x14ac:dyDescent="0.2">
      <c r="A27" t="s">
        <v>2897</v>
      </c>
      <c r="B27" s="7">
        <f t="shared" si="0"/>
        <v>0.86</v>
      </c>
      <c r="C27" s="7">
        <f t="shared" si="1"/>
        <v>0.96</v>
      </c>
      <c r="D27" s="7">
        <f t="shared" si="2"/>
        <v>0.56000000000000005</v>
      </c>
      <c r="E27" s="7">
        <f t="shared" si="3"/>
        <v>0.74</v>
      </c>
      <c r="F27" s="7">
        <f t="shared" si="4"/>
        <v>0.68</v>
      </c>
      <c r="G27" s="7">
        <f t="shared" si="5"/>
        <v>0.44</v>
      </c>
      <c r="H27" s="7">
        <f t="shared" si="6"/>
        <v>0.9</v>
      </c>
      <c r="I27" s="7">
        <f t="shared" si="7"/>
        <v>0.72</v>
      </c>
      <c r="J27" s="7">
        <f t="shared" si="8"/>
        <v>0.5</v>
      </c>
      <c r="K27" s="7">
        <f t="shared" si="9"/>
        <v>0.83333333333333337</v>
      </c>
      <c r="L27" s="7">
        <f t="shared" si="10"/>
        <v>0.78666666666666663</v>
      </c>
      <c r="M27" s="7">
        <f t="shared" si="11"/>
        <v>0.5</v>
      </c>
    </row>
    <row r="28" spans="1:13" x14ac:dyDescent="0.2">
      <c r="A28" t="s">
        <v>2895</v>
      </c>
      <c r="B28" s="7">
        <f t="shared" si="0"/>
        <v>0.86</v>
      </c>
      <c r="C28" s="7">
        <f t="shared" si="1"/>
        <v>0.86</v>
      </c>
      <c r="D28" s="7">
        <f t="shared" si="2"/>
        <v>0.57999999999999996</v>
      </c>
      <c r="E28" s="7">
        <f t="shared" si="3"/>
        <v>0.86</v>
      </c>
      <c r="F28" s="7">
        <f t="shared" si="4"/>
        <v>0.9</v>
      </c>
      <c r="G28" s="7">
        <f t="shared" si="5"/>
        <v>0.57999999999999996</v>
      </c>
      <c r="H28" s="7">
        <f t="shared" si="6"/>
        <v>0.84</v>
      </c>
      <c r="I28" s="7">
        <f t="shared" si="7"/>
        <v>0.88</v>
      </c>
      <c r="J28" s="7">
        <f t="shared" si="8"/>
        <v>0.56000000000000005</v>
      </c>
      <c r="K28" s="7">
        <f t="shared" si="9"/>
        <v>0.85333333333333339</v>
      </c>
      <c r="L28" s="7">
        <f t="shared" si="10"/>
        <v>0.88</v>
      </c>
      <c r="M28" s="7">
        <f t="shared" si="11"/>
        <v>0.57333333333333336</v>
      </c>
    </row>
    <row r="29" spans="1:13" x14ac:dyDescent="0.2">
      <c r="A29" t="s">
        <v>2913</v>
      </c>
      <c r="B29" s="7">
        <f t="shared" si="0"/>
        <v>0.86285714285714288</v>
      </c>
      <c r="C29" s="7">
        <f t="shared" si="1"/>
        <v>0.87714285714285711</v>
      </c>
      <c r="D29" s="7">
        <f t="shared" si="2"/>
        <v>0.57714285714285718</v>
      </c>
      <c r="E29" s="7">
        <f t="shared" si="3"/>
        <v>0.77428571428571424</v>
      </c>
      <c r="F29" s="7">
        <f t="shared" si="4"/>
        <v>0.76571428571428568</v>
      </c>
      <c r="G29" s="7">
        <f t="shared" si="5"/>
        <v>0.49142857142857144</v>
      </c>
      <c r="H29" s="7">
        <f t="shared" si="6"/>
        <v>0.81714285714285717</v>
      </c>
      <c r="I29" s="7">
        <f t="shared" si="7"/>
        <v>0.7628571428571429</v>
      </c>
      <c r="J29" s="7">
        <f t="shared" si="8"/>
        <v>0.49714285714285716</v>
      </c>
      <c r="K29" s="7">
        <f t="shared" si="9"/>
        <v>0.8180952380952381</v>
      </c>
      <c r="L29" s="7">
        <f t="shared" si="10"/>
        <v>0.8019047619047619</v>
      </c>
      <c r="M29" s="7">
        <f t="shared" si="11"/>
        <v>0.52190476190476187</v>
      </c>
    </row>
  </sheetData>
  <mergeCells count="7">
    <mergeCell ref="B20:D20"/>
    <mergeCell ref="K20:M20"/>
    <mergeCell ref="H20:J20"/>
    <mergeCell ref="E20:G20"/>
    <mergeCell ref="B2:E2"/>
    <mergeCell ref="F2:I2"/>
    <mergeCell ref="J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C17D-96B1-6749-A69D-9E6680214066}">
  <dimension ref="A1:M1051"/>
  <sheetViews>
    <sheetView workbookViewId="0">
      <selection activeCell="F12" sqref="F12"/>
    </sheetView>
  </sheetViews>
  <sheetFormatPr baseColWidth="10" defaultRowHeight="16" x14ac:dyDescent="0.2"/>
  <cols>
    <col min="1" max="1" width="37" style="2" bestFit="1" customWidth="1"/>
    <col min="2" max="2" width="9.5" style="2" bestFit="1" customWidth="1"/>
    <col min="3" max="3" width="27" style="2" bestFit="1" customWidth="1"/>
    <col min="11" max="12" width="14.6640625" bestFit="1" customWidth="1"/>
    <col min="13" max="13" width="14.33203125" bestFit="1" customWidth="1"/>
  </cols>
  <sheetData>
    <row r="1" spans="1:13" x14ac:dyDescent="0.2">
      <c r="A1" s="2" t="s">
        <v>1835</v>
      </c>
      <c r="B1" s="2" t="s">
        <v>2888</v>
      </c>
      <c r="C1" s="2" t="s">
        <v>2889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2886</v>
      </c>
      <c r="L1" t="s">
        <v>2907</v>
      </c>
      <c r="M1" t="s">
        <v>2887</v>
      </c>
    </row>
    <row r="2" spans="1:13" x14ac:dyDescent="0.2">
      <c r="A2" t="s">
        <v>1836</v>
      </c>
      <c r="B2" t="s">
        <v>2890</v>
      </c>
      <c r="C2" t="s">
        <v>2891</v>
      </c>
      <c r="D2" t="s">
        <v>7</v>
      </c>
      <c r="E2" t="s">
        <v>8</v>
      </c>
      <c r="F2" t="s">
        <v>9</v>
      </c>
      <c r="G2" t="s">
        <v>10</v>
      </c>
      <c r="H2">
        <v>0.99999979999999999</v>
      </c>
      <c r="I2" s="1">
        <v>2.5424495999999999E-8</v>
      </c>
      <c r="J2">
        <v>1.4461145E-2</v>
      </c>
      <c r="K2">
        <f>IF(H2&gt;=0.5,1,0)</f>
        <v>1</v>
      </c>
      <c r="L2">
        <f t="shared" ref="L2:M2" si="0">IF(I2&gt;=0.5,1,0)</f>
        <v>0</v>
      </c>
      <c r="M2">
        <f t="shared" si="0"/>
        <v>0</v>
      </c>
    </row>
    <row r="3" spans="1:13" x14ac:dyDescent="0.2">
      <c r="A3" t="s">
        <v>1837</v>
      </c>
      <c r="B3" t="s">
        <v>2890</v>
      </c>
      <c r="C3" t="s">
        <v>2891</v>
      </c>
      <c r="D3" t="s">
        <v>11</v>
      </c>
      <c r="E3" t="s">
        <v>12</v>
      </c>
      <c r="F3" t="s">
        <v>13</v>
      </c>
      <c r="G3" t="s">
        <v>14</v>
      </c>
      <c r="H3">
        <v>0.99999994000000003</v>
      </c>
      <c r="I3" s="1">
        <v>2.6954916999999999E-8</v>
      </c>
      <c r="J3">
        <v>2.8142396E-2</v>
      </c>
      <c r="K3">
        <f t="shared" ref="K3:K66" si="1">IF(H3&gt;=0.5,1,0)</f>
        <v>1</v>
      </c>
      <c r="L3">
        <f t="shared" ref="L3:L66" si="2">IF(I3&gt;=0.5,1,0)</f>
        <v>0</v>
      </c>
      <c r="M3">
        <f t="shared" ref="M3:M66" si="3">IF(J3&gt;=0.5,1,0)</f>
        <v>0</v>
      </c>
    </row>
    <row r="4" spans="1:13" x14ac:dyDescent="0.2">
      <c r="A4" t="s">
        <v>1838</v>
      </c>
      <c r="B4" t="s">
        <v>2890</v>
      </c>
      <c r="C4" t="s">
        <v>2891</v>
      </c>
      <c r="D4" t="s">
        <v>15</v>
      </c>
      <c r="E4" t="s">
        <v>16</v>
      </c>
      <c r="F4" t="s">
        <v>17</v>
      </c>
      <c r="G4" t="s">
        <v>18</v>
      </c>
      <c r="H4">
        <v>0.99999994000000003</v>
      </c>
      <c r="I4">
        <v>1.0252178600000001E-4</v>
      </c>
      <c r="J4" s="1">
        <v>2.5814414999999997E-7</v>
      </c>
      <c r="K4">
        <f t="shared" si="1"/>
        <v>1</v>
      </c>
      <c r="L4">
        <f t="shared" si="2"/>
        <v>0</v>
      </c>
      <c r="M4">
        <f t="shared" si="3"/>
        <v>0</v>
      </c>
    </row>
    <row r="5" spans="1:13" x14ac:dyDescent="0.2">
      <c r="A5" t="s">
        <v>1839</v>
      </c>
      <c r="B5" t="s">
        <v>2890</v>
      </c>
      <c r="C5" t="s">
        <v>2891</v>
      </c>
      <c r="D5" t="e">
        <f>--S-VEESGG-RLVTPGTPLTLTCTVSGFSL---------STSGVH-WIRQ-A-P-G-K--G-LE-WLIAIWDK------------DNTYY--ALAS--WS--S---TRTTLTA-D---G-V--RT----T-LDL------T-ADTATFYCARGGS---------------------------SFYDPWG-QGTLVTVSS</f>
        <v>#NAME?</v>
      </c>
      <c r="E5" t="s">
        <v>19</v>
      </c>
      <c r="F5" t="s">
        <v>13</v>
      </c>
      <c r="G5" t="s">
        <v>20</v>
      </c>
      <c r="H5">
        <v>0.91364955999999997</v>
      </c>
      <c r="I5">
        <v>0.98940563000000004</v>
      </c>
      <c r="J5">
        <v>3.0254016999999999E-4</v>
      </c>
      <c r="K5">
        <f t="shared" si="1"/>
        <v>1</v>
      </c>
      <c r="L5">
        <f t="shared" si="2"/>
        <v>1</v>
      </c>
      <c r="M5">
        <f t="shared" si="3"/>
        <v>0</v>
      </c>
    </row>
    <row r="6" spans="1:13" x14ac:dyDescent="0.2">
      <c r="A6" t="s">
        <v>1840</v>
      </c>
      <c r="B6" t="s">
        <v>2890</v>
      </c>
      <c r="C6" t="s">
        <v>2891</v>
      </c>
      <c r="D6" t="s">
        <v>21</v>
      </c>
      <c r="E6" t="s">
        <v>22</v>
      </c>
      <c r="F6" t="s">
        <v>13</v>
      </c>
      <c r="G6" t="s">
        <v>14</v>
      </c>
      <c r="H6">
        <v>0.99991184</v>
      </c>
      <c r="I6">
        <v>0.99999979999999999</v>
      </c>
      <c r="J6">
        <v>0.98522173999999996</v>
      </c>
      <c r="K6">
        <f t="shared" si="1"/>
        <v>1</v>
      </c>
      <c r="L6">
        <f t="shared" si="2"/>
        <v>1</v>
      </c>
      <c r="M6">
        <f t="shared" si="3"/>
        <v>1</v>
      </c>
    </row>
    <row r="7" spans="1:13" x14ac:dyDescent="0.2">
      <c r="A7" t="s">
        <v>1841</v>
      </c>
      <c r="B7" t="s">
        <v>2890</v>
      </c>
      <c r="C7" t="s">
        <v>2891</v>
      </c>
      <c r="D7" t="s">
        <v>23</v>
      </c>
      <c r="E7" t="s">
        <v>24</v>
      </c>
      <c r="F7" t="s">
        <v>9</v>
      </c>
      <c r="G7" t="s">
        <v>14</v>
      </c>
      <c r="H7">
        <v>0.99999910000000003</v>
      </c>
      <c r="I7">
        <v>0.99999934000000001</v>
      </c>
      <c r="J7">
        <v>0.54924249999999997</v>
      </c>
      <c r="K7">
        <f t="shared" si="1"/>
        <v>1</v>
      </c>
      <c r="L7">
        <f t="shared" si="2"/>
        <v>1</v>
      </c>
      <c r="M7">
        <f t="shared" si="3"/>
        <v>1</v>
      </c>
    </row>
    <row r="8" spans="1:13" x14ac:dyDescent="0.2">
      <c r="A8" t="s">
        <v>1842</v>
      </c>
      <c r="B8" t="s">
        <v>2890</v>
      </c>
      <c r="C8" t="s">
        <v>2891</v>
      </c>
      <c r="D8" t="e">
        <f>-VQ-LVQSGA-EVKRPGSSVKVSCKTSGYRFT--------SYYWIG-WVRQ-M-P-G-Q--G-LE-WMGIIPIA------------GGTNY--A--Q--KF--Q---GKVTMTS-D---T-S--TN----T-AYMELSRLRS-DDTAVYYCARHYYD-------------------------YYGLDYWG-QGTLVTVSS</f>
        <v>#NAME?</v>
      </c>
      <c r="E8" t="s">
        <v>25</v>
      </c>
      <c r="F8" t="s">
        <v>9</v>
      </c>
      <c r="G8" t="s">
        <v>14</v>
      </c>
      <c r="H8">
        <v>0.99931009999999998</v>
      </c>
      <c r="I8">
        <v>0.99999994000000003</v>
      </c>
      <c r="J8">
        <v>1.00022124E-4</v>
      </c>
      <c r="K8">
        <f t="shared" si="1"/>
        <v>1</v>
      </c>
      <c r="L8">
        <f t="shared" si="2"/>
        <v>1</v>
      </c>
      <c r="M8">
        <f t="shared" si="3"/>
        <v>0</v>
      </c>
    </row>
    <row r="9" spans="1:13" x14ac:dyDescent="0.2">
      <c r="A9" t="s">
        <v>1843</v>
      </c>
      <c r="B9" t="s">
        <v>2890</v>
      </c>
      <c r="C9" t="s">
        <v>2891</v>
      </c>
      <c r="D9" t="s">
        <v>26</v>
      </c>
      <c r="E9" t="s">
        <v>27</v>
      </c>
      <c r="F9" t="s">
        <v>9</v>
      </c>
      <c r="G9" t="s">
        <v>14</v>
      </c>
      <c r="H9">
        <v>4.2480872999999999E-3</v>
      </c>
      <c r="I9">
        <v>0.99999994000000003</v>
      </c>
      <c r="J9" s="1">
        <v>1.0812853E-6</v>
      </c>
      <c r="K9">
        <f t="shared" si="1"/>
        <v>0</v>
      </c>
      <c r="L9">
        <f t="shared" si="2"/>
        <v>1</v>
      </c>
      <c r="M9">
        <f t="shared" si="3"/>
        <v>0</v>
      </c>
    </row>
    <row r="10" spans="1:13" x14ac:dyDescent="0.2">
      <c r="A10" t="s">
        <v>1844</v>
      </c>
      <c r="B10" t="s">
        <v>2890</v>
      </c>
      <c r="C10" t="s">
        <v>2891</v>
      </c>
      <c r="D10" t="s">
        <v>28</v>
      </c>
      <c r="E10" t="s">
        <v>29</v>
      </c>
      <c r="F10" t="s">
        <v>9</v>
      </c>
      <c r="G10" t="s">
        <v>10</v>
      </c>
      <c r="H10">
        <v>0.99999979999999999</v>
      </c>
      <c r="I10">
        <v>0.99999994000000003</v>
      </c>
      <c r="J10">
        <v>0.99984693999999996</v>
      </c>
      <c r="K10">
        <f t="shared" si="1"/>
        <v>1</v>
      </c>
      <c r="L10">
        <f t="shared" si="2"/>
        <v>1</v>
      </c>
      <c r="M10">
        <f t="shared" si="3"/>
        <v>1</v>
      </c>
    </row>
    <row r="11" spans="1:13" x14ac:dyDescent="0.2">
      <c r="A11" t="s">
        <v>1845</v>
      </c>
      <c r="B11" t="s">
        <v>2890</v>
      </c>
      <c r="C11" t="s">
        <v>2891</v>
      </c>
      <c r="D11" t="s">
        <v>30</v>
      </c>
      <c r="E11" t="s">
        <v>31</v>
      </c>
      <c r="F11" t="s">
        <v>13</v>
      </c>
      <c r="G11" t="s">
        <v>14</v>
      </c>
      <c r="H11">
        <v>0.99999979999999999</v>
      </c>
      <c r="I11">
        <v>0.99971690000000002</v>
      </c>
      <c r="J11">
        <v>0.99312210000000001</v>
      </c>
      <c r="K11">
        <f t="shared" si="1"/>
        <v>1</v>
      </c>
      <c r="L11">
        <f t="shared" si="2"/>
        <v>1</v>
      </c>
      <c r="M11">
        <f t="shared" si="3"/>
        <v>1</v>
      </c>
    </row>
    <row r="12" spans="1:13" x14ac:dyDescent="0.2">
      <c r="A12" t="s">
        <v>1846</v>
      </c>
      <c r="B12" t="s">
        <v>2890</v>
      </c>
      <c r="C12" t="s">
        <v>2891</v>
      </c>
      <c r="D12" t="e">
        <f>-VQ-LVQSGA-EVKKPGASVKVSCKASGYTF---------TGYYMH-WVRQ-A-P-G-Q--G-LE-WMGRINPN-----------SGGTNY--A--Q--SF--Q---GRVTMTR-D---T-S--IS----T-AYMELSRLRS-DDTAVYYCARLGG---------------------------DYFDYWG-QGTLVTVSS</f>
        <v>#NAME?</v>
      </c>
      <c r="E12" t="s">
        <v>32</v>
      </c>
      <c r="F12" t="s">
        <v>9</v>
      </c>
      <c r="G12" t="s">
        <v>10</v>
      </c>
      <c r="H12">
        <v>0.99998193999999996</v>
      </c>
      <c r="I12">
        <v>0.99999994000000003</v>
      </c>
      <c r="J12">
        <v>0.99998622999999998</v>
      </c>
      <c r="K12">
        <f t="shared" si="1"/>
        <v>1</v>
      </c>
      <c r="L12">
        <f t="shared" si="2"/>
        <v>1</v>
      </c>
      <c r="M12">
        <f t="shared" si="3"/>
        <v>1</v>
      </c>
    </row>
    <row r="13" spans="1:13" x14ac:dyDescent="0.2">
      <c r="A13" t="s">
        <v>1847</v>
      </c>
      <c r="B13" t="s">
        <v>2890</v>
      </c>
      <c r="C13" t="s">
        <v>2891</v>
      </c>
      <c r="D13" t="e">
        <f>-VQ-LVESGG-GLVQPGGSLRLSCAASGFTF---------SSYAMS-WVRQ-A-P-G-K--G-LE-WVSAISGS-----------GGSTYY--A--D--SV--K---GRFTISR-D---N-S--KN----T-LYLQMNSLRA-EDTAVYYCARQGLGA------------------------PYGFDSWG-QGTLVTVSS</f>
        <v>#NAME?</v>
      </c>
      <c r="E13" t="s">
        <v>33</v>
      </c>
      <c r="F13" t="s">
        <v>13</v>
      </c>
      <c r="G13" t="s">
        <v>14</v>
      </c>
      <c r="H13">
        <v>0.98403600000000002</v>
      </c>
      <c r="I13">
        <v>0.9945775</v>
      </c>
      <c r="J13">
        <v>1.0031235E-3</v>
      </c>
      <c r="K13">
        <f t="shared" si="1"/>
        <v>1</v>
      </c>
      <c r="L13">
        <f t="shared" si="2"/>
        <v>1</v>
      </c>
      <c r="M13">
        <f t="shared" si="3"/>
        <v>0</v>
      </c>
    </row>
    <row r="14" spans="1:13" x14ac:dyDescent="0.2">
      <c r="A14" t="s">
        <v>1848</v>
      </c>
      <c r="B14" t="s">
        <v>2890</v>
      </c>
      <c r="C14" t="s">
        <v>2891</v>
      </c>
      <c r="D14" t="s">
        <v>34</v>
      </c>
      <c r="E14" t="s">
        <v>35</v>
      </c>
      <c r="F14" t="s">
        <v>17</v>
      </c>
      <c r="G14" t="s">
        <v>36</v>
      </c>
      <c r="H14">
        <v>0.13286308999999999</v>
      </c>
      <c r="I14" s="1">
        <v>1.7460922999999999E-8</v>
      </c>
      <c r="J14">
        <v>0.17460848000000001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x14ac:dyDescent="0.2">
      <c r="A15" t="s">
        <v>1849</v>
      </c>
      <c r="B15" t="s">
        <v>2890</v>
      </c>
      <c r="C15" t="s">
        <v>2891</v>
      </c>
      <c r="D15" t="s">
        <v>37</v>
      </c>
      <c r="E15" t="s">
        <v>38</v>
      </c>
      <c r="F15" t="s">
        <v>13</v>
      </c>
      <c r="G15" t="s">
        <v>14</v>
      </c>
      <c r="H15">
        <v>0.99999979999999999</v>
      </c>
      <c r="I15">
        <v>0.99999886999999998</v>
      </c>
      <c r="J15">
        <v>0.99767930000000005</v>
      </c>
      <c r="K15">
        <f t="shared" si="1"/>
        <v>1</v>
      </c>
      <c r="L15">
        <f t="shared" si="2"/>
        <v>1</v>
      </c>
      <c r="M15">
        <f t="shared" si="3"/>
        <v>1</v>
      </c>
    </row>
    <row r="16" spans="1:13" x14ac:dyDescent="0.2">
      <c r="A16" t="s">
        <v>1850</v>
      </c>
      <c r="B16" t="s">
        <v>2890</v>
      </c>
      <c r="C16" t="s">
        <v>2891</v>
      </c>
      <c r="D16" t="e">
        <f>-VQ-LVESGP-GLVKPSQTLSLTCAVSGGSIS-------SNGYAWW-WIRQ-S-P-G-K--G-LE-WIGYIYYS------------GSTNY--N--P--SL--K---SRVTMSL-D---T-S--KN----Q-FSLKLSSVTA-ADTAVYYCARGPGIFG----------------------SGDYFDFWG-RGTLVTVSS</f>
        <v>#NAME?</v>
      </c>
      <c r="E16" t="s">
        <v>39</v>
      </c>
      <c r="F16" t="s">
        <v>17</v>
      </c>
      <c r="G16" t="s">
        <v>40</v>
      </c>
      <c r="H16">
        <v>0.99999910000000003</v>
      </c>
      <c r="I16">
        <v>0.99949840000000001</v>
      </c>
      <c r="J16">
        <v>0.99990409999999996</v>
      </c>
      <c r="K16">
        <f t="shared" si="1"/>
        <v>1</v>
      </c>
      <c r="L16">
        <f t="shared" si="2"/>
        <v>1</v>
      </c>
      <c r="M16">
        <f t="shared" si="3"/>
        <v>1</v>
      </c>
    </row>
    <row r="17" spans="1:13" x14ac:dyDescent="0.2">
      <c r="A17" t="s">
        <v>1851</v>
      </c>
      <c r="B17" t="s">
        <v>2890</v>
      </c>
      <c r="C17" t="s">
        <v>2891</v>
      </c>
      <c r="D17" t="s">
        <v>41</v>
      </c>
      <c r="E17" t="s">
        <v>42</v>
      </c>
      <c r="F17" t="s">
        <v>9</v>
      </c>
      <c r="G17" t="s">
        <v>10</v>
      </c>
      <c r="H17">
        <v>0.99994130000000003</v>
      </c>
      <c r="I17">
        <v>0.99999994000000003</v>
      </c>
      <c r="J17">
        <v>0.94278430000000002</v>
      </c>
      <c r="K17">
        <f t="shared" si="1"/>
        <v>1</v>
      </c>
      <c r="L17">
        <f t="shared" si="2"/>
        <v>1</v>
      </c>
      <c r="M17">
        <f t="shared" si="3"/>
        <v>1</v>
      </c>
    </row>
    <row r="18" spans="1:13" x14ac:dyDescent="0.2">
      <c r="A18" t="s">
        <v>1852</v>
      </c>
      <c r="B18" t="s">
        <v>2890</v>
      </c>
      <c r="C18" t="s">
        <v>2891</v>
      </c>
      <c r="D18" t="s">
        <v>43</v>
      </c>
      <c r="E18" t="s">
        <v>44</v>
      </c>
      <c r="F18" t="s">
        <v>9</v>
      </c>
      <c r="G18" t="s">
        <v>45</v>
      </c>
      <c r="H18">
        <v>0.46669480000000002</v>
      </c>
      <c r="I18" s="1">
        <v>8.7440213000000005E-7</v>
      </c>
      <c r="J18">
        <v>5.1842060000000002E-3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x14ac:dyDescent="0.2">
      <c r="A19" t="s">
        <v>1853</v>
      </c>
      <c r="B19" t="s">
        <v>2890</v>
      </c>
      <c r="C19" t="s">
        <v>2891</v>
      </c>
      <c r="D19" t="s">
        <v>46</v>
      </c>
      <c r="E19" t="s">
        <v>47</v>
      </c>
      <c r="F19" t="s">
        <v>9</v>
      </c>
      <c r="G19" t="s">
        <v>14</v>
      </c>
      <c r="H19">
        <v>0.99999994000000003</v>
      </c>
      <c r="I19">
        <v>0.99999994000000003</v>
      </c>
      <c r="J19">
        <v>0.98131710000000005</v>
      </c>
      <c r="K19">
        <f t="shared" si="1"/>
        <v>1</v>
      </c>
      <c r="L19">
        <f t="shared" si="2"/>
        <v>1</v>
      </c>
      <c r="M19">
        <f t="shared" si="3"/>
        <v>1</v>
      </c>
    </row>
    <row r="20" spans="1:13" x14ac:dyDescent="0.2">
      <c r="A20" t="s">
        <v>1854</v>
      </c>
      <c r="B20" t="s">
        <v>2890</v>
      </c>
      <c r="C20" t="s">
        <v>2891</v>
      </c>
      <c r="D20" t="s">
        <v>48</v>
      </c>
      <c r="E20" t="s">
        <v>49</v>
      </c>
      <c r="F20" t="s">
        <v>17</v>
      </c>
      <c r="G20" t="s">
        <v>14</v>
      </c>
      <c r="H20">
        <v>0.9860006</v>
      </c>
      <c r="I20">
        <v>0.99996035999999999</v>
      </c>
      <c r="J20">
        <v>0.48635184999999997</v>
      </c>
      <c r="K20">
        <f t="shared" si="1"/>
        <v>1</v>
      </c>
      <c r="L20">
        <f t="shared" si="2"/>
        <v>1</v>
      </c>
      <c r="M20">
        <f t="shared" si="3"/>
        <v>0</v>
      </c>
    </row>
    <row r="21" spans="1:13" x14ac:dyDescent="0.2">
      <c r="A21" t="s">
        <v>1855</v>
      </c>
      <c r="B21" t="s">
        <v>2890</v>
      </c>
      <c r="C21" t="s">
        <v>2891</v>
      </c>
      <c r="D21" t="s">
        <v>50</v>
      </c>
      <c r="E21" t="s">
        <v>51</v>
      </c>
      <c r="F21" t="s">
        <v>13</v>
      </c>
      <c r="G21" t="s">
        <v>14</v>
      </c>
      <c r="H21">
        <v>0.99999576999999995</v>
      </c>
      <c r="I21">
        <v>3.4989963999999998E-2</v>
      </c>
      <c r="J21" s="1">
        <v>1.0767177000000001E-15</v>
      </c>
      <c r="K21">
        <f t="shared" si="1"/>
        <v>1</v>
      </c>
      <c r="L21">
        <f t="shared" si="2"/>
        <v>0</v>
      </c>
      <c r="M21">
        <f t="shared" si="3"/>
        <v>0</v>
      </c>
    </row>
    <row r="22" spans="1:13" x14ac:dyDescent="0.2">
      <c r="A22" t="s">
        <v>1856</v>
      </c>
      <c r="B22" t="s">
        <v>2890</v>
      </c>
      <c r="C22" t="s">
        <v>2891</v>
      </c>
      <c r="D22" t="s">
        <v>52</v>
      </c>
      <c r="E22" t="s">
        <v>53</v>
      </c>
      <c r="F22" t="s">
        <v>9</v>
      </c>
      <c r="G22" t="s">
        <v>14</v>
      </c>
      <c r="H22">
        <v>0.99998825999999996</v>
      </c>
      <c r="I22">
        <v>0.99999610000000005</v>
      </c>
      <c r="J22">
        <v>0.99975705000000004</v>
      </c>
      <c r="K22">
        <f t="shared" si="1"/>
        <v>1</v>
      </c>
      <c r="L22">
        <f t="shared" si="2"/>
        <v>1</v>
      </c>
      <c r="M22">
        <f t="shared" si="3"/>
        <v>1</v>
      </c>
    </row>
    <row r="23" spans="1:13" x14ac:dyDescent="0.2">
      <c r="A23" t="s">
        <v>1857</v>
      </c>
      <c r="B23" t="s">
        <v>2890</v>
      </c>
      <c r="C23" t="s">
        <v>2891</v>
      </c>
      <c r="D23" t="s">
        <v>54</v>
      </c>
      <c r="E23" t="s">
        <v>55</v>
      </c>
      <c r="F23" t="s">
        <v>13</v>
      </c>
      <c r="G23" t="s">
        <v>14</v>
      </c>
      <c r="H23">
        <v>0.99999934000000001</v>
      </c>
      <c r="I23">
        <v>0.99999970000000005</v>
      </c>
      <c r="J23">
        <v>0.99044715999999999</v>
      </c>
      <c r="K23">
        <f t="shared" si="1"/>
        <v>1</v>
      </c>
      <c r="L23">
        <f t="shared" si="2"/>
        <v>1</v>
      </c>
      <c r="M23">
        <f t="shared" si="3"/>
        <v>1</v>
      </c>
    </row>
    <row r="24" spans="1:13" x14ac:dyDescent="0.2">
      <c r="A24" t="s">
        <v>1858</v>
      </c>
      <c r="B24" t="s">
        <v>2890</v>
      </c>
      <c r="C24" t="s">
        <v>2891</v>
      </c>
      <c r="D24" t="s">
        <v>56</v>
      </c>
      <c r="E24" t="s">
        <v>57</v>
      </c>
      <c r="F24" t="s">
        <v>9</v>
      </c>
      <c r="G24" t="s">
        <v>18</v>
      </c>
      <c r="H24">
        <v>2.5590343E-4</v>
      </c>
      <c r="I24">
        <v>2.4506898999999999E-2</v>
      </c>
      <c r="J24" s="1">
        <v>2.8009847999999999E-5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x14ac:dyDescent="0.2">
      <c r="A25" t="s">
        <v>1859</v>
      </c>
      <c r="B25" t="s">
        <v>2890</v>
      </c>
      <c r="C25" t="s">
        <v>2891</v>
      </c>
      <c r="D25" t="s">
        <v>58</v>
      </c>
      <c r="E25" t="s">
        <v>59</v>
      </c>
      <c r="F25" t="s">
        <v>60</v>
      </c>
      <c r="G25" t="s">
        <v>10</v>
      </c>
      <c r="H25">
        <v>0.99989039999999996</v>
      </c>
      <c r="I25">
        <v>0.99999994000000003</v>
      </c>
      <c r="J25">
        <v>0.82307759999999996</v>
      </c>
      <c r="K25">
        <f t="shared" si="1"/>
        <v>1</v>
      </c>
      <c r="L25">
        <f t="shared" si="2"/>
        <v>1</v>
      </c>
      <c r="M25">
        <f t="shared" si="3"/>
        <v>1</v>
      </c>
    </row>
    <row r="26" spans="1:13" x14ac:dyDescent="0.2">
      <c r="A26" t="s">
        <v>1860</v>
      </c>
      <c r="B26" t="s">
        <v>2890</v>
      </c>
      <c r="C26" t="s">
        <v>2891</v>
      </c>
      <c r="D26" t="s">
        <v>61</v>
      </c>
      <c r="E26" t="s">
        <v>62</v>
      </c>
      <c r="F26" t="s">
        <v>9</v>
      </c>
      <c r="G26" t="s">
        <v>14</v>
      </c>
      <c r="H26" s="1">
        <v>2.7483105000000002E-5</v>
      </c>
      <c r="I26">
        <v>1.3493256E-4</v>
      </c>
      <c r="J26" s="1">
        <v>5.6078985000000001E-8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x14ac:dyDescent="0.2">
      <c r="A27" t="s">
        <v>1861</v>
      </c>
      <c r="B27" t="s">
        <v>2890</v>
      </c>
      <c r="C27" t="s">
        <v>2891</v>
      </c>
      <c r="D27" t="s">
        <v>63</v>
      </c>
      <c r="E27" t="s">
        <v>64</v>
      </c>
      <c r="F27" t="s">
        <v>17</v>
      </c>
      <c r="G27" t="s">
        <v>65</v>
      </c>
      <c r="H27">
        <v>0.99999994000000003</v>
      </c>
      <c r="I27">
        <v>0.99999994000000003</v>
      </c>
      <c r="J27">
        <v>0.64460320000000004</v>
      </c>
      <c r="K27">
        <f t="shared" si="1"/>
        <v>1</v>
      </c>
      <c r="L27">
        <f t="shared" si="2"/>
        <v>1</v>
      </c>
      <c r="M27">
        <f t="shared" si="3"/>
        <v>1</v>
      </c>
    </row>
    <row r="28" spans="1:13" x14ac:dyDescent="0.2">
      <c r="A28" t="s">
        <v>1862</v>
      </c>
      <c r="B28" t="s">
        <v>2890</v>
      </c>
      <c r="C28" t="s">
        <v>2891</v>
      </c>
      <c r="D28" t="s">
        <v>66</v>
      </c>
      <c r="E28" t="s">
        <v>67</v>
      </c>
      <c r="F28" t="s">
        <v>13</v>
      </c>
      <c r="G28" t="s">
        <v>14</v>
      </c>
      <c r="H28">
        <v>0.99999910000000003</v>
      </c>
      <c r="I28">
        <v>0.99999994000000003</v>
      </c>
      <c r="J28">
        <v>0.95329034000000001</v>
      </c>
      <c r="K28">
        <f t="shared" si="1"/>
        <v>1</v>
      </c>
      <c r="L28">
        <f t="shared" si="2"/>
        <v>1</v>
      </c>
      <c r="M28">
        <f t="shared" si="3"/>
        <v>1</v>
      </c>
    </row>
    <row r="29" spans="1:13" x14ac:dyDescent="0.2">
      <c r="A29" t="s">
        <v>1863</v>
      </c>
      <c r="B29" t="s">
        <v>2890</v>
      </c>
      <c r="C29" t="s">
        <v>2891</v>
      </c>
      <c r="D29" t="s">
        <v>68</v>
      </c>
      <c r="E29" t="s">
        <v>69</v>
      </c>
      <c r="F29" t="s">
        <v>17</v>
      </c>
      <c r="G29" t="s">
        <v>14</v>
      </c>
      <c r="H29">
        <v>0.65652984000000003</v>
      </c>
      <c r="I29">
        <v>0.99999979999999999</v>
      </c>
      <c r="J29" s="1">
        <v>5.6438310000000004E-13</v>
      </c>
      <c r="K29">
        <f t="shared" si="1"/>
        <v>1</v>
      </c>
      <c r="L29">
        <f t="shared" si="2"/>
        <v>1</v>
      </c>
      <c r="M29">
        <f t="shared" si="3"/>
        <v>0</v>
      </c>
    </row>
    <row r="30" spans="1:13" x14ac:dyDescent="0.2">
      <c r="A30" t="s">
        <v>1864</v>
      </c>
      <c r="B30" t="s">
        <v>2890</v>
      </c>
      <c r="C30" t="s">
        <v>2891</v>
      </c>
      <c r="D30" t="s">
        <v>70</v>
      </c>
      <c r="E30" t="s">
        <v>71</v>
      </c>
      <c r="F30" t="s">
        <v>9</v>
      </c>
      <c r="G30" t="s">
        <v>10</v>
      </c>
      <c r="H30">
        <v>0.99602246000000005</v>
      </c>
      <c r="I30">
        <v>0.99999479999999996</v>
      </c>
      <c r="J30">
        <v>0.96950066000000001</v>
      </c>
      <c r="K30">
        <f t="shared" si="1"/>
        <v>1</v>
      </c>
      <c r="L30">
        <f t="shared" si="2"/>
        <v>1</v>
      </c>
      <c r="M30">
        <f t="shared" si="3"/>
        <v>1</v>
      </c>
    </row>
    <row r="31" spans="1:13" x14ac:dyDescent="0.2">
      <c r="A31" t="s">
        <v>1865</v>
      </c>
      <c r="B31" t="s">
        <v>2890</v>
      </c>
      <c r="C31" t="s">
        <v>2891</v>
      </c>
      <c r="D31" t="s">
        <v>72</v>
      </c>
      <c r="E31" t="s">
        <v>73</v>
      </c>
      <c r="F31" t="s">
        <v>17</v>
      </c>
      <c r="G31" t="s">
        <v>40</v>
      </c>
      <c r="H31">
        <v>0.93293106999999997</v>
      </c>
      <c r="I31">
        <v>0.99999994000000003</v>
      </c>
      <c r="J31">
        <v>0.91500440000000005</v>
      </c>
      <c r="K31">
        <f t="shared" si="1"/>
        <v>1</v>
      </c>
      <c r="L31">
        <f t="shared" si="2"/>
        <v>1</v>
      </c>
      <c r="M31">
        <f t="shared" si="3"/>
        <v>1</v>
      </c>
    </row>
    <row r="32" spans="1:13" x14ac:dyDescent="0.2">
      <c r="A32" t="s">
        <v>1866</v>
      </c>
      <c r="B32" t="s">
        <v>2890</v>
      </c>
      <c r="C32" t="s">
        <v>2891</v>
      </c>
      <c r="D32" t="s">
        <v>74</v>
      </c>
      <c r="E32" t="s">
        <v>75</v>
      </c>
      <c r="F32" t="s">
        <v>9</v>
      </c>
      <c r="G32" t="s">
        <v>14</v>
      </c>
      <c r="H32">
        <v>0.99998589999999998</v>
      </c>
      <c r="I32">
        <v>0.99999709999999997</v>
      </c>
      <c r="J32">
        <v>0.13458550999999999</v>
      </c>
      <c r="K32">
        <f t="shared" si="1"/>
        <v>1</v>
      </c>
      <c r="L32">
        <f t="shared" si="2"/>
        <v>1</v>
      </c>
      <c r="M32">
        <f t="shared" si="3"/>
        <v>0</v>
      </c>
    </row>
    <row r="33" spans="1:13" x14ac:dyDescent="0.2">
      <c r="A33" t="s">
        <v>1867</v>
      </c>
      <c r="B33" t="s">
        <v>2890</v>
      </c>
      <c r="C33" t="s">
        <v>2891</v>
      </c>
      <c r="D33" t="s">
        <v>76</v>
      </c>
      <c r="E33" t="s">
        <v>77</v>
      </c>
      <c r="F33" t="s">
        <v>13</v>
      </c>
      <c r="G33" t="s">
        <v>14</v>
      </c>
      <c r="H33">
        <v>0.99998480000000001</v>
      </c>
      <c r="I33">
        <v>0.99996715999999997</v>
      </c>
      <c r="J33">
        <v>0.99692270000000005</v>
      </c>
      <c r="K33">
        <f t="shared" si="1"/>
        <v>1</v>
      </c>
      <c r="L33">
        <f t="shared" si="2"/>
        <v>1</v>
      </c>
      <c r="M33">
        <f t="shared" si="3"/>
        <v>1</v>
      </c>
    </row>
    <row r="34" spans="1:13" x14ac:dyDescent="0.2">
      <c r="A34" t="s">
        <v>1868</v>
      </c>
      <c r="B34" t="s">
        <v>2890</v>
      </c>
      <c r="C34" t="s">
        <v>2891</v>
      </c>
      <c r="D34" t="s">
        <v>78</v>
      </c>
      <c r="E34" t="s">
        <v>79</v>
      </c>
      <c r="F34" t="s">
        <v>17</v>
      </c>
      <c r="G34" t="s">
        <v>14</v>
      </c>
      <c r="H34" s="1">
        <v>7.5308489999999998E-5</v>
      </c>
      <c r="I34">
        <v>0.99999994000000003</v>
      </c>
      <c r="J34">
        <v>2.9348732999999998E-3</v>
      </c>
      <c r="K34">
        <f t="shared" si="1"/>
        <v>0</v>
      </c>
      <c r="L34">
        <f t="shared" si="2"/>
        <v>1</v>
      </c>
      <c r="M34">
        <f t="shared" si="3"/>
        <v>0</v>
      </c>
    </row>
    <row r="35" spans="1:13" x14ac:dyDescent="0.2">
      <c r="A35" t="s">
        <v>1869</v>
      </c>
      <c r="B35" t="s">
        <v>2890</v>
      </c>
      <c r="C35" t="s">
        <v>2891</v>
      </c>
      <c r="D35" t="s">
        <v>80</v>
      </c>
      <c r="E35" t="s">
        <v>81</v>
      </c>
      <c r="F35" t="s">
        <v>9</v>
      </c>
      <c r="G35" t="s">
        <v>14</v>
      </c>
      <c r="H35">
        <v>0.45985377</v>
      </c>
      <c r="I35" s="1">
        <v>2.49009E-8</v>
      </c>
      <c r="J35" s="1">
        <v>4.67202E-6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x14ac:dyDescent="0.2">
      <c r="A36" t="s">
        <v>1870</v>
      </c>
      <c r="B36" t="s">
        <v>2890</v>
      </c>
      <c r="C36" t="s">
        <v>2891</v>
      </c>
      <c r="D36" t="s">
        <v>82</v>
      </c>
      <c r="E36" t="s">
        <v>83</v>
      </c>
      <c r="F36" t="s">
        <v>9</v>
      </c>
      <c r="G36" t="s">
        <v>14</v>
      </c>
      <c r="H36">
        <v>0.15454106000000001</v>
      </c>
      <c r="I36">
        <v>0.99999709999999997</v>
      </c>
      <c r="J36" s="1">
        <v>2.7771756E-8</v>
      </c>
      <c r="K36">
        <f t="shared" si="1"/>
        <v>0</v>
      </c>
      <c r="L36">
        <f t="shared" si="2"/>
        <v>1</v>
      </c>
      <c r="M36">
        <f t="shared" si="3"/>
        <v>0</v>
      </c>
    </row>
    <row r="37" spans="1:13" x14ac:dyDescent="0.2">
      <c r="A37" t="s">
        <v>1871</v>
      </c>
      <c r="B37" t="s">
        <v>2890</v>
      </c>
      <c r="C37" t="s">
        <v>2891</v>
      </c>
      <c r="D37" t="s">
        <v>84</v>
      </c>
      <c r="E37" t="s">
        <v>85</v>
      </c>
      <c r="F37" t="s">
        <v>13</v>
      </c>
      <c r="G37" t="s">
        <v>45</v>
      </c>
      <c r="H37">
        <v>0.31404494999999999</v>
      </c>
      <c r="I37" s="1">
        <v>1.7734801E-9</v>
      </c>
      <c r="J37" s="1">
        <v>1.5309496E-7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x14ac:dyDescent="0.2">
      <c r="A38" t="s">
        <v>1872</v>
      </c>
      <c r="B38" t="s">
        <v>2890</v>
      </c>
      <c r="C38" t="s">
        <v>2891</v>
      </c>
      <c r="D38" t="s">
        <v>86</v>
      </c>
      <c r="E38" t="s">
        <v>87</v>
      </c>
      <c r="F38" t="s">
        <v>9</v>
      </c>
      <c r="G38" t="s">
        <v>10</v>
      </c>
      <c r="H38">
        <v>0.99999979999999999</v>
      </c>
      <c r="I38">
        <v>0.99999994000000003</v>
      </c>
      <c r="J38">
        <v>0.24268758000000001</v>
      </c>
      <c r="K38">
        <f t="shared" si="1"/>
        <v>1</v>
      </c>
      <c r="L38">
        <f t="shared" si="2"/>
        <v>1</v>
      </c>
      <c r="M38">
        <f t="shared" si="3"/>
        <v>0</v>
      </c>
    </row>
    <row r="39" spans="1:13" x14ac:dyDescent="0.2">
      <c r="A39" t="s">
        <v>1873</v>
      </c>
      <c r="B39" t="s">
        <v>2890</v>
      </c>
      <c r="C39" t="s">
        <v>2891</v>
      </c>
      <c r="D39" t="s">
        <v>88</v>
      </c>
      <c r="E39" t="s">
        <v>89</v>
      </c>
      <c r="F39" t="s">
        <v>13</v>
      </c>
      <c r="G39" t="s">
        <v>14</v>
      </c>
      <c r="H39">
        <v>0.99999994000000003</v>
      </c>
      <c r="I39">
        <v>0.99377835000000003</v>
      </c>
      <c r="J39">
        <v>8.4862710000000001E-3</v>
      </c>
      <c r="K39">
        <f t="shared" si="1"/>
        <v>1</v>
      </c>
      <c r="L39">
        <f t="shared" si="2"/>
        <v>1</v>
      </c>
      <c r="M39">
        <f t="shared" si="3"/>
        <v>0</v>
      </c>
    </row>
    <row r="40" spans="1:13" x14ac:dyDescent="0.2">
      <c r="A40" t="s">
        <v>1874</v>
      </c>
      <c r="B40" t="s">
        <v>2890</v>
      </c>
      <c r="C40" t="s">
        <v>2891</v>
      </c>
      <c r="D40" t="s">
        <v>90</v>
      </c>
      <c r="E40" t="s">
        <v>91</v>
      </c>
      <c r="F40" t="s">
        <v>17</v>
      </c>
      <c r="G40" t="s">
        <v>14</v>
      </c>
      <c r="H40">
        <v>0.98623539999999998</v>
      </c>
      <c r="I40">
        <v>1.2565847E-2</v>
      </c>
      <c r="J40">
        <v>0.99949235000000003</v>
      </c>
      <c r="K40">
        <f t="shared" si="1"/>
        <v>1</v>
      </c>
      <c r="L40">
        <f t="shared" si="2"/>
        <v>0</v>
      </c>
      <c r="M40">
        <f t="shared" si="3"/>
        <v>1</v>
      </c>
    </row>
    <row r="41" spans="1:13" x14ac:dyDescent="0.2">
      <c r="A41" t="s">
        <v>1875</v>
      </c>
      <c r="B41" t="s">
        <v>2890</v>
      </c>
      <c r="C41" t="s">
        <v>2891</v>
      </c>
      <c r="D41" t="s">
        <v>92</v>
      </c>
      <c r="E41" t="s">
        <v>38</v>
      </c>
      <c r="F41" t="s">
        <v>13</v>
      </c>
      <c r="G41" t="s">
        <v>14</v>
      </c>
      <c r="H41">
        <v>0.99999780000000005</v>
      </c>
      <c r="I41">
        <v>0.99999886999999998</v>
      </c>
      <c r="J41">
        <v>0.99494939999999998</v>
      </c>
      <c r="K41">
        <f t="shared" si="1"/>
        <v>1</v>
      </c>
      <c r="L41">
        <f t="shared" si="2"/>
        <v>1</v>
      </c>
      <c r="M41">
        <f t="shared" si="3"/>
        <v>1</v>
      </c>
    </row>
    <row r="42" spans="1:13" x14ac:dyDescent="0.2">
      <c r="A42" t="s">
        <v>1876</v>
      </c>
      <c r="B42" t="s">
        <v>2890</v>
      </c>
      <c r="C42" t="s">
        <v>2891</v>
      </c>
      <c r="D42" t="s">
        <v>93</v>
      </c>
      <c r="E42" t="s">
        <v>94</v>
      </c>
      <c r="F42" t="s">
        <v>13</v>
      </c>
      <c r="G42" t="s">
        <v>14</v>
      </c>
      <c r="H42">
        <v>0.99631890000000001</v>
      </c>
      <c r="I42">
        <v>0.99999267000000003</v>
      </c>
      <c r="J42">
        <v>0.99994974999999997</v>
      </c>
      <c r="K42">
        <f t="shared" si="1"/>
        <v>1</v>
      </c>
      <c r="L42">
        <f t="shared" si="2"/>
        <v>1</v>
      </c>
      <c r="M42">
        <f t="shared" si="3"/>
        <v>1</v>
      </c>
    </row>
    <row r="43" spans="1:13" x14ac:dyDescent="0.2">
      <c r="A43" t="s">
        <v>1877</v>
      </c>
      <c r="B43" t="s">
        <v>2890</v>
      </c>
      <c r="C43" t="s">
        <v>2891</v>
      </c>
      <c r="D43" t="s">
        <v>95</v>
      </c>
      <c r="E43" t="s">
        <v>96</v>
      </c>
      <c r="F43" t="s">
        <v>17</v>
      </c>
      <c r="G43" t="s">
        <v>14</v>
      </c>
      <c r="H43">
        <v>0.99999830000000001</v>
      </c>
      <c r="I43">
        <v>0.9999979</v>
      </c>
      <c r="J43">
        <v>0.99995489999999998</v>
      </c>
      <c r="K43">
        <f t="shared" si="1"/>
        <v>1</v>
      </c>
      <c r="L43">
        <f t="shared" si="2"/>
        <v>1</v>
      </c>
      <c r="M43">
        <f t="shared" si="3"/>
        <v>1</v>
      </c>
    </row>
    <row r="44" spans="1:13" x14ac:dyDescent="0.2">
      <c r="A44" t="s">
        <v>1878</v>
      </c>
      <c r="B44" t="s">
        <v>2890</v>
      </c>
      <c r="C44" t="s">
        <v>2891</v>
      </c>
      <c r="D44" t="s">
        <v>97</v>
      </c>
      <c r="E44" t="s">
        <v>98</v>
      </c>
      <c r="F44" t="s">
        <v>17</v>
      </c>
      <c r="G44" t="s">
        <v>14</v>
      </c>
      <c r="H44">
        <v>0.99999744000000002</v>
      </c>
      <c r="I44">
        <v>0.99945580000000001</v>
      </c>
      <c r="J44">
        <v>0.36016642999999998</v>
      </c>
      <c r="K44">
        <f t="shared" si="1"/>
        <v>1</v>
      </c>
      <c r="L44">
        <f t="shared" si="2"/>
        <v>1</v>
      </c>
      <c r="M44">
        <f t="shared" si="3"/>
        <v>0</v>
      </c>
    </row>
    <row r="45" spans="1:13" x14ac:dyDescent="0.2">
      <c r="A45" t="s">
        <v>1879</v>
      </c>
      <c r="B45" t="s">
        <v>2890</v>
      </c>
      <c r="C45" t="s">
        <v>2891</v>
      </c>
      <c r="D45" t="s">
        <v>99</v>
      </c>
      <c r="E45" t="s">
        <v>100</v>
      </c>
      <c r="F45" t="s">
        <v>17</v>
      </c>
      <c r="G45" t="s">
        <v>14</v>
      </c>
      <c r="H45">
        <v>0.99999979999999999</v>
      </c>
      <c r="I45">
        <v>0.99999979999999999</v>
      </c>
      <c r="J45">
        <v>0.99567329999999998</v>
      </c>
      <c r="K45">
        <f t="shared" si="1"/>
        <v>1</v>
      </c>
      <c r="L45">
        <f t="shared" si="2"/>
        <v>1</v>
      </c>
      <c r="M45">
        <f t="shared" si="3"/>
        <v>1</v>
      </c>
    </row>
    <row r="46" spans="1:13" x14ac:dyDescent="0.2">
      <c r="A46" t="s">
        <v>1880</v>
      </c>
      <c r="B46" t="s">
        <v>2890</v>
      </c>
      <c r="C46" t="s">
        <v>2891</v>
      </c>
      <c r="D46" t="s">
        <v>101</v>
      </c>
      <c r="E46" t="s">
        <v>102</v>
      </c>
      <c r="F46" t="s">
        <v>9</v>
      </c>
      <c r="G46" t="s">
        <v>14</v>
      </c>
      <c r="H46">
        <v>9.1669210000000001E-2</v>
      </c>
      <c r="I46">
        <v>0.99999994000000003</v>
      </c>
      <c r="J46" s="1">
        <v>1.7950866000000001E-6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x14ac:dyDescent="0.2">
      <c r="A47" t="s">
        <v>1881</v>
      </c>
      <c r="B47" t="s">
        <v>2890</v>
      </c>
      <c r="C47" t="s">
        <v>2891</v>
      </c>
      <c r="D47" t="s">
        <v>103</v>
      </c>
      <c r="E47" t="s">
        <v>104</v>
      </c>
      <c r="F47" t="s">
        <v>13</v>
      </c>
      <c r="G47" t="s">
        <v>14</v>
      </c>
      <c r="H47">
        <v>0.99902767000000003</v>
      </c>
      <c r="I47">
        <v>0.99977684</v>
      </c>
      <c r="J47">
        <v>0.88001644999999995</v>
      </c>
      <c r="K47">
        <f t="shared" si="1"/>
        <v>1</v>
      </c>
      <c r="L47">
        <f t="shared" si="2"/>
        <v>1</v>
      </c>
      <c r="M47">
        <f t="shared" si="3"/>
        <v>1</v>
      </c>
    </row>
    <row r="48" spans="1:13" x14ac:dyDescent="0.2">
      <c r="A48" t="s">
        <v>1882</v>
      </c>
      <c r="B48" t="s">
        <v>2890</v>
      </c>
      <c r="C48" t="s">
        <v>2891</v>
      </c>
      <c r="D48" t="s">
        <v>105</v>
      </c>
      <c r="E48" t="s">
        <v>106</v>
      </c>
      <c r="F48" t="s">
        <v>9</v>
      </c>
      <c r="G48" t="s">
        <v>14</v>
      </c>
      <c r="H48">
        <v>0.99927162999999997</v>
      </c>
      <c r="I48">
        <v>0.99999994000000003</v>
      </c>
      <c r="J48">
        <v>0.98229854999999999</v>
      </c>
      <c r="K48">
        <f t="shared" si="1"/>
        <v>1</v>
      </c>
      <c r="L48">
        <f t="shared" si="2"/>
        <v>1</v>
      </c>
      <c r="M48">
        <f t="shared" si="3"/>
        <v>1</v>
      </c>
    </row>
    <row r="49" spans="1:13" x14ac:dyDescent="0.2">
      <c r="A49" t="s">
        <v>1883</v>
      </c>
      <c r="B49" t="s">
        <v>2890</v>
      </c>
      <c r="C49" t="s">
        <v>2891</v>
      </c>
      <c r="D49" t="s">
        <v>107</v>
      </c>
      <c r="E49" t="s">
        <v>108</v>
      </c>
      <c r="F49" t="s">
        <v>13</v>
      </c>
      <c r="G49" t="s">
        <v>14</v>
      </c>
      <c r="H49">
        <v>0.99998739999999997</v>
      </c>
      <c r="I49">
        <v>0.99999994000000003</v>
      </c>
      <c r="J49">
        <v>0.99521314999999999</v>
      </c>
      <c r="K49">
        <f t="shared" si="1"/>
        <v>1</v>
      </c>
      <c r="L49">
        <f t="shared" si="2"/>
        <v>1</v>
      </c>
      <c r="M49">
        <f t="shared" si="3"/>
        <v>1</v>
      </c>
    </row>
    <row r="50" spans="1:13" x14ac:dyDescent="0.2">
      <c r="A50" t="s">
        <v>1884</v>
      </c>
      <c r="B50" t="s">
        <v>2890</v>
      </c>
      <c r="C50" t="s">
        <v>2891</v>
      </c>
      <c r="D50" t="s">
        <v>109</v>
      </c>
      <c r="E50" t="s">
        <v>110</v>
      </c>
      <c r="F50" t="s">
        <v>13</v>
      </c>
      <c r="G50" t="s">
        <v>14</v>
      </c>
      <c r="H50">
        <v>0.99999979999999999</v>
      </c>
      <c r="I50">
        <v>0.99999994000000003</v>
      </c>
      <c r="J50">
        <v>0.53870960000000001</v>
      </c>
      <c r="K50">
        <f t="shared" si="1"/>
        <v>1</v>
      </c>
      <c r="L50">
        <f t="shared" si="2"/>
        <v>1</v>
      </c>
      <c r="M50">
        <f t="shared" si="3"/>
        <v>1</v>
      </c>
    </row>
    <row r="51" spans="1:13" x14ac:dyDescent="0.2">
      <c r="A51" t="s">
        <v>1885</v>
      </c>
      <c r="B51" t="s">
        <v>2890</v>
      </c>
      <c r="C51" t="s">
        <v>2891</v>
      </c>
      <c r="D51" t="s">
        <v>111</v>
      </c>
      <c r="E51" t="s">
        <v>112</v>
      </c>
      <c r="F51" t="s">
        <v>17</v>
      </c>
      <c r="G51" t="s">
        <v>14</v>
      </c>
      <c r="H51">
        <v>0.99998679999999995</v>
      </c>
      <c r="I51">
        <v>0.99999979999999999</v>
      </c>
      <c r="J51">
        <v>0.99211203999999997</v>
      </c>
      <c r="K51">
        <f t="shared" si="1"/>
        <v>1</v>
      </c>
      <c r="L51">
        <f t="shared" si="2"/>
        <v>1</v>
      </c>
      <c r="M51">
        <f t="shared" si="3"/>
        <v>1</v>
      </c>
    </row>
    <row r="52" spans="1:13" x14ac:dyDescent="0.2">
      <c r="A52" t="s">
        <v>1886</v>
      </c>
      <c r="B52" t="s">
        <v>2892</v>
      </c>
      <c r="C52" t="s">
        <v>2891</v>
      </c>
      <c r="D52" t="s">
        <v>113</v>
      </c>
      <c r="E52" t="s">
        <v>114</v>
      </c>
      <c r="F52" t="s">
        <v>9</v>
      </c>
      <c r="G52" t="s">
        <v>65</v>
      </c>
      <c r="H52">
        <v>0.83638429999999997</v>
      </c>
      <c r="I52" s="1">
        <v>6.9308252999999997E-6</v>
      </c>
      <c r="J52" s="1">
        <v>1.1978706E-8</v>
      </c>
      <c r="K52">
        <f t="shared" si="1"/>
        <v>1</v>
      </c>
      <c r="L52">
        <f t="shared" si="2"/>
        <v>0</v>
      </c>
      <c r="M52">
        <f t="shared" si="3"/>
        <v>0</v>
      </c>
    </row>
    <row r="53" spans="1:13" x14ac:dyDescent="0.2">
      <c r="A53" t="s">
        <v>1887</v>
      </c>
      <c r="B53" t="s">
        <v>2892</v>
      </c>
      <c r="C53" t="s">
        <v>2891</v>
      </c>
      <c r="D53" t="s">
        <v>115</v>
      </c>
      <c r="E53" t="s">
        <v>116</v>
      </c>
      <c r="F53" t="s">
        <v>13</v>
      </c>
      <c r="G53" t="s">
        <v>40</v>
      </c>
      <c r="H53">
        <v>0.99999720000000003</v>
      </c>
      <c r="I53">
        <v>0.99999994000000003</v>
      </c>
      <c r="J53">
        <v>0.96736160000000004</v>
      </c>
      <c r="K53">
        <f t="shared" si="1"/>
        <v>1</v>
      </c>
      <c r="L53">
        <f t="shared" si="2"/>
        <v>1</v>
      </c>
      <c r="M53">
        <f t="shared" si="3"/>
        <v>1</v>
      </c>
    </row>
    <row r="54" spans="1:13" x14ac:dyDescent="0.2">
      <c r="A54" t="s">
        <v>1888</v>
      </c>
      <c r="B54" t="s">
        <v>2892</v>
      </c>
      <c r="C54" t="s">
        <v>2891</v>
      </c>
      <c r="D54" t="s">
        <v>117</v>
      </c>
      <c r="E54" t="s">
        <v>118</v>
      </c>
      <c r="F54" t="s">
        <v>9</v>
      </c>
      <c r="G54" t="s">
        <v>14</v>
      </c>
      <c r="H54">
        <v>0.99999994000000003</v>
      </c>
      <c r="I54">
        <v>0.99999994000000003</v>
      </c>
      <c r="J54">
        <v>5.4349895E-3</v>
      </c>
      <c r="K54">
        <f t="shared" si="1"/>
        <v>1</v>
      </c>
      <c r="L54">
        <f t="shared" si="2"/>
        <v>1</v>
      </c>
      <c r="M54">
        <f t="shared" si="3"/>
        <v>0</v>
      </c>
    </row>
    <row r="55" spans="1:13" x14ac:dyDescent="0.2">
      <c r="A55" t="s">
        <v>1889</v>
      </c>
      <c r="B55" t="s">
        <v>2892</v>
      </c>
      <c r="C55" t="s">
        <v>2891</v>
      </c>
      <c r="D55" t="s">
        <v>119</v>
      </c>
      <c r="E55" t="s">
        <v>120</v>
      </c>
      <c r="F55" t="s">
        <v>9</v>
      </c>
      <c r="G55" t="s">
        <v>14</v>
      </c>
      <c r="H55">
        <v>0.99998370000000003</v>
      </c>
      <c r="I55">
        <v>6.7793116E-2</v>
      </c>
      <c r="J55" s="1">
        <v>3.7572925000000002E-10</v>
      </c>
      <c r="K55">
        <f t="shared" si="1"/>
        <v>1</v>
      </c>
      <c r="L55">
        <f t="shared" si="2"/>
        <v>0</v>
      </c>
      <c r="M55">
        <f t="shared" si="3"/>
        <v>0</v>
      </c>
    </row>
    <row r="56" spans="1:13" x14ac:dyDescent="0.2">
      <c r="A56" t="s">
        <v>1890</v>
      </c>
      <c r="B56" t="s">
        <v>2892</v>
      </c>
      <c r="C56" t="s">
        <v>2891</v>
      </c>
      <c r="D56" t="s">
        <v>121</v>
      </c>
      <c r="E56" t="s">
        <v>122</v>
      </c>
      <c r="F56" t="s">
        <v>17</v>
      </c>
      <c r="G56" t="s">
        <v>14</v>
      </c>
      <c r="H56">
        <v>0.99999994000000003</v>
      </c>
      <c r="I56">
        <v>0.24242789000000001</v>
      </c>
      <c r="J56">
        <v>0.14702933000000001</v>
      </c>
      <c r="K56">
        <f t="shared" si="1"/>
        <v>1</v>
      </c>
      <c r="L56">
        <f t="shared" si="2"/>
        <v>0</v>
      </c>
      <c r="M56">
        <f t="shared" si="3"/>
        <v>0</v>
      </c>
    </row>
    <row r="57" spans="1:13" x14ac:dyDescent="0.2">
      <c r="A57" t="s">
        <v>1891</v>
      </c>
      <c r="B57" t="s">
        <v>2892</v>
      </c>
      <c r="C57" t="s">
        <v>2891</v>
      </c>
      <c r="D57" t="s">
        <v>123</v>
      </c>
      <c r="E57" t="s">
        <v>124</v>
      </c>
      <c r="F57" t="s">
        <v>60</v>
      </c>
      <c r="G57" t="s">
        <v>40</v>
      </c>
      <c r="H57">
        <v>0.98280363999999998</v>
      </c>
      <c r="I57">
        <v>0.99999994000000003</v>
      </c>
      <c r="J57">
        <v>0.99999994000000003</v>
      </c>
      <c r="K57">
        <f t="shared" si="1"/>
        <v>1</v>
      </c>
      <c r="L57">
        <f t="shared" si="2"/>
        <v>1</v>
      </c>
      <c r="M57">
        <f t="shared" si="3"/>
        <v>1</v>
      </c>
    </row>
    <row r="58" spans="1:13" x14ac:dyDescent="0.2">
      <c r="A58" t="s">
        <v>1892</v>
      </c>
      <c r="B58" t="s">
        <v>2892</v>
      </c>
      <c r="C58" t="s">
        <v>2891</v>
      </c>
      <c r="D58" t="s">
        <v>125</v>
      </c>
      <c r="E58" t="s">
        <v>126</v>
      </c>
      <c r="F58" t="s">
        <v>9</v>
      </c>
      <c r="G58" t="s">
        <v>36</v>
      </c>
      <c r="H58">
        <v>3.7354037E-2</v>
      </c>
      <c r="I58" s="1">
        <v>1.5473784E-6</v>
      </c>
      <c r="J58" s="1">
        <v>3.8222825000000003E-6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x14ac:dyDescent="0.2">
      <c r="A59" t="s">
        <v>1893</v>
      </c>
      <c r="B59" t="s">
        <v>2892</v>
      </c>
      <c r="C59" t="s">
        <v>2891</v>
      </c>
      <c r="D59" t="s">
        <v>127</v>
      </c>
      <c r="E59" t="s">
        <v>128</v>
      </c>
      <c r="F59" t="s">
        <v>13</v>
      </c>
      <c r="G59" t="s">
        <v>14</v>
      </c>
      <c r="H59">
        <v>0.99999970000000005</v>
      </c>
      <c r="I59">
        <v>0.9999903</v>
      </c>
      <c r="J59">
        <v>0.99798339999999996</v>
      </c>
      <c r="K59">
        <f t="shared" si="1"/>
        <v>1</v>
      </c>
      <c r="L59">
        <f t="shared" si="2"/>
        <v>1</v>
      </c>
      <c r="M59">
        <f t="shared" si="3"/>
        <v>1</v>
      </c>
    </row>
    <row r="60" spans="1:13" x14ac:dyDescent="0.2">
      <c r="A60" t="s">
        <v>1894</v>
      </c>
      <c r="B60" t="s">
        <v>2892</v>
      </c>
      <c r="C60" t="s">
        <v>2891</v>
      </c>
      <c r="D60" t="s">
        <v>129</v>
      </c>
      <c r="E60" t="s">
        <v>130</v>
      </c>
      <c r="F60" t="s">
        <v>13</v>
      </c>
      <c r="G60" t="s">
        <v>14</v>
      </c>
      <c r="H60">
        <v>0.99999769999999999</v>
      </c>
      <c r="I60">
        <v>0.99999830000000001</v>
      </c>
      <c r="J60">
        <v>0.99173370000000005</v>
      </c>
      <c r="K60">
        <f t="shared" si="1"/>
        <v>1</v>
      </c>
      <c r="L60">
        <f t="shared" si="2"/>
        <v>1</v>
      </c>
      <c r="M60">
        <f t="shared" si="3"/>
        <v>1</v>
      </c>
    </row>
    <row r="61" spans="1:13" x14ac:dyDescent="0.2">
      <c r="A61" t="s">
        <v>1895</v>
      </c>
      <c r="B61" t="s">
        <v>2892</v>
      </c>
      <c r="C61" t="s">
        <v>2891</v>
      </c>
      <c r="D61" t="s">
        <v>131</v>
      </c>
      <c r="E61" t="s">
        <v>128</v>
      </c>
      <c r="F61" t="s">
        <v>13</v>
      </c>
      <c r="G61" t="s">
        <v>14</v>
      </c>
      <c r="H61">
        <v>0.99986719999999996</v>
      </c>
      <c r="I61">
        <v>0.9999903</v>
      </c>
      <c r="J61">
        <v>0.81526330000000002</v>
      </c>
      <c r="K61">
        <f t="shared" si="1"/>
        <v>1</v>
      </c>
      <c r="L61">
        <f t="shared" si="2"/>
        <v>1</v>
      </c>
      <c r="M61">
        <f t="shared" si="3"/>
        <v>1</v>
      </c>
    </row>
    <row r="62" spans="1:13" x14ac:dyDescent="0.2">
      <c r="A62" t="s">
        <v>1896</v>
      </c>
      <c r="B62" t="s">
        <v>2892</v>
      </c>
      <c r="C62" t="s">
        <v>2891</v>
      </c>
      <c r="D62" t="s">
        <v>132</v>
      </c>
      <c r="E62" t="s">
        <v>128</v>
      </c>
      <c r="F62" t="s">
        <v>13</v>
      </c>
      <c r="G62" t="s">
        <v>14</v>
      </c>
      <c r="H62">
        <v>0.99998564000000001</v>
      </c>
      <c r="I62">
        <v>0.9999903</v>
      </c>
      <c r="J62">
        <v>0.95271855999999999</v>
      </c>
      <c r="K62">
        <f t="shared" si="1"/>
        <v>1</v>
      </c>
      <c r="L62">
        <f t="shared" si="2"/>
        <v>1</v>
      </c>
      <c r="M62">
        <f t="shared" si="3"/>
        <v>1</v>
      </c>
    </row>
    <row r="63" spans="1:13" x14ac:dyDescent="0.2">
      <c r="A63" t="s">
        <v>1897</v>
      </c>
      <c r="B63" t="s">
        <v>2892</v>
      </c>
      <c r="C63" t="s">
        <v>2891</v>
      </c>
      <c r="D63" t="s">
        <v>133</v>
      </c>
      <c r="E63" t="s">
        <v>134</v>
      </c>
      <c r="F63" t="s">
        <v>17</v>
      </c>
      <c r="G63" t="s">
        <v>40</v>
      </c>
      <c r="H63" s="1">
        <v>1.1842464999999999E-6</v>
      </c>
      <c r="I63">
        <v>0.9999979</v>
      </c>
      <c r="J63">
        <v>1.9040874E-3</v>
      </c>
      <c r="K63">
        <f t="shared" si="1"/>
        <v>0</v>
      </c>
      <c r="L63">
        <f t="shared" si="2"/>
        <v>1</v>
      </c>
      <c r="M63">
        <f t="shared" si="3"/>
        <v>0</v>
      </c>
    </row>
    <row r="64" spans="1:13" x14ac:dyDescent="0.2">
      <c r="A64" t="s">
        <v>1898</v>
      </c>
      <c r="B64" t="s">
        <v>2892</v>
      </c>
      <c r="C64" t="s">
        <v>2891</v>
      </c>
      <c r="D64" t="s">
        <v>135</v>
      </c>
      <c r="E64" t="s">
        <v>136</v>
      </c>
      <c r="F64" t="s">
        <v>13</v>
      </c>
      <c r="G64" t="s">
        <v>40</v>
      </c>
      <c r="H64">
        <v>0.99999994000000003</v>
      </c>
      <c r="I64">
        <v>0.99999994000000003</v>
      </c>
      <c r="J64">
        <v>0.99943700000000002</v>
      </c>
      <c r="K64">
        <f t="shared" si="1"/>
        <v>1</v>
      </c>
      <c r="L64">
        <f t="shared" si="2"/>
        <v>1</v>
      </c>
      <c r="M64">
        <f t="shared" si="3"/>
        <v>1</v>
      </c>
    </row>
    <row r="65" spans="1:13" x14ac:dyDescent="0.2">
      <c r="A65" t="s">
        <v>1899</v>
      </c>
      <c r="B65" t="s">
        <v>2892</v>
      </c>
      <c r="C65" t="s">
        <v>2891</v>
      </c>
      <c r="D65" t="s">
        <v>137</v>
      </c>
      <c r="E65" t="s">
        <v>138</v>
      </c>
      <c r="F65" t="s">
        <v>13</v>
      </c>
      <c r="G65" t="s">
        <v>14</v>
      </c>
      <c r="H65">
        <v>0.99999994000000003</v>
      </c>
      <c r="I65">
        <v>0.9999091</v>
      </c>
      <c r="J65">
        <v>0.99991803999999995</v>
      </c>
      <c r="K65">
        <f t="shared" si="1"/>
        <v>1</v>
      </c>
      <c r="L65">
        <f t="shared" si="2"/>
        <v>1</v>
      </c>
      <c r="M65">
        <f t="shared" si="3"/>
        <v>1</v>
      </c>
    </row>
    <row r="66" spans="1:13" x14ac:dyDescent="0.2">
      <c r="A66" t="s">
        <v>1900</v>
      </c>
      <c r="B66" t="s">
        <v>2892</v>
      </c>
      <c r="C66" t="s">
        <v>2891</v>
      </c>
      <c r="D66" t="s">
        <v>139</v>
      </c>
      <c r="E66" t="s">
        <v>140</v>
      </c>
      <c r="F66" t="s">
        <v>17</v>
      </c>
      <c r="G66" t="s">
        <v>65</v>
      </c>
      <c r="H66">
        <v>0.83297920000000003</v>
      </c>
      <c r="I66" s="1">
        <v>7.2304600000000006E-5</v>
      </c>
      <c r="J66" s="1">
        <v>5.4338350000000004E-9</v>
      </c>
      <c r="K66">
        <f t="shared" si="1"/>
        <v>1</v>
      </c>
      <c r="L66">
        <f t="shared" si="2"/>
        <v>0</v>
      </c>
      <c r="M66">
        <f t="shared" si="3"/>
        <v>0</v>
      </c>
    </row>
    <row r="67" spans="1:13" x14ac:dyDescent="0.2">
      <c r="A67" t="s">
        <v>1901</v>
      </c>
      <c r="B67" t="s">
        <v>2892</v>
      </c>
      <c r="C67" t="s">
        <v>2891</v>
      </c>
      <c r="D67" t="s">
        <v>141</v>
      </c>
      <c r="E67" t="s">
        <v>142</v>
      </c>
      <c r="F67" t="s">
        <v>9</v>
      </c>
      <c r="G67" t="s">
        <v>143</v>
      </c>
      <c r="H67" s="1">
        <v>7.1641316E-6</v>
      </c>
      <c r="I67" s="1">
        <v>1.5476132000000001E-8</v>
      </c>
      <c r="J67">
        <v>0.55569725999999997</v>
      </c>
      <c r="K67">
        <f t="shared" ref="K67:K130" si="4">IF(H67&gt;=0.5,1,0)</f>
        <v>0</v>
      </c>
      <c r="L67">
        <f t="shared" ref="L67:L130" si="5">IF(I67&gt;=0.5,1,0)</f>
        <v>0</v>
      </c>
      <c r="M67">
        <f t="shared" ref="M67:M130" si="6">IF(J67&gt;=0.5,1,0)</f>
        <v>1</v>
      </c>
    </row>
    <row r="68" spans="1:13" x14ac:dyDescent="0.2">
      <c r="A68" t="s">
        <v>1902</v>
      </c>
      <c r="B68" t="s">
        <v>2892</v>
      </c>
      <c r="C68" t="s">
        <v>2891</v>
      </c>
      <c r="D68" t="s">
        <v>144</v>
      </c>
      <c r="E68" t="s">
        <v>145</v>
      </c>
      <c r="F68" t="s">
        <v>13</v>
      </c>
      <c r="G68" t="s">
        <v>14</v>
      </c>
      <c r="H68">
        <v>0.99999994000000003</v>
      </c>
      <c r="I68">
        <v>0.99990920000000005</v>
      </c>
      <c r="J68">
        <v>0.36984400000000001</v>
      </c>
      <c r="K68">
        <f t="shared" si="4"/>
        <v>1</v>
      </c>
      <c r="L68">
        <f t="shared" si="5"/>
        <v>1</v>
      </c>
      <c r="M68">
        <f t="shared" si="6"/>
        <v>0</v>
      </c>
    </row>
    <row r="69" spans="1:13" x14ac:dyDescent="0.2">
      <c r="A69" t="s">
        <v>1903</v>
      </c>
      <c r="B69" t="s">
        <v>2892</v>
      </c>
      <c r="C69" t="s">
        <v>2891</v>
      </c>
      <c r="D69" t="s">
        <v>146</v>
      </c>
      <c r="E69" t="s">
        <v>147</v>
      </c>
      <c r="F69" t="s">
        <v>13</v>
      </c>
      <c r="G69" t="s">
        <v>14</v>
      </c>
      <c r="H69">
        <v>0.99949759999999999</v>
      </c>
      <c r="I69">
        <v>0.99933510000000003</v>
      </c>
      <c r="J69">
        <v>0.33210590000000001</v>
      </c>
      <c r="K69">
        <f t="shared" si="4"/>
        <v>1</v>
      </c>
      <c r="L69">
        <f t="shared" si="5"/>
        <v>1</v>
      </c>
      <c r="M69">
        <f t="shared" si="6"/>
        <v>0</v>
      </c>
    </row>
    <row r="70" spans="1:13" x14ac:dyDescent="0.2">
      <c r="A70" t="s">
        <v>1904</v>
      </c>
      <c r="B70" t="s">
        <v>2892</v>
      </c>
      <c r="C70" t="s">
        <v>2891</v>
      </c>
      <c r="D70" t="s">
        <v>148</v>
      </c>
      <c r="E70" t="s">
        <v>149</v>
      </c>
      <c r="F70" t="s">
        <v>9</v>
      </c>
      <c r="G70" t="s">
        <v>14</v>
      </c>
      <c r="H70">
        <v>2.7129116000000002E-2</v>
      </c>
      <c r="I70">
        <v>0.23836658999999999</v>
      </c>
      <c r="J70">
        <v>1.6745411999999999E-3</v>
      </c>
      <c r="K70">
        <f t="shared" si="4"/>
        <v>0</v>
      </c>
      <c r="L70">
        <f t="shared" si="5"/>
        <v>0</v>
      </c>
      <c r="M70">
        <f t="shared" si="6"/>
        <v>0</v>
      </c>
    </row>
    <row r="71" spans="1:13" x14ac:dyDescent="0.2">
      <c r="A71" t="s">
        <v>1905</v>
      </c>
      <c r="B71" t="s">
        <v>2892</v>
      </c>
      <c r="C71" t="s">
        <v>2891</v>
      </c>
      <c r="D71" t="s">
        <v>150</v>
      </c>
      <c r="E71" t="s">
        <v>128</v>
      </c>
      <c r="F71" t="s">
        <v>13</v>
      </c>
      <c r="G71" t="s">
        <v>14</v>
      </c>
      <c r="H71">
        <v>0.99995440000000002</v>
      </c>
      <c r="I71">
        <v>0.9999903</v>
      </c>
      <c r="J71">
        <v>0.99948055000000002</v>
      </c>
      <c r="K71">
        <f t="shared" si="4"/>
        <v>1</v>
      </c>
      <c r="L71">
        <f t="shared" si="5"/>
        <v>1</v>
      </c>
      <c r="M71">
        <f t="shared" si="6"/>
        <v>1</v>
      </c>
    </row>
    <row r="72" spans="1:13" x14ac:dyDescent="0.2">
      <c r="A72" t="s">
        <v>1906</v>
      </c>
      <c r="B72" t="s">
        <v>2892</v>
      </c>
      <c r="C72" t="s">
        <v>2891</v>
      </c>
      <c r="D72" t="s">
        <v>151</v>
      </c>
      <c r="E72" t="s">
        <v>152</v>
      </c>
      <c r="F72" t="s">
        <v>17</v>
      </c>
      <c r="G72" t="s">
        <v>153</v>
      </c>
      <c r="H72">
        <v>0.64974580000000004</v>
      </c>
      <c r="I72">
        <v>0.96199155000000003</v>
      </c>
      <c r="J72">
        <v>0.85821502999999999</v>
      </c>
      <c r="K72">
        <f t="shared" si="4"/>
        <v>1</v>
      </c>
      <c r="L72">
        <f t="shared" si="5"/>
        <v>1</v>
      </c>
      <c r="M72">
        <f t="shared" si="6"/>
        <v>1</v>
      </c>
    </row>
    <row r="73" spans="1:13" x14ac:dyDescent="0.2">
      <c r="A73" t="s">
        <v>1907</v>
      </c>
      <c r="B73" t="s">
        <v>2892</v>
      </c>
      <c r="C73" t="s">
        <v>2891</v>
      </c>
      <c r="D73" t="s">
        <v>154</v>
      </c>
      <c r="E73" t="s">
        <v>155</v>
      </c>
      <c r="F73" t="s">
        <v>9</v>
      </c>
      <c r="G73" t="s">
        <v>45</v>
      </c>
      <c r="H73">
        <v>0.26369783000000002</v>
      </c>
      <c r="I73" s="1">
        <v>3.4787273000000002E-10</v>
      </c>
      <c r="J73" s="1">
        <v>6.0701179999999998E-13</v>
      </c>
      <c r="K73">
        <f t="shared" si="4"/>
        <v>0</v>
      </c>
      <c r="L73">
        <f t="shared" si="5"/>
        <v>0</v>
      </c>
      <c r="M73">
        <f t="shared" si="6"/>
        <v>0</v>
      </c>
    </row>
    <row r="74" spans="1:13" x14ac:dyDescent="0.2">
      <c r="A74" t="s">
        <v>1908</v>
      </c>
      <c r="B74" t="s">
        <v>2892</v>
      </c>
      <c r="C74" t="s">
        <v>2891</v>
      </c>
      <c r="D74" t="s">
        <v>156</v>
      </c>
      <c r="E74" t="s">
        <v>157</v>
      </c>
      <c r="F74" t="s">
        <v>9</v>
      </c>
      <c r="G74" t="s">
        <v>65</v>
      </c>
      <c r="H74">
        <v>5.5470014999999999E-3</v>
      </c>
      <c r="I74" s="1">
        <v>1.0683893999999999E-8</v>
      </c>
      <c r="J74">
        <v>0.40172014</v>
      </c>
      <c r="K74">
        <f t="shared" si="4"/>
        <v>0</v>
      </c>
      <c r="L74">
        <f t="shared" si="5"/>
        <v>0</v>
      </c>
      <c r="M74">
        <f t="shared" si="6"/>
        <v>0</v>
      </c>
    </row>
    <row r="75" spans="1:13" x14ac:dyDescent="0.2">
      <c r="A75" t="s">
        <v>1909</v>
      </c>
      <c r="B75" t="s">
        <v>2892</v>
      </c>
      <c r="C75" t="s">
        <v>2891</v>
      </c>
      <c r="D75" t="s">
        <v>158</v>
      </c>
      <c r="E75" t="s">
        <v>79</v>
      </c>
      <c r="F75" t="s">
        <v>13</v>
      </c>
      <c r="G75" t="s">
        <v>14</v>
      </c>
      <c r="H75">
        <v>0.99998980000000004</v>
      </c>
      <c r="I75">
        <v>0.99999994000000003</v>
      </c>
      <c r="J75">
        <v>0.99737315999999998</v>
      </c>
      <c r="K75">
        <f t="shared" si="4"/>
        <v>1</v>
      </c>
      <c r="L75">
        <f t="shared" si="5"/>
        <v>1</v>
      </c>
      <c r="M75">
        <f t="shared" si="6"/>
        <v>1</v>
      </c>
    </row>
    <row r="76" spans="1:13" x14ac:dyDescent="0.2">
      <c r="A76" t="s">
        <v>1910</v>
      </c>
      <c r="B76" t="s">
        <v>2892</v>
      </c>
      <c r="C76" t="s">
        <v>2891</v>
      </c>
      <c r="D76" t="s">
        <v>159</v>
      </c>
      <c r="E76" t="s">
        <v>160</v>
      </c>
      <c r="F76" t="s">
        <v>13</v>
      </c>
      <c r="G76" t="s">
        <v>14</v>
      </c>
      <c r="H76">
        <v>0.99999994000000003</v>
      </c>
      <c r="I76">
        <v>0.99869850000000004</v>
      </c>
      <c r="J76">
        <v>0.85424460000000002</v>
      </c>
      <c r="K76">
        <f t="shared" si="4"/>
        <v>1</v>
      </c>
      <c r="L76">
        <f t="shared" si="5"/>
        <v>1</v>
      </c>
      <c r="M76">
        <f t="shared" si="6"/>
        <v>1</v>
      </c>
    </row>
    <row r="77" spans="1:13" x14ac:dyDescent="0.2">
      <c r="A77" t="s">
        <v>1911</v>
      </c>
      <c r="B77" t="s">
        <v>2892</v>
      </c>
      <c r="C77" t="s">
        <v>2891</v>
      </c>
      <c r="D77" t="s">
        <v>161</v>
      </c>
      <c r="E77" t="s">
        <v>162</v>
      </c>
      <c r="F77" t="s">
        <v>17</v>
      </c>
      <c r="G77" t="s">
        <v>14</v>
      </c>
      <c r="H77">
        <v>0.99999994000000003</v>
      </c>
      <c r="I77">
        <v>0.99999994000000003</v>
      </c>
      <c r="J77">
        <v>0.99821879999999996</v>
      </c>
      <c r="K77">
        <f t="shared" si="4"/>
        <v>1</v>
      </c>
      <c r="L77">
        <f t="shared" si="5"/>
        <v>1</v>
      </c>
      <c r="M77">
        <f t="shared" si="6"/>
        <v>1</v>
      </c>
    </row>
    <row r="78" spans="1:13" x14ac:dyDescent="0.2">
      <c r="A78" t="s">
        <v>1912</v>
      </c>
      <c r="B78" t="s">
        <v>2892</v>
      </c>
      <c r="C78" t="s">
        <v>2891</v>
      </c>
      <c r="D78" t="s">
        <v>163</v>
      </c>
      <c r="E78" t="s">
        <v>164</v>
      </c>
      <c r="F78" t="s">
        <v>17</v>
      </c>
      <c r="G78" t="s">
        <v>10</v>
      </c>
      <c r="H78">
        <v>0.99999886999999998</v>
      </c>
      <c r="I78" s="1">
        <v>6.3599157000000005E-7</v>
      </c>
      <c r="J78">
        <v>0.88830629999999999</v>
      </c>
      <c r="K78">
        <f t="shared" si="4"/>
        <v>1</v>
      </c>
      <c r="L78">
        <f t="shared" si="5"/>
        <v>0</v>
      </c>
      <c r="M78">
        <f t="shared" si="6"/>
        <v>1</v>
      </c>
    </row>
    <row r="79" spans="1:13" x14ac:dyDescent="0.2">
      <c r="A79" t="s">
        <v>1913</v>
      </c>
      <c r="B79" t="s">
        <v>2892</v>
      </c>
      <c r="C79" t="s">
        <v>2891</v>
      </c>
      <c r="D79" t="s">
        <v>165</v>
      </c>
      <c r="E79" t="s">
        <v>147</v>
      </c>
      <c r="F79" t="s">
        <v>13</v>
      </c>
      <c r="G79" t="s">
        <v>14</v>
      </c>
      <c r="H79">
        <v>0.99999696000000005</v>
      </c>
      <c r="I79">
        <v>0.99933510000000003</v>
      </c>
      <c r="J79">
        <v>0.99635189999999996</v>
      </c>
      <c r="K79">
        <f t="shared" si="4"/>
        <v>1</v>
      </c>
      <c r="L79">
        <f t="shared" si="5"/>
        <v>1</v>
      </c>
      <c r="M79">
        <f t="shared" si="6"/>
        <v>1</v>
      </c>
    </row>
    <row r="80" spans="1:13" x14ac:dyDescent="0.2">
      <c r="A80" t="s">
        <v>1914</v>
      </c>
      <c r="B80" t="s">
        <v>2892</v>
      </c>
      <c r="C80" t="s">
        <v>2891</v>
      </c>
      <c r="D80" t="s">
        <v>166</v>
      </c>
      <c r="E80" t="s">
        <v>167</v>
      </c>
      <c r="F80" t="s">
        <v>17</v>
      </c>
      <c r="G80" t="s">
        <v>10</v>
      </c>
      <c r="H80">
        <v>0.99965360000000003</v>
      </c>
      <c r="I80">
        <v>0.99999994000000003</v>
      </c>
      <c r="J80">
        <v>1.1746326000000001E-3</v>
      </c>
      <c r="K80">
        <f t="shared" si="4"/>
        <v>1</v>
      </c>
      <c r="L80">
        <f t="shared" si="5"/>
        <v>1</v>
      </c>
      <c r="M80">
        <f t="shared" si="6"/>
        <v>0</v>
      </c>
    </row>
    <row r="81" spans="1:13" x14ac:dyDescent="0.2">
      <c r="A81" t="s">
        <v>1915</v>
      </c>
      <c r="B81" t="s">
        <v>2892</v>
      </c>
      <c r="C81" t="s">
        <v>2891</v>
      </c>
      <c r="D81" t="s">
        <v>168</v>
      </c>
      <c r="E81" t="s">
        <v>128</v>
      </c>
      <c r="F81" t="s">
        <v>13</v>
      </c>
      <c r="G81" t="s">
        <v>14</v>
      </c>
      <c r="H81">
        <v>0.99999090000000002</v>
      </c>
      <c r="I81">
        <v>0.9999903</v>
      </c>
      <c r="J81">
        <v>0.93577474000000005</v>
      </c>
      <c r="K81">
        <f t="shared" si="4"/>
        <v>1</v>
      </c>
      <c r="L81">
        <f t="shared" si="5"/>
        <v>1</v>
      </c>
      <c r="M81">
        <f t="shared" si="6"/>
        <v>1</v>
      </c>
    </row>
    <row r="82" spans="1:13" x14ac:dyDescent="0.2">
      <c r="A82" t="s">
        <v>1916</v>
      </c>
      <c r="B82" t="s">
        <v>2892</v>
      </c>
      <c r="C82" t="s">
        <v>2891</v>
      </c>
      <c r="D82" t="s">
        <v>169</v>
      </c>
      <c r="E82" t="s">
        <v>170</v>
      </c>
      <c r="F82" t="s">
        <v>9</v>
      </c>
      <c r="G82" t="s">
        <v>65</v>
      </c>
      <c r="H82">
        <v>0.22137174000000001</v>
      </c>
      <c r="I82" s="1">
        <v>6.7917693999999999E-7</v>
      </c>
      <c r="J82" s="1">
        <v>1.3991405E-5</v>
      </c>
      <c r="K82">
        <f t="shared" si="4"/>
        <v>0</v>
      </c>
      <c r="L82">
        <f t="shared" si="5"/>
        <v>0</v>
      </c>
      <c r="M82">
        <f t="shared" si="6"/>
        <v>0</v>
      </c>
    </row>
    <row r="83" spans="1:13" x14ac:dyDescent="0.2">
      <c r="A83" t="s">
        <v>1917</v>
      </c>
      <c r="B83" t="s">
        <v>2892</v>
      </c>
      <c r="C83" t="s">
        <v>2891</v>
      </c>
      <c r="D83" t="s">
        <v>171</v>
      </c>
      <c r="E83" t="s">
        <v>172</v>
      </c>
      <c r="F83" t="s">
        <v>9</v>
      </c>
      <c r="G83" t="s">
        <v>14</v>
      </c>
      <c r="H83">
        <v>0.99999254999999998</v>
      </c>
      <c r="I83">
        <v>0.99999994000000003</v>
      </c>
      <c r="J83">
        <v>1.8549621E-3</v>
      </c>
      <c r="K83">
        <f t="shared" si="4"/>
        <v>1</v>
      </c>
      <c r="L83">
        <f t="shared" si="5"/>
        <v>1</v>
      </c>
      <c r="M83">
        <f t="shared" si="6"/>
        <v>0</v>
      </c>
    </row>
    <row r="84" spans="1:13" x14ac:dyDescent="0.2">
      <c r="A84" t="s">
        <v>1918</v>
      </c>
      <c r="B84" t="s">
        <v>2892</v>
      </c>
      <c r="C84" t="s">
        <v>2891</v>
      </c>
      <c r="D84" t="s">
        <v>173</v>
      </c>
      <c r="E84" t="s">
        <v>174</v>
      </c>
      <c r="F84" t="s">
        <v>9</v>
      </c>
      <c r="G84" t="s">
        <v>14</v>
      </c>
      <c r="H84">
        <v>0.99995464000000001</v>
      </c>
      <c r="I84">
        <v>0.99997729999999996</v>
      </c>
      <c r="J84">
        <v>0.60369353999999997</v>
      </c>
      <c r="K84">
        <f t="shared" si="4"/>
        <v>1</v>
      </c>
      <c r="L84">
        <f t="shared" si="5"/>
        <v>1</v>
      </c>
      <c r="M84">
        <f t="shared" si="6"/>
        <v>1</v>
      </c>
    </row>
    <row r="85" spans="1:13" x14ac:dyDescent="0.2">
      <c r="A85" t="s">
        <v>1919</v>
      </c>
      <c r="B85" t="s">
        <v>2892</v>
      </c>
      <c r="C85" t="s">
        <v>2891</v>
      </c>
      <c r="D85" t="s">
        <v>175</v>
      </c>
      <c r="E85" t="s">
        <v>176</v>
      </c>
      <c r="F85" t="s">
        <v>13</v>
      </c>
      <c r="G85" t="s">
        <v>14</v>
      </c>
      <c r="H85">
        <v>0.99996929999999995</v>
      </c>
      <c r="I85">
        <v>0.99999959999999999</v>
      </c>
      <c r="J85">
        <v>0.95333206999999998</v>
      </c>
      <c r="K85">
        <f t="shared" si="4"/>
        <v>1</v>
      </c>
      <c r="L85">
        <f t="shared" si="5"/>
        <v>1</v>
      </c>
      <c r="M85">
        <f t="shared" si="6"/>
        <v>1</v>
      </c>
    </row>
    <row r="86" spans="1:13" x14ac:dyDescent="0.2">
      <c r="A86" t="s">
        <v>1920</v>
      </c>
      <c r="B86" t="s">
        <v>2892</v>
      </c>
      <c r="C86" t="s">
        <v>2891</v>
      </c>
      <c r="D86" t="s">
        <v>177</v>
      </c>
      <c r="E86" t="s">
        <v>178</v>
      </c>
      <c r="F86" t="s">
        <v>9</v>
      </c>
      <c r="G86" t="s">
        <v>14</v>
      </c>
      <c r="H86">
        <v>0.88975203000000003</v>
      </c>
      <c r="I86">
        <v>7.6107170000000003E-3</v>
      </c>
      <c r="J86">
        <v>2.0893635000000001E-2</v>
      </c>
      <c r="K86">
        <f t="shared" si="4"/>
        <v>1</v>
      </c>
      <c r="L86">
        <f t="shared" si="5"/>
        <v>0</v>
      </c>
      <c r="M86">
        <f t="shared" si="6"/>
        <v>0</v>
      </c>
    </row>
    <row r="87" spans="1:13" x14ac:dyDescent="0.2">
      <c r="A87" t="s">
        <v>1921</v>
      </c>
      <c r="B87" t="s">
        <v>2892</v>
      </c>
      <c r="C87" t="s">
        <v>2891</v>
      </c>
      <c r="D87" t="s">
        <v>179</v>
      </c>
      <c r="E87" t="s">
        <v>180</v>
      </c>
      <c r="F87" t="s">
        <v>17</v>
      </c>
      <c r="G87" t="s">
        <v>14</v>
      </c>
      <c r="H87">
        <v>0.99999994000000003</v>
      </c>
      <c r="I87">
        <v>0.99990040000000002</v>
      </c>
      <c r="J87">
        <v>0.32890390000000003</v>
      </c>
      <c r="K87">
        <f t="shared" si="4"/>
        <v>1</v>
      </c>
      <c r="L87">
        <f t="shared" si="5"/>
        <v>1</v>
      </c>
      <c r="M87">
        <f t="shared" si="6"/>
        <v>0</v>
      </c>
    </row>
    <row r="88" spans="1:13" x14ac:dyDescent="0.2">
      <c r="A88" t="s">
        <v>1922</v>
      </c>
      <c r="B88" t="s">
        <v>2892</v>
      </c>
      <c r="C88" t="s">
        <v>2891</v>
      </c>
      <c r="D88" t="s">
        <v>181</v>
      </c>
      <c r="E88" t="s">
        <v>182</v>
      </c>
      <c r="F88" t="s">
        <v>9</v>
      </c>
      <c r="G88" t="s">
        <v>65</v>
      </c>
      <c r="H88">
        <v>4.7800012000000003E-2</v>
      </c>
      <c r="I88" s="1">
        <v>3.8545479999999997E-6</v>
      </c>
      <c r="J88">
        <v>1.4857399E-2</v>
      </c>
      <c r="K88">
        <f t="shared" si="4"/>
        <v>0</v>
      </c>
      <c r="L88">
        <f t="shared" si="5"/>
        <v>0</v>
      </c>
      <c r="M88">
        <f t="shared" si="6"/>
        <v>0</v>
      </c>
    </row>
    <row r="89" spans="1:13" x14ac:dyDescent="0.2">
      <c r="A89" t="s">
        <v>1923</v>
      </c>
      <c r="B89" t="s">
        <v>2892</v>
      </c>
      <c r="C89" t="s">
        <v>2891</v>
      </c>
      <c r="D89" t="s">
        <v>183</v>
      </c>
      <c r="E89" t="s">
        <v>184</v>
      </c>
      <c r="F89" t="s">
        <v>17</v>
      </c>
      <c r="G89" t="s">
        <v>40</v>
      </c>
      <c r="H89">
        <v>0.99999899999999997</v>
      </c>
      <c r="I89">
        <v>0.99993246999999996</v>
      </c>
      <c r="J89">
        <v>0.24484486999999999</v>
      </c>
      <c r="K89">
        <f t="shared" si="4"/>
        <v>1</v>
      </c>
      <c r="L89">
        <f t="shared" si="5"/>
        <v>1</v>
      </c>
      <c r="M89">
        <f t="shared" si="6"/>
        <v>0</v>
      </c>
    </row>
    <row r="90" spans="1:13" x14ac:dyDescent="0.2">
      <c r="A90" t="s">
        <v>1924</v>
      </c>
      <c r="B90" t="s">
        <v>2892</v>
      </c>
      <c r="C90" t="s">
        <v>2891</v>
      </c>
      <c r="D90" t="s">
        <v>185</v>
      </c>
      <c r="E90" t="s">
        <v>128</v>
      </c>
      <c r="F90" t="s">
        <v>13</v>
      </c>
      <c r="G90" t="s">
        <v>14</v>
      </c>
      <c r="H90">
        <v>0.99999934000000001</v>
      </c>
      <c r="I90">
        <v>0.9999903</v>
      </c>
      <c r="J90">
        <v>0.99165519999999996</v>
      </c>
      <c r="K90">
        <f t="shared" si="4"/>
        <v>1</v>
      </c>
      <c r="L90">
        <f t="shared" si="5"/>
        <v>1</v>
      </c>
      <c r="M90">
        <f t="shared" si="6"/>
        <v>1</v>
      </c>
    </row>
    <row r="91" spans="1:13" x14ac:dyDescent="0.2">
      <c r="A91" t="s">
        <v>1925</v>
      </c>
      <c r="B91" t="s">
        <v>2892</v>
      </c>
      <c r="C91" t="s">
        <v>2891</v>
      </c>
      <c r="D91" t="s">
        <v>186</v>
      </c>
      <c r="E91" t="s">
        <v>187</v>
      </c>
      <c r="F91" t="s">
        <v>9</v>
      </c>
      <c r="G91" t="s">
        <v>14</v>
      </c>
      <c r="H91">
        <v>0.99999210000000005</v>
      </c>
      <c r="I91">
        <v>0.99999994000000003</v>
      </c>
      <c r="J91">
        <v>0.99449854999999998</v>
      </c>
      <c r="K91">
        <f t="shared" si="4"/>
        <v>1</v>
      </c>
      <c r="L91">
        <f t="shared" si="5"/>
        <v>1</v>
      </c>
      <c r="M91">
        <f t="shared" si="6"/>
        <v>1</v>
      </c>
    </row>
    <row r="92" spans="1:13" x14ac:dyDescent="0.2">
      <c r="A92" t="s">
        <v>1926</v>
      </c>
      <c r="B92" t="s">
        <v>2892</v>
      </c>
      <c r="C92" t="s">
        <v>2891</v>
      </c>
      <c r="D92" t="s">
        <v>188</v>
      </c>
      <c r="E92" t="s">
        <v>189</v>
      </c>
      <c r="F92" t="s">
        <v>9</v>
      </c>
      <c r="G92" t="s">
        <v>14</v>
      </c>
      <c r="H92">
        <v>0.99999729999999998</v>
      </c>
      <c r="I92">
        <v>0.99999994000000003</v>
      </c>
      <c r="J92">
        <v>0.99987124999999999</v>
      </c>
      <c r="K92">
        <f t="shared" si="4"/>
        <v>1</v>
      </c>
      <c r="L92">
        <f t="shared" si="5"/>
        <v>1</v>
      </c>
      <c r="M92">
        <f t="shared" si="6"/>
        <v>1</v>
      </c>
    </row>
    <row r="93" spans="1:13" x14ac:dyDescent="0.2">
      <c r="A93" t="s">
        <v>1927</v>
      </c>
      <c r="B93" t="s">
        <v>2892</v>
      </c>
      <c r="C93" t="s">
        <v>2891</v>
      </c>
      <c r="D93" t="s">
        <v>190</v>
      </c>
      <c r="E93" t="s">
        <v>191</v>
      </c>
      <c r="F93" t="s">
        <v>13</v>
      </c>
      <c r="G93" t="s">
        <v>14</v>
      </c>
      <c r="H93">
        <v>0.97580100000000003</v>
      </c>
      <c r="I93">
        <v>0.99999979999999999</v>
      </c>
      <c r="J93">
        <v>0.99971460000000001</v>
      </c>
      <c r="K93">
        <f t="shared" si="4"/>
        <v>1</v>
      </c>
      <c r="L93">
        <f t="shared" si="5"/>
        <v>1</v>
      </c>
      <c r="M93">
        <f t="shared" si="6"/>
        <v>1</v>
      </c>
    </row>
    <row r="94" spans="1:13" x14ac:dyDescent="0.2">
      <c r="A94" t="s">
        <v>1928</v>
      </c>
      <c r="B94" t="s">
        <v>2892</v>
      </c>
      <c r="C94" t="s">
        <v>2891</v>
      </c>
      <c r="D94" t="s">
        <v>192</v>
      </c>
      <c r="E94" t="s">
        <v>79</v>
      </c>
      <c r="F94" t="s">
        <v>13</v>
      </c>
      <c r="G94" t="s">
        <v>14</v>
      </c>
      <c r="H94">
        <v>0.99999576999999995</v>
      </c>
      <c r="I94">
        <v>0.99999994000000003</v>
      </c>
      <c r="J94">
        <v>5.6602730000000004E-3</v>
      </c>
      <c r="K94">
        <f t="shared" si="4"/>
        <v>1</v>
      </c>
      <c r="L94">
        <f t="shared" si="5"/>
        <v>1</v>
      </c>
      <c r="M94">
        <f t="shared" si="6"/>
        <v>0</v>
      </c>
    </row>
    <row r="95" spans="1:13" x14ac:dyDescent="0.2">
      <c r="A95" t="s">
        <v>1929</v>
      </c>
      <c r="B95" t="s">
        <v>2892</v>
      </c>
      <c r="C95" t="s">
        <v>2891</v>
      </c>
      <c r="D95" t="s">
        <v>193</v>
      </c>
      <c r="E95" t="s">
        <v>194</v>
      </c>
      <c r="F95" t="s">
        <v>9</v>
      </c>
      <c r="G95" t="s">
        <v>10</v>
      </c>
      <c r="H95">
        <v>2.2272810999999999E-4</v>
      </c>
      <c r="I95" s="1">
        <v>5.2065180000000001E-7</v>
      </c>
      <c r="J95">
        <v>1.7982135E-2</v>
      </c>
      <c r="K95">
        <f t="shared" si="4"/>
        <v>0</v>
      </c>
      <c r="L95">
        <f t="shared" si="5"/>
        <v>0</v>
      </c>
      <c r="M95">
        <f t="shared" si="6"/>
        <v>0</v>
      </c>
    </row>
    <row r="96" spans="1:13" x14ac:dyDescent="0.2">
      <c r="A96" t="s">
        <v>1930</v>
      </c>
      <c r="B96" t="s">
        <v>2892</v>
      </c>
      <c r="C96" t="s">
        <v>2891</v>
      </c>
      <c r="D96" t="s">
        <v>195</v>
      </c>
      <c r="E96" t="s">
        <v>196</v>
      </c>
      <c r="F96" t="s">
        <v>13</v>
      </c>
      <c r="G96" t="s">
        <v>18</v>
      </c>
      <c r="H96">
        <v>0.99999919999999998</v>
      </c>
      <c r="I96">
        <v>0.99999994000000003</v>
      </c>
      <c r="J96">
        <v>0.99869110000000005</v>
      </c>
      <c r="K96">
        <f t="shared" si="4"/>
        <v>1</v>
      </c>
      <c r="L96">
        <f t="shared" si="5"/>
        <v>1</v>
      </c>
      <c r="M96">
        <f t="shared" si="6"/>
        <v>1</v>
      </c>
    </row>
    <row r="97" spans="1:13" x14ac:dyDescent="0.2">
      <c r="A97" t="s">
        <v>1931</v>
      </c>
      <c r="B97" t="s">
        <v>2892</v>
      </c>
      <c r="C97" t="s">
        <v>2891</v>
      </c>
      <c r="D97" t="s">
        <v>197</v>
      </c>
      <c r="E97" t="s">
        <v>198</v>
      </c>
      <c r="F97" t="s">
        <v>9</v>
      </c>
      <c r="G97" t="s">
        <v>40</v>
      </c>
      <c r="H97">
        <v>0.98917350000000004</v>
      </c>
      <c r="I97">
        <v>0.99999994000000003</v>
      </c>
      <c r="J97">
        <v>9.8488259999999994E-2</v>
      </c>
      <c r="K97">
        <f t="shared" si="4"/>
        <v>1</v>
      </c>
      <c r="L97">
        <f t="shared" si="5"/>
        <v>1</v>
      </c>
      <c r="M97">
        <f t="shared" si="6"/>
        <v>0</v>
      </c>
    </row>
    <row r="98" spans="1:13" x14ac:dyDescent="0.2">
      <c r="A98" t="s">
        <v>1932</v>
      </c>
      <c r="B98" t="s">
        <v>2892</v>
      </c>
      <c r="C98" t="s">
        <v>2891</v>
      </c>
      <c r="D98" t="s">
        <v>199</v>
      </c>
      <c r="E98" t="s">
        <v>200</v>
      </c>
      <c r="F98" t="s">
        <v>9</v>
      </c>
      <c r="G98" t="s">
        <v>14</v>
      </c>
      <c r="H98">
        <v>0.56399049999999995</v>
      </c>
      <c r="I98" s="1">
        <v>6.8832970000000002E-8</v>
      </c>
      <c r="J98">
        <v>0.6899187</v>
      </c>
      <c r="K98">
        <f t="shared" si="4"/>
        <v>1</v>
      </c>
      <c r="L98">
        <f t="shared" si="5"/>
        <v>0</v>
      </c>
      <c r="M98">
        <f t="shared" si="6"/>
        <v>1</v>
      </c>
    </row>
    <row r="99" spans="1:13" x14ac:dyDescent="0.2">
      <c r="A99" t="s">
        <v>1933</v>
      </c>
      <c r="B99" t="s">
        <v>2892</v>
      </c>
      <c r="C99" t="s">
        <v>2891</v>
      </c>
      <c r="D99" t="s">
        <v>201</v>
      </c>
      <c r="E99" t="s">
        <v>202</v>
      </c>
      <c r="F99" t="s">
        <v>17</v>
      </c>
      <c r="G99" t="s">
        <v>14</v>
      </c>
      <c r="H99" s="1">
        <v>1.2127746999999999E-5</v>
      </c>
      <c r="I99">
        <v>0.99975000000000003</v>
      </c>
      <c r="J99" s="1">
        <v>1.9036277E-6</v>
      </c>
      <c r="K99">
        <f t="shared" si="4"/>
        <v>0</v>
      </c>
      <c r="L99">
        <f t="shared" si="5"/>
        <v>1</v>
      </c>
      <c r="M99">
        <f t="shared" si="6"/>
        <v>0</v>
      </c>
    </row>
    <row r="100" spans="1:13" x14ac:dyDescent="0.2">
      <c r="A100" t="s">
        <v>1934</v>
      </c>
      <c r="B100" t="s">
        <v>2892</v>
      </c>
      <c r="C100" t="s">
        <v>2891</v>
      </c>
      <c r="D100" t="s">
        <v>203</v>
      </c>
      <c r="E100" t="s">
        <v>204</v>
      </c>
      <c r="F100" t="s">
        <v>13</v>
      </c>
      <c r="G100" t="s">
        <v>14</v>
      </c>
      <c r="H100">
        <v>0.83838964000000005</v>
      </c>
      <c r="I100">
        <v>0.99997409999999998</v>
      </c>
      <c r="J100">
        <v>8.7267880000000005E-4</v>
      </c>
      <c r="K100">
        <f t="shared" si="4"/>
        <v>1</v>
      </c>
      <c r="L100">
        <f t="shared" si="5"/>
        <v>1</v>
      </c>
      <c r="M100">
        <f t="shared" si="6"/>
        <v>0</v>
      </c>
    </row>
    <row r="101" spans="1:13" x14ac:dyDescent="0.2">
      <c r="A101" t="s">
        <v>1935</v>
      </c>
      <c r="B101" t="s">
        <v>2892</v>
      </c>
      <c r="C101" t="s">
        <v>2891</v>
      </c>
      <c r="D101" t="s">
        <v>205</v>
      </c>
      <c r="E101" t="s">
        <v>206</v>
      </c>
      <c r="F101" t="s">
        <v>9</v>
      </c>
      <c r="G101" t="s">
        <v>14</v>
      </c>
      <c r="H101">
        <v>0.99937635999999996</v>
      </c>
      <c r="I101">
        <v>0.99999979999999999</v>
      </c>
      <c r="J101">
        <v>3.8724316000000002E-3</v>
      </c>
      <c r="K101">
        <f t="shared" si="4"/>
        <v>1</v>
      </c>
      <c r="L101">
        <f t="shared" si="5"/>
        <v>1</v>
      </c>
      <c r="M101">
        <f t="shared" si="6"/>
        <v>0</v>
      </c>
    </row>
    <row r="102" spans="1:13" x14ac:dyDescent="0.2">
      <c r="A102" t="s">
        <v>1936</v>
      </c>
      <c r="B102" t="s">
        <v>2893</v>
      </c>
      <c r="C102" t="s">
        <v>2891</v>
      </c>
      <c r="D102" t="s">
        <v>207</v>
      </c>
      <c r="E102" t="s">
        <v>208</v>
      </c>
      <c r="F102" t="s">
        <v>9</v>
      </c>
      <c r="G102" t="s">
        <v>65</v>
      </c>
      <c r="H102">
        <v>0.8016913</v>
      </c>
      <c r="I102" s="1">
        <v>5.3656374999999998E-8</v>
      </c>
      <c r="J102">
        <v>1.7654893999999999E-4</v>
      </c>
      <c r="K102">
        <f t="shared" si="4"/>
        <v>1</v>
      </c>
      <c r="L102">
        <f t="shared" si="5"/>
        <v>0</v>
      </c>
      <c r="M102">
        <f t="shared" si="6"/>
        <v>0</v>
      </c>
    </row>
    <row r="103" spans="1:13" x14ac:dyDescent="0.2">
      <c r="A103" t="s">
        <v>1937</v>
      </c>
      <c r="B103" t="s">
        <v>2893</v>
      </c>
      <c r="C103" t="s">
        <v>2891</v>
      </c>
      <c r="D103" t="e">
        <f>-LQ-LQESGP-GLVKPSQTLSLTCTVSGGSI---------SSYYWS-WIRQ-P-P-G-K--G-LE-WIGYIYYS------------GSTYY--N--P--SL--K---SRVTISV-D---T-S--KN----Q-FSLKLSSVTA-ADTAVYYCARQLGD-------------------------YYYFDVWG-QGTTVTVSS</f>
        <v>#NAME?</v>
      </c>
      <c r="E103" t="s">
        <v>209</v>
      </c>
      <c r="F103" t="s">
        <v>17</v>
      </c>
      <c r="G103" t="s">
        <v>14</v>
      </c>
      <c r="H103">
        <v>0.97303980000000001</v>
      </c>
      <c r="I103">
        <v>0.99999994000000003</v>
      </c>
      <c r="J103">
        <v>0.99770250000000005</v>
      </c>
      <c r="K103">
        <f t="shared" si="4"/>
        <v>1</v>
      </c>
      <c r="L103">
        <f t="shared" si="5"/>
        <v>1</v>
      </c>
      <c r="M103">
        <f t="shared" si="6"/>
        <v>1</v>
      </c>
    </row>
    <row r="104" spans="1:13" x14ac:dyDescent="0.2">
      <c r="A104" t="s">
        <v>1938</v>
      </c>
      <c r="B104" t="s">
        <v>2893</v>
      </c>
      <c r="C104" t="s">
        <v>2891</v>
      </c>
      <c r="D104" t="s">
        <v>210</v>
      </c>
      <c r="E104" t="s">
        <v>211</v>
      </c>
      <c r="F104" t="s">
        <v>9</v>
      </c>
      <c r="G104" t="s">
        <v>212</v>
      </c>
      <c r="H104">
        <v>0.99700146999999995</v>
      </c>
      <c r="I104" s="1">
        <v>9.5879199999999998E-6</v>
      </c>
      <c r="J104" s="1">
        <v>6.684641E-6</v>
      </c>
      <c r="K104">
        <f t="shared" si="4"/>
        <v>1</v>
      </c>
      <c r="L104">
        <f t="shared" si="5"/>
        <v>0</v>
      </c>
      <c r="M104">
        <f t="shared" si="6"/>
        <v>0</v>
      </c>
    </row>
    <row r="105" spans="1:13" x14ac:dyDescent="0.2">
      <c r="A105" t="s">
        <v>1939</v>
      </c>
      <c r="B105" t="s">
        <v>2893</v>
      </c>
      <c r="C105" t="s">
        <v>2891</v>
      </c>
      <c r="D105" t="s">
        <v>213</v>
      </c>
      <c r="E105" t="s">
        <v>214</v>
      </c>
      <c r="F105" t="s">
        <v>9</v>
      </c>
      <c r="G105" t="s">
        <v>40</v>
      </c>
      <c r="H105">
        <v>0.99981739999999997</v>
      </c>
      <c r="I105">
        <v>0.99999994000000003</v>
      </c>
      <c r="J105">
        <v>0.2308673</v>
      </c>
      <c r="K105">
        <f t="shared" si="4"/>
        <v>1</v>
      </c>
      <c r="L105">
        <f t="shared" si="5"/>
        <v>1</v>
      </c>
      <c r="M105">
        <f t="shared" si="6"/>
        <v>0</v>
      </c>
    </row>
    <row r="106" spans="1:13" x14ac:dyDescent="0.2">
      <c r="A106" t="s">
        <v>1940</v>
      </c>
      <c r="B106" t="s">
        <v>2893</v>
      </c>
      <c r="C106" t="s">
        <v>2891</v>
      </c>
      <c r="D106" t="s">
        <v>215</v>
      </c>
      <c r="E106" t="s">
        <v>216</v>
      </c>
      <c r="F106" t="s">
        <v>9</v>
      </c>
      <c r="G106" t="s">
        <v>65</v>
      </c>
      <c r="H106">
        <v>0.99999979999999999</v>
      </c>
      <c r="I106" s="1">
        <v>3.2074783999999998E-8</v>
      </c>
      <c r="J106" s="1">
        <v>8.3208744999999998E-10</v>
      </c>
      <c r="K106">
        <f t="shared" si="4"/>
        <v>1</v>
      </c>
      <c r="L106">
        <f t="shared" si="5"/>
        <v>0</v>
      </c>
      <c r="M106">
        <f t="shared" si="6"/>
        <v>0</v>
      </c>
    </row>
    <row r="107" spans="1:13" x14ac:dyDescent="0.2">
      <c r="A107" t="s">
        <v>1941</v>
      </c>
      <c r="B107" t="s">
        <v>2893</v>
      </c>
      <c r="C107" t="s">
        <v>2891</v>
      </c>
      <c r="D107" t="s">
        <v>217</v>
      </c>
      <c r="E107" t="s">
        <v>218</v>
      </c>
      <c r="F107" t="s">
        <v>9</v>
      </c>
      <c r="G107" t="s">
        <v>65</v>
      </c>
      <c r="H107">
        <v>1.6638706999999999E-2</v>
      </c>
      <c r="I107">
        <v>0.99999994000000003</v>
      </c>
      <c r="J107" s="1">
        <v>8.5391100000000006E-8</v>
      </c>
      <c r="K107">
        <f t="shared" si="4"/>
        <v>0</v>
      </c>
      <c r="L107">
        <f t="shared" si="5"/>
        <v>1</v>
      </c>
      <c r="M107">
        <f t="shared" si="6"/>
        <v>0</v>
      </c>
    </row>
    <row r="108" spans="1:13" x14ac:dyDescent="0.2">
      <c r="A108" t="s">
        <v>1942</v>
      </c>
      <c r="B108" t="s">
        <v>2893</v>
      </c>
      <c r="C108" t="s">
        <v>2891</v>
      </c>
      <c r="D108" t="s">
        <v>219</v>
      </c>
      <c r="E108" t="s">
        <v>220</v>
      </c>
      <c r="F108" t="s">
        <v>13</v>
      </c>
      <c r="G108" t="s">
        <v>18</v>
      </c>
      <c r="H108">
        <v>0.99844719999999998</v>
      </c>
      <c r="I108" s="1">
        <v>1.3796592999999999E-7</v>
      </c>
      <c r="J108">
        <v>0.88866849999999997</v>
      </c>
      <c r="K108">
        <f t="shared" si="4"/>
        <v>1</v>
      </c>
      <c r="L108">
        <f t="shared" si="5"/>
        <v>0</v>
      </c>
      <c r="M108">
        <f t="shared" si="6"/>
        <v>1</v>
      </c>
    </row>
    <row r="109" spans="1:13" x14ac:dyDescent="0.2">
      <c r="A109" t="s">
        <v>1943</v>
      </c>
      <c r="B109" t="s">
        <v>2893</v>
      </c>
      <c r="C109" t="s">
        <v>2891</v>
      </c>
      <c r="D109" t="s">
        <v>221</v>
      </c>
      <c r="E109" t="s">
        <v>222</v>
      </c>
      <c r="F109" t="s">
        <v>13</v>
      </c>
      <c r="G109" t="s">
        <v>14</v>
      </c>
      <c r="H109">
        <v>0.99842834000000003</v>
      </c>
      <c r="I109">
        <v>0.99999123999999995</v>
      </c>
      <c r="J109">
        <v>0.99750464999999999</v>
      </c>
      <c r="K109">
        <f t="shared" si="4"/>
        <v>1</v>
      </c>
      <c r="L109">
        <f t="shared" si="5"/>
        <v>1</v>
      </c>
      <c r="M109">
        <f t="shared" si="6"/>
        <v>1</v>
      </c>
    </row>
    <row r="110" spans="1:13" x14ac:dyDescent="0.2">
      <c r="A110" t="s">
        <v>1944</v>
      </c>
      <c r="B110" t="s">
        <v>2893</v>
      </c>
      <c r="C110" t="s">
        <v>2891</v>
      </c>
      <c r="D110" t="s">
        <v>223</v>
      </c>
      <c r="E110" t="s">
        <v>224</v>
      </c>
      <c r="F110" t="s">
        <v>13</v>
      </c>
      <c r="G110" t="s">
        <v>14</v>
      </c>
      <c r="H110">
        <v>0.99999979999999999</v>
      </c>
      <c r="I110">
        <v>0.99999994000000003</v>
      </c>
      <c r="J110">
        <v>0.9999574</v>
      </c>
      <c r="K110">
        <f t="shared" si="4"/>
        <v>1</v>
      </c>
      <c r="L110">
        <f t="shared" si="5"/>
        <v>1</v>
      </c>
      <c r="M110">
        <f t="shared" si="6"/>
        <v>1</v>
      </c>
    </row>
    <row r="111" spans="1:13" x14ac:dyDescent="0.2">
      <c r="A111" t="s">
        <v>1945</v>
      </c>
      <c r="B111" t="s">
        <v>2893</v>
      </c>
      <c r="C111" t="s">
        <v>2891</v>
      </c>
      <c r="D111" t="e">
        <f>-LQ-LQESGP-GLVKPSETLSLTCTVSGDSVSS-----GSFSLYWT-WIRQ-P-P-G-K--A-LE-WLALIFWD------------DDKRY--N--P--SL--K---SRVSMSR-D---M-S--KN----Q-FFNLQVSLTD-IDTATYYCARSGA---------------------------GYLDYWG-QGTTVTVSS</f>
        <v>#NAME?</v>
      </c>
      <c r="E111" t="s">
        <v>225</v>
      </c>
      <c r="F111" t="s">
        <v>17</v>
      </c>
      <c r="G111" t="s">
        <v>40</v>
      </c>
      <c r="H111">
        <v>0.25089008000000002</v>
      </c>
      <c r="I111">
        <v>0.99999994000000003</v>
      </c>
      <c r="J111">
        <v>9.0246520000000004E-4</v>
      </c>
      <c r="K111">
        <f t="shared" si="4"/>
        <v>0</v>
      </c>
      <c r="L111">
        <f t="shared" si="5"/>
        <v>1</v>
      </c>
      <c r="M111">
        <f t="shared" si="6"/>
        <v>0</v>
      </c>
    </row>
    <row r="112" spans="1:13" x14ac:dyDescent="0.2">
      <c r="A112" t="s">
        <v>1946</v>
      </c>
      <c r="B112" t="s">
        <v>2893</v>
      </c>
      <c r="C112" t="s">
        <v>2891</v>
      </c>
      <c r="D112" t="s">
        <v>226</v>
      </c>
      <c r="E112" t="s">
        <v>227</v>
      </c>
      <c r="F112" t="s">
        <v>13</v>
      </c>
      <c r="G112" t="s">
        <v>18</v>
      </c>
      <c r="H112">
        <v>0.99976134000000005</v>
      </c>
      <c r="I112" s="1">
        <v>3.0759334999999999E-7</v>
      </c>
      <c r="J112">
        <v>2.3008239999999999E-3</v>
      </c>
      <c r="K112">
        <f t="shared" si="4"/>
        <v>1</v>
      </c>
      <c r="L112">
        <f t="shared" si="5"/>
        <v>0</v>
      </c>
      <c r="M112">
        <f t="shared" si="6"/>
        <v>0</v>
      </c>
    </row>
    <row r="113" spans="1:13" x14ac:dyDescent="0.2">
      <c r="A113" t="s">
        <v>1947</v>
      </c>
      <c r="B113" t="s">
        <v>2893</v>
      </c>
      <c r="C113" t="s">
        <v>2891</v>
      </c>
      <c r="D113" t="s">
        <v>228</v>
      </c>
      <c r="E113" t="s">
        <v>229</v>
      </c>
      <c r="F113" t="s">
        <v>13</v>
      </c>
      <c r="G113" t="s">
        <v>14</v>
      </c>
      <c r="H113">
        <v>0.98046759999999999</v>
      </c>
      <c r="I113">
        <v>0.99999919999999998</v>
      </c>
      <c r="J113">
        <v>0.99877656000000004</v>
      </c>
      <c r="K113">
        <f t="shared" si="4"/>
        <v>1</v>
      </c>
      <c r="L113">
        <f t="shared" si="5"/>
        <v>1</v>
      </c>
      <c r="M113">
        <f t="shared" si="6"/>
        <v>1</v>
      </c>
    </row>
    <row r="114" spans="1:13" x14ac:dyDescent="0.2">
      <c r="A114" t="s">
        <v>1948</v>
      </c>
      <c r="B114" t="s">
        <v>2893</v>
      </c>
      <c r="C114" t="s">
        <v>2891</v>
      </c>
      <c r="D114" t="s">
        <v>230</v>
      </c>
      <c r="E114" t="s">
        <v>231</v>
      </c>
      <c r="F114" t="s">
        <v>13</v>
      </c>
      <c r="G114" t="s">
        <v>14</v>
      </c>
      <c r="H114">
        <v>0.99999945999999995</v>
      </c>
      <c r="I114">
        <v>0.99999802999999998</v>
      </c>
      <c r="J114">
        <v>0.98016024000000002</v>
      </c>
      <c r="K114">
        <f t="shared" si="4"/>
        <v>1</v>
      </c>
      <c r="L114">
        <f t="shared" si="5"/>
        <v>1</v>
      </c>
      <c r="M114">
        <f t="shared" si="6"/>
        <v>1</v>
      </c>
    </row>
    <row r="115" spans="1:13" x14ac:dyDescent="0.2">
      <c r="A115" t="s">
        <v>1949</v>
      </c>
      <c r="B115" t="s">
        <v>2893</v>
      </c>
      <c r="C115" t="s">
        <v>2891</v>
      </c>
      <c r="D115" t="s">
        <v>232</v>
      </c>
      <c r="E115" t="s">
        <v>233</v>
      </c>
      <c r="F115" t="s">
        <v>60</v>
      </c>
      <c r="G115" t="s">
        <v>14</v>
      </c>
      <c r="H115">
        <v>0.99999590000000005</v>
      </c>
      <c r="I115">
        <v>0.99999970000000005</v>
      </c>
      <c r="J115">
        <v>1.6588036E-2</v>
      </c>
      <c r="K115">
        <f t="shared" si="4"/>
        <v>1</v>
      </c>
      <c r="L115">
        <f t="shared" si="5"/>
        <v>1</v>
      </c>
      <c r="M115">
        <f t="shared" si="6"/>
        <v>0</v>
      </c>
    </row>
    <row r="116" spans="1:13" x14ac:dyDescent="0.2">
      <c r="A116" t="s">
        <v>1950</v>
      </c>
      <c r="B116" t="s">
        <v>2893</v>
      </c>
      <c r="C116" t="s">
        <v>2891</v>
      </c>
      <c r="D116" t="s">
        <v>234</v>
      </c>
      <c r="E116" t="s">
        <v>235</v>
      </c>
      <c r="F116" t="s">
        <v>9</v>
      </c>
      <c r="G116" t="s">
        <v>65</v>
      </c>
      <c r="H116">
        <v>0.99999994000000003</v>
      </c>
      <c r="I116" s="1">
        <v>3.0405697999999997E-8</v>
      </c>
      <c r="J116" s="1">
        <v>1.2037384000000001E-8</v>
      </c>
      <c r="K116">
        <f t="shared" si="4"/>
        <v>1</v>
      </c>
      <c r="L116">
        <f t="shared" si="5"/>
        <v>0</v>
      </c>
      <c r="M116">
        <f t="shared" si="6"/>
        <v>0</v>
      </c>
    </row>
    <row r="117" spans="1:13" x14ac:dyDescent="0.2">
      <c r="A117" t="s">
        <v>1951</v>
      </c>
      <c r="B117" t="s">
        <v>2893</v>
      </c>
      <c r="C117" t="s">
        <v>2891</v>
      </c>
      <c r="D117" t="e">
        <f>-VQ-LVESGP-GLVAPSQSLSITCTVSGFSL---------TGYGVN-WVRQ-P-P-G-K--G-LE-WLGMIWGD------------GNTDY--N--S--AL--K---SRLSISK-D---N-S--KS----Q-VFLKMNSLQT-DDTARYYCARERD----------------------------YFDYWG-QGTMVTVSS</f>
        <v>#NAME?</v>
      </c>
      <c r="E117" t="s">
        <v>236</v>
      </c>
      <c r="F117" t="s">
        <v>13</v>
      </c>
      <c r="G117" t="s">
        <v>65</v>
      </c>
      <c r="H117" s="1">
        <v>6.8691080000000002E-5</v>
      </c>
      <c r="I117">
        <v>0.99999994000000003</v>
      </c>
      <c r="J117" s="1">
        <v>2.4381125E-6</v>
      </c>
      <c r="K117">
        <f t="shared" si="4"/>
        <v>0</v>
      </c>
      <c r="L117">
        <f t="shared" si="5"/>
        <v>1</v>
      </c>
      <c r="M117">
        <f t="shared" si="6"/>
        <v>0</v>
      </c>
    </row>
    <row r="118" spans="1:13" x14ac:dyDescent="0.2">
      <c r="A118" t="s">
        <v>1952</v>
      </c>
      <c r="B118" t="s">
        <v>2893</v>
      </c>
      <c r="C118" t="s">
        <v>2891</v>
      </c>
      <c r="D118" t="s">
        <v>237</v>
      </c>
      <c r="E118" t="s">
        <v>238</v>
      </c>
      <c r="F118" t="s">
        <v>13</v>
      </c>
      <c r="G118" t="s">
        <v>14</v>
      </c>
      <c r="H118">
        <v>0.99455970000000005</v>
      </c>
      <c r="I118">
        <v>0.99999075999999998</v>
      </c>
      <c r="J118">
        <v>0.62016415999999996</v>
      </c>
      <c r="K118">
        <f t="shared" si="4"/>
        <v>1</v>
      </c>
      <c r="L118">
        <f t="shared" si="5"/>
        <v>1</v>
      </c>
      <c r="M118">
        <f t="shared" si="6"/>
        <v>1</v>
      </c>
    </row>
    <row r="119" spans="1:13" x14ac:dyDescent="0.2">
      <c r="A119" t="s">
        <v>1953</v>
      </c>
      <c r="B119" t="s">
        <v>2893</v>
      </c>
      <c r="C119" t="s">
        <v>2891</v>
      </c>
      <c r="D119" t="s">
        <v>239</v>
      </c>
      <c r="E119" t="s">
        <v>240</v>
      </c>
      <c r="F119" t="s">
        <v>13</v>
      </c>
      <c r="G119" t="s">
        <v>14</v>
      </c>
      <c r="H119">
        <v>0.98155309999999996</v>
      </c>
      <c r="I119">
        <v>0.99999886999999998</v>
      </c>
      <c r="J119">
        <v>0.98578399999999999</v>
      </c>
      <c r="K119">
        <f t="shared" si="4"/>
        <v>1</v>
      </c>
      <c r="L119">
        <f t="shared" si="5"/>
        <v>1</v>
      </c>
      <c r="M119">
        <f t="shared" si="6"/>
        <v>1</v>
      </c>
    </row>
    <row r="120" spans="1:13" x14ac:dyDescent="0.2">
      <c r="A120" t="s">
        <v>1954</v>
      </c>
      <c r="B120" t="s">
        <v>2893</v>
      </c>
      <c r="C120" t="s">
        <v>2891</v>
      </c>
      <c r="D120" t="s">
        <v>241</v>
      </c>
      <c r="E120" t="s">
        <v>242</v>
      </c>
      <c r="F120" t="s">
        <v>17</v>
      </c>
      <c r="G120" t="s">
        <v>45</v>
      </c>
      <c r="H120">
        <v>0.99992864999999997</v>
      </c>
      <c r="I120" s="1">
        <v>5.3729650000000002E-10</v>
      </c>
      <c r="J120">
        <v>2.4713813999999997E-4</v>
      </c>
      <c r="K120">
        <f t="shared" si="4"/>
        <v>1</v>
      </c>
      <c r="L120">
        <f t="shared" si="5"/>
        <v>0</v>
      </c>
      <c r="M120">
        <f t="shared" si="6"/>
        <v>0</v>
      </c>
    </row>
    <row r="121" spans="1:13" x14ac:dyDescent="0.2">
      <c r="A121" t="s">
        <v>1955</v>
      </c>
      <c r="B121" t="s">
        <v>2893</v>
      </c>
      <c r="C121" t="s">
        <v>2891</v>
      </c>
      <c r="D121" t="s">
        <v>243</v>
      </c>
      <c r="E121" t="s">
        <v>244</v>
      </c>
      <c r="F121" t="s">
        <v>13</v>
      </c>
      <c r="G121" t="s">
        <v>14</v>
      </c>
      <c r="H121" s="1">
        <v>9.0920690000000008E-6</v>
      </c>
      <c r="I121">
        <v>0.99999970000000005</v>
      </c>
      <c r="J121">
        <v>0.54897773000000005</v>
      </c>
      <c r="K121">
        <f t="shared" si="4"/>
        <v>0</v>
      </c>
      <c r="L121">
        <f t="shared" si="5"/>
        <v>1</v>
      </c>
      <c r="M121">
        <f t="shared" si="6"/>
        <v>1</v>
      </c>
    </row>
    <row r="122" spans="1:13" x14ac:dyDescent="0.2">
      <c r="A122" t="s">
        <v>1956</v>
      </c>
      <c r="B122" t="s">
        <v>2893</v>
      </c>
      <c r="C122" t="s">
        <v>2891</v>
      </c>
      <c r="D122" t="s">
        <v>245</v>
      </c>
      <c r="E122" t="s">
        <v>246</v>
      </c>
      <c r="F122" t="s">
        <v>17</v>
      </c>
      <c r="G122" t="s">
        <v>14</v>
      </c>
      <c r="H122">
        <v>0.99848663999999998</v>
      </c>
      <c r="I122">
        <v>0.99999979999999999</v>
      </c>
      <c r="J122">
        <v>0.99874929999999995</v>
      </c>
      <c r="K122">
        <f t="shared" si="4"/>
        <v>1</v>
      </c>
      <c r="L122">
        <f t="shared" si="5"/>
        <v>1</v>
      </c>
      <c r="M122">
        <f t="shared" si="6"/>
        <v>1</v>
      </c>
    </row>
    <row r="123" spans="1:13" x14ac:dyDescent="0.2">
      <c r="A123" t="s">
        <v>1957</v>
      </c>
      <c r="B123" t="s">
        <v>2893</v>
      </c>
      <c r="C123" t="s">
        <v>2891</v>
      </c>
      <c r="D123" t="s">
        <v>247</v>
      </c>
      <c r="E123" t="s">
        <v>248</v>
      </c>
      <c r="F123" t="s">
        <v>9</v>
      </c>
      <c r="G123" t="s">
        <v>65</v>
      </c>
      <c r="H123">
        <v>2.3267108E-4</v>
      </c>
      <c r="I123" s="1">
        <v>1.5778526999999999E-6</v>
      </c>
      <c r="J123" s="1">
        <v>5.6343673E-5</v>
      </c>
      <c r="K123">
        <f t="shared" si="4"/>
        <v>0</v>
      </c>
      <c r="L123">
        <f t="shared" si="5"/>
        <v>0</v>
      </c>
      <c r="M123">
        <f t="shared" si="6"/>
        <v>0</v>
      </c>
    </row>
    <row r="124" spans="1:13" x14ac:dyDescent="0.2">
      <c r="A124" t="s">
        <v>1958</v>
      </c>
      <c r="B124" t="s">
        <v>2893</v>
      </c>
      <c r="C124" t="s">
        <v>2891</v>
      </c>
      <c r="D124" t="s">
        <v>249</v>
      </c>
      <c r="E124" t="s">
        <v>250</v>
      </c>
      <c r="F124" t="s">
        <v>13</v>
      </c>
      <c r="G124" t="s">
        <v>10</v>
      </c>
      <c r="H124">
        <v>0.94473636000000005</v>
      </c>
      <c r="I124">
        <v>0.99999994000000003</v>
      </c>
      <c r="J124">
        <v>0.99999970000000005</v>
      </c>
      <c r="K124">
        <f t="shared" si="4"/>
        <v>1</v>
      </c>
      <c r="L124">
        <f t="shared" si="5"/>
        <v>1</v>
      </c>
      <c r="M124">
        <f t="shared" si="6"/>
        <v>1</v>
      </c>
    </row>
    <row r="125" spans="1:13" x14ac:dyDescent="0.2">
      <c r="A125" t="s">
        <v>1959</v>
      </c>
      <c r="B125" t="s">
        <v>2893</v>
      </c>
      <c r="C125" t="s">
        <v>2891</v>
      </c>
      <c r="D125" t="s">
        <v>251</v>
      </c>
      <c r="E125" t="s">
        <v>252</v>
      </c>
      <c r="F125" t="s">
        <v>9</v>
      </c>
      <c r="G125" t="s">
        <v>10</v>
      </c>
      <c r="H125">
        <v>0.99999994000000003</v>
      </c>
      <c r="I125">
        <v>0.99999994000000003</v>
      </c>
      <c r="J125">
        <v>0.32198262</v>
      </c>
      <c r="K125">
        <f t="shared" si="4"/>
        <v>1</v>
      </c>
      <c r="L125">
        <f t="shared" si="5"/>
        <v>1</v>
      </c>
      <c r="M125">
        <f t="shared" si="6"/>
        <v>0</v>
      </c>
    </row>
    <row r="126" spans="1:13" x14ac:dyDescent="0.2">
      <c r="A126" t="s">
        <v>1960</v>
      </c>
      <c r="B126" t="s">
        <v>2893</v>
      </c>
      <c r="C126" t="s">
        <v>2891</v>
      </c>
      <c r="D126" t="s">
        <v>253</v>
      </c>
      <c r="E126" t="s">
        <v>254</v>
      </c>
      <c r="F126" t="s">
        <v>9</v>
      </c>
      <c r="G126" t="s">
        <v>40</v>
      </c>
      <c r="H126">
        <v>0.99457059999999997</v>
      </c>
      <c r="I126" s="1">
        <v>8.2089905000000002E-8</v>
      </c>
      <c r="J126" s="1">
        <v>4.1654106999999998E-15</v>
      </c>
      <c r="K126">
        <f t="shared" si="4"/>
        <v>1</v>
      </c>
      <c r="L126">
        <f t="shared" si="5"/>
        <v>0</v>
      </c>
      <c r="M126">
        <f t="shared" si="6"/>
        <v>0</v>
      </c>
    </row>
    <row r="127" spans="1:13" x14ac:dyDescent="0.2">
      <c r="A127" t="s">
        <v>1961</v>
      </c>
      <c r="B127" t="s">
        <v>2893</v>
      </c>
      <c r="C127" t="s">
        <v>2891</v>
      </c>
      <c r="D127" t="s">
        <v>255</v>
      </c>
      <c r="E127" t="s">
        <v>256</v>
      </c>
      <c r="F127" t="s">
        <v>9</v>
      </c>
      <c r="G127" t="s">
        <v>14</v>
      </c>
      <c r="H127">
        <v>0.99999994000000003</v>
      </c>
      <c r="I127">
        <v>0.99075930000000001</v>
      </c>
      <c r="J127" s="1">
        <v>1.8786469999999998E-5</v>
      </c>
      <c r="K127">
        <f t="shared" si="4"/>
        <v>1</v>
      </c>
      <c r="L127">
        <f t="shared" si="5"/>
        <v>1</v>
      </c>
      <c r="M127">
        <f t="shared" si="6"/>
        <v>0</v>
      </c>
    </row>
    <row r="128" spans="1:13" x14ac:dyDescent="0.2">
      <c r="A128" t="s">
        <v>1962</v>
      </c>
      <c r="B128" t="s">
        <v>2893</v>
      </c>
      <c r="C128" t="s">
        <v>2891</v>
      </c>
      <c r="D128" t="s">
        <v>257</v>
      </c>
      <c r="E128" t="s">
        <v>258</v>
      </c>
      <c r="F128" t="s">
        <v>13</v>
      </c>
      <c r="G128" t="s">
        <v>14</v>
      </c>
      <c r="H128">
        <v>0.99999979999999999</v>
      </c>
      <c r="I128">
        <v>0.99999994000000003</v>
      </c>
      <c r="J128">
        <v>0.14961131</v>
      </c>
      <c r="K128">
        <f t="shared" si="4"/>
        <v>1</v>
      </c>
      <c r="L128">
        <f t="shared" si="5"/>
        <v>1</v>
      </c>
      <c r="M128">
        <f t="shared" si="6"/>
        <v>0</v>
      </c>
    </row>
    <row r="129" spans="1:13" x14ac:dyDescent="0.2">
      <c r="A129" t="s">
        <v>1963</v>
      </c>
      <c r="B129" t="s">
        <v>2893</v>
      </c>
      <c r="C129" t="s">
        <v>2891</v>
      </c>
      <c r="D129" t="s">
        <v>259</v>
      </c>
      <c r="E129" t="s">
        <v>260</v>
      </c>
      <c r="F129" t="s">
        <v>13</v>
      </c>
      <c r="G129" t="s">
        <v>14</v>
      </c>
      <c r="H129">
        <v>0.92670596000000005</v>
      </c>
      <c r="I129">
        <v>0.99999994000000003</v>
      </c>
      <c r="J129">
        <v>5.9299900000000003E-2</v>
      </c>
      <c r="K129">
        <f t="shared" si="4"/>
        <v>1</v>
      </c>
      <c r="L129">
        <f t="shared" si="5"/>
        <v>1</v>
      </c>
      <c r="M129">
        <f t="shared" si="6"/>
        <v>0</v>
      </c>
    </row>
    <row r="130" spans="1:13" x14ac:dyDescent="0.2">
      <c r="A130" t="s">
        <v>1964</v>
      </c>
      <c r="B130" t="s">
        <v>2893</v>
      </c>
      <c r="C130" t="s">
        <v>2891</v>
      </c>
      <c r="D130" t="s">
        <v>261</v>
      </c>
      <c r="E130" t="s">
        <v>262</v>
      </c>
      <c r="F130" t="s">
        <v>13</v>
      </c>
      <c r="G130" t="s">
        <v>14</v>
      </c>
      <c r="H130">
        <v>0.99999945999999995</v>
      </c>
      <c r="I130">
        <v>0.99999994000000003</v>
      </c>
      <c r="J130">
        <v>3.9941447999999999E-4</v>
      </c>
      <c r="K130">
        <f t="shared" si="4"/>
        <v>1</v>
      </c>
      <c r="L130">
        <f t="shared" si="5"/>
        <v>1</v>
      </c>
      <c r="M130">
        <f t="shared" si="6"/>
        <v>0</v>
      </c>
    </row>
    <row r="131" spans="1:13" x14ac:dyDescent="0.2">
      <c r="A131" t="s">
        <v>1965</v>
      </c>
      <c r="B131" t="s">
        <v>2893</v>
      </c>
      <c r="C131" t="s">
        <v>2891</v>
      </c>
      <c r="D131" t="s">
        <v>263</v>
      </c>
      <c r="E131" t="s">
        <v>264</v>
      </c>
      <c r="F131" t="s">
        <v>60</v>
      </c>
      <c r="G131" t="s">
        <v>10</v>
      </c>
      <c r="H131">
        <v>0.71855265000000001</v>
      </c>
      <c r="I131">
        <v>0.99999994000000003</v>
      </c>
      <c r="J131">
        <v>0.99592583999999995</v>
      </c>
      <c r="K131">
        <f t="shared" ref="K131:K194" si="7">IF(H131&gt;=0.5,1,0)</f>
        <v>1</v>
      </c>
      <c r="L131">
        <f t="shared" ref="L131:L194" si="8">IF(I131&gt;=0.5,1,0)</f>
        <v>1</v>
      </c>
      <c r="M131">
        <f t="shared" ref="M131:M194" si="9">IF(J131&gt;=0.5,1,0)</f>
        <v>1</v>
      </c>
    </row>
    <row r="132" spans="1:13" x14ac:dyDescent="0.2">
      <c r="A132" t="s">
        <v>1966</v>
      </c>
      <c r="B132" t="s">
        <v>2893</v>
      </c>
      <c r="C132" t="s">
        <v>2891</v>
      </c>
      <c r="D132" t="s">
        <v>265</v>
      </c>
      <c r="E132" t="s">
        <v>266</v>
      </c>
      <c r="F132" t="s">
        <v>13</v>
      </c>
      <c r="G132" t="s">
        <v>14</v>
      </c>
      <c r="H132">
        <v>0.55285569999999995</v>
      </c>
      <c r="I132">
        <v>0.99977919999999998</v>
      </c>
      <c r="J132" s="1">
        <v>6.7858945999999996E-6</v>
      </c>
      <c r="K132">
        <f t="shared" si="7"/>
        <v>1</v>
      </c>
      <c r="L132">
        <f t="shared" si="8"/>
        <v>1</v>
      </c>
      <c r="M132">
        <f t="shared" si="9"/>
        <v>0</v>
      </c>
    </row>
    <row r="133" spans="1:13" x14ac:dyDescent="0.2">
      <c r="A133" t="s">
        <v>1967</v>
      </c>
      <c r="B133" t="s">
        <v>2893</v>
      </c>
      <c r="C133" t="s">
        <v>2891</v>
      </c>
      <c r="D133" t="s">
        <v>267</v>
      </c>
      <c r="E133" t="s">
        <v>268</v>
      </c>
      <c r="F133" t="s">
        <v>13</v>
      </c>
      <c r="G133" t="s">
        <v>14</v>
      </c>
      <c r="H133">
        <v>0.99999970000000005</v>
      </c>
      <c r="I133" s="1">
        <v>9.8013470000000003E-8</v>
      </c>
      <c r="J133">
        <v>4.0727905000000003E-3</v>
      </c>
      <c r="K133">
        <f t="shared" si="7"/>
        <v>1</v>
      </c>
      <c r="L133">
        <f t="shared" si="8"/>
        <v>0</v>
      </c>
      <c r="M133">
        <f t="shared" si="9"/>
        <v>0</v>
      </c>
    </row>
    <row r="134" spans="1:13" x14ac:dyDescent="0.2">
      <c r="A134" t="s">
        <v>1968</v>
      </c>
      <c r="B134" t="s">
        <v>2893</v>
      </c>
      <c r="C134" t="s">
        <v>2891</v>
      </c>
      <c r="D134" t="s">
        <v>269</v>
      </c>
      <c r="E134" t="s">
        <v>270</v>
      </c>
      <c r="F134" t="s">
        <v>9</v>
      </c>
      <c r="G134" t="s">
        <v>10</v>
      </c>
      <c r="H134">
        <v>0.89831989999999995</v>
      </c>
      <c r="I134">
        <v>0.99999994000000003</v>
      </c>
      <c r="J134" s="1">
        <v>2.5631612000000002E-6</v>
      </c>
      <c r="K134">
        <f t="shared" si="7"/>
        <v>1</v>
      </c>
      <c r="L134">
        <f t="shared" si="8"/>
        <v>1</v>
      </c>
      <c r="M134">
        <f t="shared" si="9"/>
        <v>0</v>
      </c>
    </row>
    <row r="135" spans="1:13" x14ac:dyDescent="0.2">
      <c r="A135" t="s">
        <v>1969</v>
      </c>
      <c r="B135" t="s">
        <v>2893</v>
      </c>
      <c r="C135" t="s">
        <v>2891</v>
      </c>
      <c r="D135" t="s">
        <v>271</v>
      </c>
      <c r="E135" t="s">
        <v>272</v>
      </c>
      <c r="F135" t="s">
        <v>17</v>
      </c>
      <c r="G135" t="s">
        <v>10</v>
      </c>
      <c r="H135">
        <v>0.99999994000000003</v>
      </c>
      <c r="I135" s="1">
        <v>7.8962524999999995E-9</v>
      </c>
      <c r="J135" s="1">
        <v>3.0664955E-6</v>
      </c>
      <c r="K135">
        <f t="shared" si="7"/>
        <v>1</v>
      </c>
      <c r="L135">
        <f t="shared" si="8"/>
        <v>0</v>
      </c>
      <c r="M135">
        <f t="shared" si="9"/>
        <v>0</v>
      </c>
    </row>
    <row r="136" spans="1:13" x14ac:dyDescent="0.2">
      <c r="A136" t="s">
        <v>1970</v>
      </c>
      <c r="B136" t="s">
        <v>2893</v>
      </c>
      <c r="C136" t="s">
        <v>2891</v>
      </c>
      <c r="D136" t="s">
        <v>273</v>
      </c>
      <c r="E136" t="s">
        <v>274</v>
      </c>
      <c r="F136" t="s">
        <v>9</v>
      </c>
      <c r="G136" t="s">
        <v>36</v>
      </c>
      <c r="H136">
        <v>3.1258837999999998E-4</v>
      </c>
      <c r="I136" s="1">
        <v>4.7788170000000001E-7</v>
      </c>
      <c r="J136">
        <v>1.8949403E-3</v>
      </c>
      <c r="K136">
        <f t="shared" si="7"/>
        <v>0</v>
      </c>
      <c r="L136">
        <f t="shared" si="8"/>
        <v>0</v>
      </c>
      <c r="M136">
        <f t="shared" si="9"/>
        <v>0</v>
      </c>
    </row>
    <row r="137" spans="1:13" x14ac:dyDescent="0.2">
      <c r="A137" t="s">
        <v>1971</v>
      </c>
      <c r="B137" t="s">
        <v>2893</v>
      </c>
      <c r="C137" t="s">
        <v>2891</v>
      </c>
      <c r="D137" t="s">
        <v>275</v>
      </c>
      <c r="E137" t="s">
        <v>276</v>
      </c>
      <c r="F137" t="s">
        <v>9</v>
      </c>
      <c r="G137" t="s">
        <v>14</v>
      </c>
      <c r="H137">
        <v>0.99937147000000004</v>
      </c>
      <c r="I137">
        <v>0.99999994000000003</v>
      </c>
      <c r="J137">
        <v>0.99737626000000001</v>
      </c>
      <c r="K137">
        <f t="shared" si="7"/>
        <v>1</v>
      </c>
      <c r="L137">
        <f t="shared" si="8"/>
        <v>1</v>
      </c>
      <c r="M137">
        <f t="shared" si="9"/>
        <v>1</v>
      </c>
    </row>
    <row r="138" spans="1:13" x14ac:dyDescent="0.2">
      <c r="A138" t="s">
        <v>1972</v>
      </c>
      <c r="B138" t="s">
        <v>2893</v>
      </c>
      <c r="C138" t="s">
        <v>2891</v>
      </c>
      <c r="D138" t="s">
        <v>277</v>
      </c>
      <c r="E138" t="s">
        <v>278</v>
      </c>
      <c r="F138" t="s">
        <v>9</v>
      </c>
      <c r="G138" t="s">
        <v>36</v>
      </c>
      <c r="H138">
        <v>0.96221489999999998</v>
      </c>
      <c r="I138" s="1">
        <v>8.256397E-7</v>
      </c>
      <c r="J138" s="1">
        <v>1.6301380000000001E-6</v>
      </c>
      <c r="K138">
        <f t="shared" si="7"/>
        <v>1</v>
      </c>
      <c r="L138">
        <f t="shared" si="8"/>
        <v>0</v>
      </c>
      <c r="M138">
        <f t="shared" si="9"/>
        <v>0</v>
      </c>
    </row>
    <row r="139" spans="1:13" x14ac:dyDescent="0.2">
      <c r="A139" t="s">
        <v>1973</v>
      </c>
      <c r="B139" t="s">
        <v>2893</v>
      </c>
      <c r="C139" t="s">
        <v>2891</v>
      </c>
      <c r="D139" t="s">
        <v>279</v>
      </c>
      <c r="E139" t="s">
        <v>280</v>
      </c>
      <c r="F139" t="s">
        <v>9</v>
      </c>
      <c r="G139" t="s">
        <v>14</v>
      </c>
      <c r="H139">
        <v>0.99993580000000004</v>
      </c>
      <c r="I139">
        <v>0.99999994000000003</v>
      </c>
      <c r="J139" s="1">
        <v>9.1735026000000006E-5</v>
      </c>
      <c r="K139">
        <f t="shared" si="7"/>
        <v>1</v>
      </c>
      <c r="L139">
        <f t="shared" si="8"/>
        <v>1</v>
      </c>
      <c r="M139">
        <f t="shared" si="9"/>
        <v>0</v>
      </c>
    </row>
    <row r="140" spans="1:13" x14ac:dyDescent="0.2">
      <c r="A140" t="s">
        <v>1974</v>
      </c>
      <c r="B140" t="s">
        <v>2893</v>
      </c>
      <c r="C140" t="s">
        <v>2891</v>
      </c>
      <c r="D140" t="s">
        <v>281</v>
      </c>
      <c r="E140" t="s">
        <v>282</v>
      </c>
      <c r="F140" t="s">
        <v>13</v>
      </c>
      <c r="G140" t="s">
        <v>65</v>
      </c>
      <c r="H140" s="1">
        <v>1.5469955999999999E-5</v>
      </c>
      <c r="I140" s="1">
        <v>2.2190538E-7</v>
      </c>
      <c r="J140">
        <v>1.6575254000000001E-3</v>
      </c>
      <c r="K140">
        <f t="shared" si="7"/>
        <v>0</v>
      </c>
      <c r="L140">
        <f t="shared" si="8"/>
        <v>0</v>
      </c>
      <c r="M140">
        <f t="shared" si="9"/>
        <v>0</v>
      </c>
    </row>
    <row r="141" spans="1:13" x14ac:dyDescent="0.2">
      <c r="A141" t="s">
        <v>1975</v>
      </c>
      <c r="B141" t="s">
        <v>2893</v>
      </c>
      <c r="C141" t="s">
        <v>2891</v>
      </c>
      <c r="D141" t="s">
        <v>283</v>
      </c>
      <c r="E141" t="s">
        <v>284</v>
      </c>
      <c r="F141" t="s">
        <v>13</v>
      </c>
      <c r="G141" t="s">
        <v>14</v>
      </c>
      <c r="H141">
        <v>0.99986887000000002</v>
      </c>
      <c r="I141">
        <v>0.99999994000000003</v>
      </c>
      <c r="J141">
        <v>0.99996454000000001</v>
      </c>
      <c r="K141">
        <f t="shared" si="7"/>
        <v>1</v>
      </c>
      <c r="L141">
        <f t="shared" si="8"/>
        <v>1</v>
      </c>
      <c r="M141">
        <f t="shared" si="9"/>
        <v>1</v>
      </c>
    </row>
    <row r="142" spans="1:13" x14ac:dyDescent="0.2">
      <c r="A142" t="s">
        <v>1976</v>
      </c>
      <c r="B142" t="s">
        <v>2893</v>
      </c>
      <c r="C142" t="s">
        <v>2891</v>
      </c>
      <c r="D142" t="s">
        <v>285</v>
      </c>
      <c r="E142" t="s">
        <v>286</v>
      </c>
      <c r="F142" t="s">
        <v>13</v>
      </c>
      <c r="G142" t="s">
        <v>14</v>
      </c>
      <c r="H142">
        <v>0.99999979999999999</v>
      </c>
      <c r="I142">
        <v>0.99999970000000005</v>
      </c>
      <c r="J142">
        <v>0.9649238</v>
      </c>
      <c r="K142">
        <f t="shared" si="7"/>
        <v>1</v>
      </c>
      <c r="L142">
        <f t="shared" si="8"/>
        <v>1</v>
      </c>
      <c r="M142">
        <f t="shared" si="9"/>
        <v>1</v>
      </c>
    </row>
    <row r="143" spans="1:13" x14ac:dyDescent="0.2">
      <c r="A143" t="s">
        <v>1977</v>
      </c>
      <c r="B143" t="s">
        <v>2893</v>
      </c>
      <c r="C143" t="s">
        <v>2891</v>
      </c>
      <c r="D143" t="s">
        <v>287</v>
      </c>
      <c r="E143" t="s">
        <v>288</v>
      </c>
      <c r="F143" t="s">
        <v>13</v>
      </c>
      <c r="G143" t="s">
        <v>14</v>
      </c>
      <c r="H143">
        <v>0.99999802999999998</v>
      </c>
      <c r="I143">
        <v>0.99999970000000005</v>
      </c>
      <c r="J143">
        <v>0.44834249999999998</v>
      </c>
      <c r="K143">
        <f t="shared" si="7"/>
        <v>1</v>
      </c>
      <c r="L143">
        <f t="shared" si="8"/>
        <v>1</v>
      </c>
      <c r="M143">
        <f t="shared" si="9"/>
        <v>0</v>
      </c>
    </row>
    <row r="144" spans="1:13" x14ac:dyDescent="0.2">
      <c r="A144" t="s">
        <v>1978</v>
      </c>
      <c r="B144" t="s">
        <v>2893</v>
      </c>
      <c r="C144" t="s">
        <v>2891</v>
      </c>
      <c r="D144" t="s">
        <v>289</v>
      </c>
      <c r="E144" t="s">
        <v>290</v>
      </c>
      <c r="F144" t="s">
        <v>17</v>
      </c>
      <c r="G144" t="s">
        <v>10</v>
      </c>
      <c r="H144">
        <v>0.97515017000000004</v>
      </c>
      <c r="I144">
        <v>0.99999994000000003</v>
      </c>
      <c r="J144">
        <v>0.82858085999999997</v>
      </c>
      <c r="K144">
        <f t="shared" si="7"/>
        <v>1</v>
      </c>
      <c r="L144">
        <f t="shared" si="8"/>
        <v>1</v>
      </c>
      <c r="M144">
        <f t="shared" si="9"/>
        <v>1</v>
      </c>
    </row>
    <row r="145" spans="1:13" x14ac:dyDescent="0.2">
      <c r="A145" t="s">
        <v>1979</v>
      </c>
      <c r="B145" t="s">
        <v>2893</v>
      </c>
      <c r="C145" t="s">
        <v>2891</v>
      </c>
      <c r="D145" t="s">
        <v>291</v>
      </c>
      <c r="E145" t="s">
        <v>292</v>
      </c>
      <c r="F145" t="s">
        <v>13</v>
      </c>
      <c r="G145" t="s">
        <v>65</v>
      </c>
      <c r="H145">
        <v>6.1962414E-3</v>
      </c>
      <c r="I145" s="1">
        <v>3.3992572000000001E-5</v>
      </c>
      <c r="J145">
        <v>8.6544863999999999E-2</v>
      </c>
      <c r="K145">
        <f t="shared" si="7"/>
        <v>0</v>
      </c>
      <c r="L145">
        <f t="shared" si="8"/>
        <v>0</v>
      </c>
      <c r="M145">
        <f t="shared" si="9"/>
        <v>0</v>
      </c>
    </row>
    <row r="146" spans="1:13" x14ac:dyDescent="0.2">
      <c r="A146" t="s">
        <v>1980</v>
      </c>
      <c r="B146" t="s">
        <v>2893</v>
      </c>
      <c r="C146" t="s">
        <v>2891</v>
      </c>
      <c r="D146" t="s">
        <v>293</v>
      </c>
      <c r="E146" t="s">
        <v>294</v>
      </c>
      <c r="F146" t="s">
        <v>13</v>
      </c>
      <c r="G146" t="s">
        <v>14</v>
      </c>
      <c r="H146">
        <v>0.99999910000000003</v>
      </c>
      <c r="I146">
        <v>0.99999994000000003</v>
      </c>
      <c r="J146">
        <v>0.99600120000000003</v>
      </c>
      <c r="K146">
        <f t="shared" si="7"/>
        <v>1</v>
      </c>
      <c r="L146">
        <f t="shared" si="8"/>
        <v>1</v>
      </c>
      <c r="M146">
        <f t="shared" si="9"/>
        <v>1</v>
      </c>
    </row>
    <row r="147" spans="1:13" x14ac:dyDescent="0.2">
      <c r="A147" t="s">
        <v>1981</v>
      </c>
      <c r="B147" t="s">
        <v>2893</v>
      </c>
      <c r="C147" t="s">
        <v>2891</v>
      </c>
      <c r="D147" t="s">
        <v>295</v>
      </c>
      <c r="E147" t="s">
        <v>296</v>
      </c>
      <c r="F147" t="s">
        <v>17</v>
      </c>
      <c r="G147" t="s">
        <v>14</v>
      </c>
      <c r="H147">
        <v>0.99999994000000003</v>
      </c>
      <c r="I147">
        <v>0.99999994000000003</v>
      </c>
      <c r="J147">
        <v>0.51839219999999997</v>
      </c>
      <c r="K147">
        <f t="shared" si="7"/>
        <v>1</v>
      </c>
      <c r="L147">
        <f t="shared" si="8"/>
        <v>1</v>
      </c>
      <c r="M147">
        <f t="shared" si="9"/>
        <v>1</v>
      </c>
    </row>
    <row r="148" spans="1:13" x14ac:dyDescent="0.2">
      <c r="A148" t="s">
        <v>1982</v>
      </c>
      <c r="B148" t="s">
        <v>2893</v>
      </c>
      <c r="C148" t="s">
        <v>2891</v>
      </c>
      <c r="D148" t="e">
        <f>-VQ-LVQSGA-EVKKPGASVKVSCKASGYTF---------SSYYIH-WVRQ-A-P-G-Q--G-LE-WMGRIIAG-----------GSIYNP--A--Q--KF--Q---GRVTITA-D---E-S--TS----T-AYMELSSLRS-DDTAVYYCARGGGAL------------------------GPYFDYWG-QGTLVTVSS</f>
        <v>#NAME?</v>
      </c>
      <c r="E148" t="s">
        <v>297</v>
      </c>
      <c r="F148" t="s">
        <v>9</v>
      </c>
      <c r="G148" t="s">
        <v>10</v>
      </c>
      <c r="H148">
        <v>0.99999183000000003</v>
      </c>
      <c r="I148">
        <v>0.99999959999999999</v>
      </c>
      <c r="J148">
        <v>0.80711955000000002</v>
      </c>
      <c r="K148">
        <f t="shared" si="7"/>
        <v>1</v>
      </c>
      <c r="L148">
        <f t="shared" si="8"/>
        <v>1</v>
      </c>
      <c r="M148">
        <f t="shared" si="9"/>
        <v>1</v>
      </c>
    </row>
    <row r="149" spans="1:13" x14ac:dyDescent="0.2">
      <c r="A149" t="s">
        <v>1983</v>
      </c>
      <c r="B149" t="s">
        <v>2893</v>
      </c>
      <c r="C149" t="s">
        <v>2891</v>
      </c>
      <c r="D149" t="s">
        <v>298</v>
      </c>
      <c r="E149" t="s">
        <v>299</v>
      </c>
      <c r="F149" t="s">
        <v>17</v>
      </c>
      <c r="G149" t="s">
        <v>65</v>
      </c>
      <c r="H149" s="1">
        <v>4.4377756999999996E-6</v>
      </c>
      <c r="I149">
        <v>0.99955850000000002</v>
      </c>
      <c r="J149">
        <v>0.93789405000000003</v>
      </c>
      <c r="K149">
        <f t="shared" si="7"/>
        <v>0</v>
      </c>
      <c r="L149">
        <f t="shared" si="8"/>
        <v>1</v>
      </c>
      <c r="M149">
        <f t="shared" si="9"/>
        <v>1</v>
      </c>
    </row>
    <row r="150" spans="1:13" x14ac:dyDescent="0.2">
      <c r="A150" t="s">
        <v>1984</v>
      </c>
      <c r="B150" t="s">
        <v>2893</v>
      </c>
      <c r="C150" t="s">
        <v>2891</v>
      </c>
      <c r="D150" t="s">
        <v>300</v>
      </c>
      <c r="E150" t="s">
        <v>266</v>
      </c>
      <c r="F150" t="s">
        <v>13</v>
      </c>
      <c r="G150" t="s">
        <v>14</v>
      </c>
      <c r="H150">
        <v>0.99999660000000001</v>
      </c>
      <c r="I150">
        <v>0.99977919999999998</v>
      </c>
      <c r="J150">
        <v>0.95442099999999996</v>
      </c>
      <c r="K150">
        <f t="shared" si="7"/>
        <v>1</v>
      </c>
      <c r="L150">
        <f t="shared" si="8"/>
        <v>1</v>
      </c>
      <c r="M150">
        <f t="shared" si="9"/>
        <v>1</v>
      </c>
    </row>
    <row r="151" spans="1:13" x14ac:dyDescent="0.2">
      <c r="A151" t="s">
        <v>1985</v>
      </c>
      <c r="B151" t="s">
        <v>2893</v>
      </c>
      <c r="C151" t="s">
        <v>2891</v>
      </c>
      <c r="D151" t="s">
        <v>301</v>
      </c>
      <c r="E151" t="s">
        <v>302</v>
      </c>
      <c r="F151" t="s">
        <v>9</v>
      </c>
      <c r="G151" t="s">
        <v>14</v>
      </c>
      <c r="H151">
        <v>0.99999229999999995</v>
      </c>
      <c r="I151">
        <v>0.99999979999999999</v>
      </c>
      <c r="J151">
        <v>0.20644008</v>
      </c>
      <c r="K151">
        <f t="shared" si="7"/>
        <v>1</v>
      </c>
      <c r="L151">
        <f t="shared" si="8"/>
        <v>1</v>
      </c>
      <c r="M151">
        <f t="shared" si="9"/>
        <v>0</v>
      </c>
    </row>
    <row r="152" spans="1:13" x14ac:dyDescent="0.2">
      <c r="A152" t="s">
        <v>1986</v>
      </c>
      <c r="B152" t="s">
        <v>2894</v>
      </c>
      <c r="C152" t="s">
        <v>2891</v>
      </c>
      <c r="D152" t="s">
        <v>303</v>
      </c>
      <c r="E152" t="s">
        <v>304</v>
      </c>
      <c r="F152" t="s">
        <v>13</v>
      </c>
      <c r="G152" t="s">
        <v>14</v>
      </c>
      <c r="H152">
        <v>0.99999769999999999</v>
      </c>
      <c r="I152">
        <v>0.99999875000000005</v>
      </c>
      <c r="J152">
        <v>0.99383589999999999</v>
      </c>
      <c r="K152">
        <f t="shared" si="7"/>
        <v>1</v>
      </c>
      <c r="L152">
        <f t="shared" si="8"/>
        <v>1</v>
      </c>
      <c r="M152">
        <f t="shared" si="9"/>
        <v>1</v>
      </c>
    </row>
    <row r="153" spans="1:13" x14ac:dyDescent="0.2">
      <c r="A153" t="s">
        <v>1987</v>
      </c>
      <c r="B153" t="s">
        <v>2894</v>
      </c>
      <c r="C153" t="s">
        <v>2891</v>
      </c>
      <c r="D153" t="s">
        <v>305</v>
      </c>
      <c r="E153" t="s">
        <v>306</v>
      </c>
      <c r="F153" t="s">
        <v>307</v>
      </c>
      <c r="G153" t="s">
        <v>14</v>
      </c>
      <c r="H153" s="1">
        <v>1.2458911999999999E-10</v>
      </c>
      <c r="I153">
        <v>0.99999994000000003</v>
      </c>
      <c r="J153">
        <v>0.11917199000000001</v>
      </c>
      <c r="K153">
        <f t="shared" si="7"/>
        <v>0</v>
      </c>
      <c r="L153">
        <f t="shared" si="8"/>
        <v>1</v>
      </c>
      <c r="M153">
        <f t="shared" si="9"/>
        <v>0</v>
      </c>
    </row>
    <row r="154" spans="1:13" x14ac:dyDescent="0.2">
      <c r="A154" t="s">
        <v>1988</v>
      </c>
      <c r="B154" t="s">
        <v>2894</v>
      </c>
      <c r="C154" t="s">
        <v>2891</v>
      </c>
      <c r="D154" t="s">
        <v>308</v>
      </c>
      <c r="E154" t="s">
        <v>309</v>
      </c>
      <c r="F154" t="s">
        <v>9</v>
      </c>
      <c r="G154" t="s">
        <v>10</v>
      </c>
      <c r="H154">
        <v>0.99999802999999998</v>
      </c>
      <c r="I154">
        <v>0.99999315</v>
      </c>
      <c r="J154">
        <v>2.8057215999999999E-4</v>
      </c>
      <c r="K154">
        <f t="shared" si="7"/>
        <v>1</v>
      </c>
      <c r="L154">
        <f t="shared" si="8"/>
        <v>1</v>
      </c>
      <c r="M154">
        <f t="shared" si="9"/>
        <v>0</v>
      </c>
    </row>
    <row r="155" spans="1:13" x14ac:dyDescent="0.2">
      <c r="A155" t="s">
        <v>1989</v>
      </c>
      <c r="B155" t="s">
        <v>2894</v>
      </c>
      <c r="C155" t="s">
        <v>2891</v>
      </c>
      <c r="D155" t="s">
        <v>310</v>
      </c>
      <c r="E155" t="s">
        <v>311</v>
      </c>
      <c r="F155" t="s">
        <v>13</v>
      </c>
      <c r="G155" t="s">
        <v>40</v>
      </c>
      <c r="H155">
        <v>0.99999979999999999</v>
      </c>
      <c r="I155">
        <v>0.99999934000000001</v>
      </c>
      <c r="J155">
        <v>0.95182100000000003</v>
      </c>
      <c r="K155">
        <f t="shared" si="7"/>
        <v>1</v>
      </c>
      <c r="L155">
        <f t="shared" si="8"/>
        <v>1</v>
      </c>
      <c r="M155">
        <f t="shared" si="9"/>
        <v>1</v>
      </c>
    </row>
    <row r="156" spans="1:13" x14ac:dyDescent="0.2">
      <c r="A156" t="s">
        <v>1990</v>
      </c>
      <c r="B156" t="s">
        <v>2894</v>
      </c>
      <c r="C156" t="s">
        <v>2891</v>
      </c>
      <c r="D156" t="s">
        <v>312</v>
      </c>
      <c r="E156" t="s">
        <v>313</v>
      </c>
      <c r="F156" t="s">
        <v>13</v>
      </c>
      <c r="G156" t="s">
        <v>14</v>
      </c>
      <c r="H156">
        <v>3.1510076999999997E-4</v>
      </c>
      <c r="I156">
        <v>0.99999994000000003</v>
      </c>
      <c r="J156" s="1">
        <v>9.680123E-5</v>
      </c>
      <c r="K156">
        <f t="shared" si="7"/>
        <v>0</v>
      </c>
      <c r="L156">
        <f t="shared" si="8"/>
        <v>1</v>
      </c>
      <c r="M156">
        <f t="shared" si="9"/>
        <v>0</v>
      </c>
    </row>
    <row r="157" spans="1:13" x14ac:dyDescent="0.2">
      <c r="A157" t="s">
        <v>1991</v>
      </c>
      <c r="B157" t="s">
        <v>2894</v>
      </c>
      <c r="C157" t="s">
        <v>2891</v>
      </c>
      <c r="D157" t="s">
        <v>314</v>
      </c>
      <c r="E157" t="s">
        <v>315</v>
      </c>
      <c r="F157" t="s">
        <v>17</v>
      </c>
      <c r="G157" t="s">
        <v>212</v>
      </c>
      <c r="H157" s="1">
        <v>2.1053844999999999E-7</v>
      </c>
      <c r="I157">
        <v>0.99999769999999999</v>
      </c>
      <c r="J157" s="1">
        <v>1.9559690000000002E-6</v>
      </c>
      <c r="K157">
        <f t="shared" si="7"/>
        <v>0</v>
      </c>
      <c r="L157">
        <f t="shared" si="8"/>
        <v>1</v>
      </c>
      <c r="M157">
        <f t="shared" si="9"/>
        <v>0</v>
      </c>
    </row>
    <row r="158" spans="1:13" x14ac:dyDescent="0.2">
      <c r="A158" t="s">
        <v>1992</v>
      </c>
      <c r="B158" t="s">
        <v>2894</v>
      </c>
      <c r="C158" t="s">
        <v>2891</v>
      </c>
      <c r="D158" t="s">
        <v>316</v>
      </c>
      <c r="E158" t="s">
        <v>317</v>
      </c>
      <c r="F158" t="s">
        <v>9</v>
      </c>
      <c r="G158" t="s">
        <v>65</v>
      </c>
      <c r="H158">
        <v>0.97036029999999995</v>
      </c>
      <c r="I158">
        <v>0.99999696000000005</v>
      </c>
      <c r="J158">
        <v>2.3818560000000001E-4</v>
      </c>
      <c r="K158">
        <f t="shared" si="7"/>
        <v>1</v>
      </c>
      <c r="L158">
        <f t="shared" si="8"/>
        <v>1</v>
      </c>
      <c r="M158">
        <f t="shared" si="9"/>
        <v>0</v>
      </c>
    </row>
    <row r="159" spans="1:13" x14ac:dyDescent="0.2">
      <c r="A159" t="s">
        <v>1993</v>
      </c>
      <c r="B159" t="s">
        <v>2894</v>
      </c>
      <c r="C159" t="s">
        <v>2891</v>
      </c>
      <c r="D159" t="e">
        <f>-EQ-LVESGG-GVVQPGKSLRLSCAASGFTF---------SSYAMH-WVRQ-A-P-G-K--G-LE-WVSTISGS-----------GGSTYY--A--D--SV--K---GRFTISR-D---N-K--KN----T-LYLQMSSLKS-EDTAMYYCARPDYGY-----------------------YAWYFDYWG-QGTLVTVSS</f>
        <v>#NAME?</v>
      </c>
      <c r="E159" t="s">
        <v>318</v>
      </c>
      <c r="F159" t="s">
        <v>13</v>
      </c>
      <c r="G159" t="s">
        <v>10</v>
      </c>
      <c r="H159">
        <v>0.99999970000000005</v>
      </c>
      <c r="I159" s="1">
        <v>9.6774303999999996E-11</v>
      </c>
      <c r="J159">
        <v>2.6483840000000002E-4</v>
      </c>
      <c r="K159">
        <f t="shared" si="7"/>
        <v>1</v>
      </c>
      <c r="L159">
        <f t="shared" si="8"/>
        <v>0</v>
      </c>
      <c r="M159">
        <f t="shared" si="9"/>
        <v>0</v>
      </c>
    </row>
    <row r="160" spans="1:13" x14ac:dyDescent="0.2">
      <c r="A160" t="s">
        <v>1994</v>
      </c>
      <c r="B160" t="s">
        <v>2894</v>
      </c>
      <c r="C160" t="s">
        <v>2891</v>
      </c>
      <c r="D160" t="s">
        <v>319</v>
      </c>
      <c r="E160" t="s">
        <v>320</v>
      </c>
      <c r="F160" t="s">
        <v>9</v>
      </c>
      <c r="G160" t="s">
        <v>65</v>
      </c>
      <c r="H160">
        <v>7.7579559999999999E-3</v>
      </c>
      <c r="I160" s="1">
        <v>1.0734183E-5</v>
      </c>
      <c r="J160" s="1">
        <v>1.5305463000000001E-15</v>
      </c>
      <c r="K160">
        <f t="shared" si="7"/>
        <v>0</v>
      </c>
      <c r="L160">
        <f t="shared" si="8"/>
        <v>0</v>
      </c>
      <c r="M160">
        <f t="shared" si="9"/>
        <v>0</v>
      </c>
    </row>
    <row r="161" spans="1:13" x14ac:dyDescent="0.2">
      <c r="A161" t="s">
        <v>1995</v>
      </c>
      <c r="B161" t="s">
        <v>2894</v>
      </c>
      <c r="C161" t="s">
        <v>2891</v>
      </c>
      <c r="D161" t="s">
        <v>321</v>
      </c>
      <c r="E161" t="s">
        <v>79</v>
      </c>
      <c r="F161" t="s">
        <v>13</v>
      </c>
      <c r="G161" t="s">
        <v>14</v>
      </c>
      <c r="H161">
        <v>0.9992164</v>
      </c>
      <c r="I161">
        <v>0.99999994000000003</v>
      </c>
      <c r="J161">
        <v>0.99077970000000004</v>
      </c>
      <c r="K161">
        <f t="shared" si="7"/>
        <v>1</v>
      </c>
      <c r="L161">
        <f t="shared" si="8"/>
        <v>1</v>
      </c>
      <c r="M161">
        <f t="shared" si="9"/>
        <v>1</v>
      </c>
    </row>
    <row r="162" spans="1:13" x14ac:dyDescent="0.2">
      <c r="A162" t="s">
        <v>1996</v>
      </c>
      <c r="B162" t="s">
        <v>2894</v>
      </c>
      <c r="C162" t="s">
        <v>2891</v>
      </c>
      <c r="D162" t="s">
        <v>322</v>
      </c>
      <c r="E162" t="s">
        <v>323</v>
      </c>
      <c r="F162" t="s">
        <v>13</v>
      </c>
      <c r="G162" t="s">
        <v>40</v>
      </c>
      <c r="H162">
        <v>0.99996229999999997</v>
      </c>
      <c r="I162">
        <v>0.99999994000000003</v>
      </c>
      <c r="J162">
        <v>0.99999979999999999</v>
      </c>
      <c r="K162">
        <f t="shared" si="7"/>
        <v>1</v>
      </c>
      <c r="L162">
        <f t="shared" si="8"/>
        <v>1</v>
      </c>
      <c r="M162">
        <f t="shared" si="9"/>
        <v>1</v>
      </c>
    </row>
    <row r="163" spans="1:13" x14ac:dyDescent="0.2">
      <c r="A163" t="s">
        <v>1997</v>
      </c>
      <c r="B163" t="s">
        <v>2894</v>
      </c>
      <c r="C163" t="s">
        <v>2891</v>
      </c>
      <c r="D163" t="s">
        <v>324</v>
      </c>
      <c r="E163" t="s">
        <v>325</v>
      </c>
      <c r="F163" t="s">
        <v>9</v>
      </c>
      <c r="G163" t="s">
        <v>20</v>
      </c>
      <c r="H163">
        <v>0.99402195000000004</v>
      </c>
      <c r="I163">
        <v>0.99999994000000003</v>
      </c>
      <c r="J163">
        <v>0.18205293</v>
      </c>
      <c r="K163">
        <f t="shared" si="7"/>
        <v>1</v>
      </c>
      <c r="L163">
        <f t="shared" si="8"/>
        <v>1</v>
      </c>
      <c r="M163">
        <f t="shared" si="9"/>
        <v>0</v>
      </c>
    </row>
    <row r="164" spans="1:13" x14ac:dyDescent="0.2">
      <c r="A164" t="s">
        <v>1998</v>
      </c>
      <c r="B164" t="s">
        <v>2894</v>
      </c>
      <c r="C164" t="s">
        <v>2891</v>
      </c>
      <c r="D164" t="s">
        <v>326</v>
      </c>
      <c r="E164" t="s">
        <v>327</v>
      </c>
      <c r="F164" t="s">
        <v>9</v>
      </c>
      <c r="G164" t="s">
        <v>14</v>
      </c>
      <c r="H164">
        <v>0.99999850000000001</v>
      </c>
      <c r="I164">
        <v>0.98377919999999996</v>
      </c>
      <c r="J164">
        <v>0.20257412999999999</v>
      </c>
      <c r="K164">
        <f t="shared" si="7"/>
        <v>1</v>
      </c>
      <c r="L164">
        <f t="shared" si="8"/>
        <v>1</v>
      </c>
      <c r="M164">
        <f t="shared" si="9"/>
        <v>0</v>
      </c>
    </row>
    <row r="165" spans="1:13" x14ac:dyDescent="0.2">
      <c r="A165" t="s">
        <v>1999</v>
      </c>
      <c r="B165" t="s">
        <v>2894</v>
      </c>
      <c r="C165" t="s">
        <v>2891</v>
      </c>
      <c r="D165" t="s">
        <v>328</v>
      </c>
      <c r="E165" t="s">
        <v>329</v>
      </c>
      <c r="F165" t="s">
        <v>13</v>
      </c>
      <c r="G165" t="s">
        <v>14</v>
      </c>
      <c r="H165">
        <v>0.99999660000000001</v>
      </c>
      <c r="I165">
        <v>0.99995904999999996</v>
      </c>
      <c r="J165">
        <v>0.98368745999999996</v>
      </c>
      <c r="K165">
        <f t="shared" si="7"/>
        <v>1</v>
      </c>
      <c r="L165">
        <f t="shared" si="8"/>
        <v>1</v>
      </c>
      <c r="M165">
        <f t="shared" si="9"/>
        <v>1</v>
      </c>
    </row>
    <row r="166" spans="1:13" x14ac:dyDescent="0.2">
      <c r="A166" t="s">
        <v>2000</v>
      </c>
      <c r="B166" t="s">
        <v>2894</v>
      </c>
      <c r="C166" t="s">
        <v>2891</v>
      </c>
      <c r="D166" t="e">
        <f>-VQ-LVQSGA-EVKKPGASVKVSCKASGYTF---------SSYGVS-WVRQ-A-P-G-Q--G-LE-WMGWINGR------------GDTNY--A--Q--KF--Q---GRVTMTR-D---T-S--IS----T-AYMEL---RS-DDTAVYYCARDRSW-------------------------GDVFAYWG-QGTLVTVSS</f>
        <v>#NAME?</v>
      </c>
      <c r="E166" t="s">
        <v>330</v>
      </c>
      <c r="F166" t="s">
        <v>9</v>
      </c>
      <c r="G166" t="s">
        <v>14</v>
      </c>
      <c r="H166">
        <v>0.99999300000000002</v>
      </c>
      <c r="I166">
        <v>0.99999994000000003</v>
      </c>
      <c r="J166">
        <v>0.76821459999999997</v>
      </c>
      <c r="K166">
        <f t="shared" si="7"/>
        <v>1</v>
      </c>
      <c r="L166">
        <f t="shared" si="8"/>
        <v>1</v>
      </c>
      <c r="M166">
        <f t="shared" si="9"/>
        <v>1</v>
      </c>
    </row>
    <row r="167" spans="1:13" x14ac:dyDescent="0.2">
      <c r="A167" t="s">
        <v>2001</v>
      </c>
      <c r="B167" t="s">
        <v>2894</v>
      </c>
      <c r="C167" t="s">
        <v>2891</v>
      </c>
      <c r="D167" t="s">
        <v>331</v>
      </c>
      <c r="E167" t="s">
        <v>332</v>
      </c>
      <c r="F167" t="s">
        <v>13</v>
      </c>
      <c r="G167" t="s">
        <v>14</v>
      </c>
      <c r="H167">
        <v>0.99999919999999998</v>
      </c>
      <c r="I167" s="1">
        <v>5.442384E-8</v>
      </c>
      <c r="J167" s="1">
        <v>2.1472026999999998E-11</v>
      </c>
      <c r="K167">
        <f t="shared" si="7"/>
        <v>1</v>
      </c>
      <c r="L167">
        <f t="shared" si="8"/>
        <v>0</v>
      </c>
      <c r="M167">
        <f t="shared" si="9"/>
        <v>0</v>
      </c>
    </row>
    <row r="168" spans="1:13" x14ac:dyDescent="0.2">
      <c r="A168" t="s">
        <v>2002</v>
      </c>
      <c r="B168" t="s">
        <v>2894</v>
      </c>
      <c r="C168" t="s">
        <v>2891</v>
      </c>
      <c r="D168" t="s">
        <v>333</v>
      </c>
      <c r="E168" t="s">
        <v>128</v>
      </c>
      <c r="F168" t="s">
        <v>13</v>
      </c>
      <c r="G168" t="s">
        <v>14</v>
      </c>
      <c r="H168">
        <v>0.99999959999999999</v>
      </c>
      <c r="I168">
        <v>0.9999903</v>
      </c>
      <c r="J168">
        <v>0.73613625999999999</v>
      </c>
      <c r="K168">
        <f t="shared" si="7"/>
        <v>1</v>
      </c>
      <c r="L168">
        <f t="shared" si="8"/>
        <v>1</v>
      </c>
      <c r="M168">
        <f t="shared" si="9"/>
        <v>1</v>
      </c>
    </row>
    <row r="169" spans="1:13" x14ac:dyDescent="0.2">
      <c r="A169" t="s">
        <v>2003</v>
      </c>
      <c r="B169" t="s">
        <v>2894</v>
      </c>
      <c r="C169" t="s">
        <v>2891</v>
      </c>
      <c r="D169" t="s">
        <v>334</v>
      </c>
      <c r="E169" t="s">
        <v>335</v>
      </c>
      <c r="F169" t="s">
        <v>17</v>
      </c>
      <c r="G169" t="s">
        <v>14</v>
      </c>
      <c r="H169">
        <v>0.99999994000000003</v>
      </c>
      <c r="I169">
        <v>0.99797619999999998</v>
      </c>
      <c r="J169">
        <v>0.99410456000000003</v>
      </c>
      <c r="K169">
        <f t="shared" si="7"/>
        <v>1</v>
      </c>
      <c r="L169">
        <f t="shared" si="8"/>
        <v>1</v>
      </c>
      <c r="M169">
        <f t="shared" si="9"/>
        <v>1</v>
      </c>
    </row>
    <row r="170" spans="1:13" x14ac:dyDescent="0.2">
      <c r="A170" t="s">
        <v>2004</v>
      </c>
      <c r="B170" t="s">
        <v>2894</v>
      </c>
      <c r="C170" t="s">
        <v>2891</v>
      </c>
      <c r="D170" t="s">
        <v>336</v>
      </c>
      <c r="E170" t="s">
        <v>266</v>
      </c>
      <c r="F170" t="s">
        <v>60</v>
      </c>
      <c r="G170" t="s">
        <v>14</v>
      </c>
      <c r="H170">
        <v>0.99789053000000005</v>
      </c>
      <c r="I170">
        <v>0.99977919999999998</v>
      </c>
      <c r="J170">
        <v>1.1672386E-2</v>
      </c>
      <c r="K170">
        <f t="shared" si="7"/>
        <v>1</v>
      </c>
      <c r="L170">
        <f t="shared" si="8"/>
        <v>1</v>
      </c>
      <c r="M170">
        <f t="shared" si="9"/>
        <v>0</v>
      </c>
    </row>
    <row r="171" spans="1:13" x14ac:dyDescent="0.2">
      <c r="A171" t="s">
        <v>2005</v>
      </c>
      <c r="B171" t="s">
        <v>2894</v>
      </c>
      <c r="C171" t="s">
        <v>2891</v>
      </c>
      <c r="D171" t="s">
        <v>337</v>
      </c>
      <c r="E171" t="s">
        <v>338</v>
      </c>
      <c r="F171" t="s">
        <v>9</v>
      </c>
      <c r="G171" t="s">
        <v>14</v>
      </c>
      <c r="H171">
        <v>4.6095476000000003E-2</v>
      </c>
      <c r="I171">
        <v>0.99999994000000003</v>
      </c>
      <c r="J171" s="1">
        <v>6.7426149999999998E-5</v>
      </c>
      <c r="K171">
        <f t="shared" si="7"/>
        <v>0</v>
      </c>
      <c r="L171">
        <f t="shared" si="8"/>
        <v>1</v>
      </c>
      <c r="M171">
        <f t="shared" si="9"/>
        <v>0</v>
      </c>
    </row>
    <row r="172" spans="1:13" x14ac:dyDescent="0.2">
      <c r="A172" t="s">
        <v>2006</v>
      </c>
      <c r="B172" t="s">
        <v>2894</v>
      </c>
      <c r="C172" t="s">
        <v>2891</v>
      </c>
      <c r="D172" t="s">
        <v>339</v>
      </c>
      <c r="E172" t="s">
        <v>340</v>
      </c>
      <c r="F172" t="s">
        <v>307</v>
      </c>
      <c r="G172" t="s">
        <v>14</v>
      </c>
      <c r="H172">
        <v>3.0850337E-4</v>
      </c>
      <c r="I172">
        <v>0.99999994000000003</v>
      </c>
      <c r="J172">
        <v>1.7909023999999999E-2</v>
      </c>
      <c r="K172">
        <f t="shared" si="7"/>
        <v>0</v>
      </c>
      <c r="L172">
        <f t="shared" si="8"/>
        <v>1</v>
      </c>
      <c r="M172">
        <f t="shared" si="9"/>
        <v>0</v>
      </c>
    </row>
    <row r="173" spans="1:13" x14ac:dyDescent="0.2">
      <c r="A173" t="s">
        <v>2007</v>
      </c>
      <c r="B173" t="s">
        <v>2894</v>
      </c>
      <c r="C173" t="s">
        <v>2891</v>
      </c>
      <c r="D173" t="s">
        <v>341</v>
      </c>
      <c r="E173" t="s">
        <v>342</v>
      </c>
      <c r="F173" t="s">
        <v>13</v>
      </c>
      <c r="G173" t="s">
        <v>14</v>
      </c>
      <c r="H173">
        <v>0.9989498</v>
      </c>
      <c r="I173">
        <v>0.99872214000000004</v>
      </c>
      <c r="J173">
        <v>0.7146015</v>
      </c>
      <c r="K173">
        <f t="shared" si="7"/>
        <v>1</v>
      </c>
      <c r="L173">
        <f t="shared" si="8"/>
        <v>1</v>
      </c>
      <c r="M173">
        <f t="shared" si="9"/>
        <v>1</v>
      </c>
    </row>
    <row r="174" spans="1:13" x14ac:dyDescent="0.2">
      <c r="A174" t="s">
        <v>2008</v>
      </c>
      <c r="B174" t="s">
        <v>2894</v>
      </c>
      <c r="C174" t="s">
        <v>2891</v>
      </c>
      <c r="D174" t="s">
        <v>343</v>
      </c>
      <c r="E174" t="s">
        <v>344</v>
      </c>
      <c r="F174" t="s">
        <v>13</v>
      </c>
      <c r="G174" t="s">
        <v>14</v>
      </c>
      <c r="H174">
        <v>0.99999755999999995</v>
      </c>
      <c r="I174">
        <v>0.99999959999999999</v>
      </c>
      <c r="J174">
        <v>0.98263012999999999</v>
      </c>
      <c r="K174">
        <f t="shared" si="7"/>
        <v>1</v>
      </c>
      <c r="L174">
        <f t="shared" si="8"/>
        <v>1</v>
      </c>
      <c r="M174">
        <f t="shared" si="9"/>
        <v>1</v>
      </c>
    </row>
    <row r="175" spans="1:13" x14ac:dyDescent="0.2">
      <c r="A175" t="s">
        <v>2009</v>
      </c>
      <c r="B175" t="s">
        <v>2894</v>
      </c>
      <c r="C175" t="s">
        <v>2891</v>
      </c>
      <c r="D175" t="e">
        <f>-VQ-LVESGG-GLVKPGGSLRLSCAASGFTF---------DDYAMS-WVRQ-A-P-G-K--G-LE-WVSSISSS------------IYIYY--A--D--SV--K---GRFTISR-D---N-A--KN----S-LYLQM---RV-EDTAVYYCARAHSYYYYSG---------------SYYFYYYAMDYWG-QGTLVTVSS</f>
        <v>#NAME?</v>
      </c>
      <c r="E175" t="s">
        <v>345</v>
      </c>
      <c r="F175" t="s">
        <v>13</v>
      </c>
      <c r="G175" t="s">
        <v>14</v>
      </c>
      <c r="H175">
        <v>0.99999994000000003</v>
      </c>
      <c r="I175">
        <v>0.99999899999999997</v>
      </c>
      <c r="J175">
        <v>0.31106060000000002</v>
      </c>
      <c r="K175">
        <f t="shared" si="7"/>
        <v>1</v>
      </c>
      <c r="L175">
        <f t="shared" si="8"/>
        <v>1</v>
      </c>
      <c r="M175">
        <f t="shared" si="9"/>
        <v>0</v>
      </c>
    </row>
    <row r="176" spans="1:13" x14ac:dyDescent="0.2">
      <c r="A176" t="s">
        <v>2010</v>
      </c>
      <c r="B176" t="s">
        <v>2894</v>
      </c>
      <c r="C176" t="s">
        <v>2891</v>
      </c>
      <c r="D176" t="s">
        <v>346</v>
      </c>
      <c r="E176" t="s">
        <v>347</v>
      </c>
      <c r="F176" t="s">
        <v>13</v>
      </c>
      <c r="G176" t="s">
        <v>14</v>
      </c>
      <c r="H176">
        <v>0.99994044999999998</v>
      </c>
      <c r="I176">
        <v>0.96509319999999998</v>
      </c>
      <c r="J176">
        <v>0.78847619999999996</v>
      </c>
      <c r="K176">
        <f t="shared" si="7"/>
        <v>1</v>
      </c>
      <c r="L176">
        <f t="shared" si="8"/>
        <v>1</v>
      </c>
      <c r="M176">
        <f t="shared" si="9"/>
        <v>1</v>
      </c>
    </row>
    <row r="177" spans="1:13" x14ac:dyDescent="0.2">
      <c r="A177" t="s">
        <v>2011</v>
      </c>
      <c r="B177" t="s">
        <v>2894</v>
      </c>
      <c r="C177" t="s">
        <v>2891</v>
      </c>
      <c r="D177" t="s">
        <v>141</v>
      </c>
      <c r="E177" t="s">
        <v>142</v>
      </c>
      <c r="F177" t="s">
        <v>9</v>
      </c>
      <c r="G177" t="s">
        <v>143</v>
      </c>
      <c r="H177" s="1">
        <v>7.1641316E-6</v>
      </c>
      <c r="I177" s="1">
        <v>1.5476132000000001E-8</v>
      </c>
      <c r="J177">
        <v>0.55569725999999997</v>
      </c>
      <c r="K177">
        <f t="shared" si="7"/>
        <v>0</v>
      </c>
      <c r="L177">
        <f t="shared" si="8"/>
        <v>0</v>
      </c>
      <c r="M177">
        <f t="shared" si="9"/>
        <v>1</v>
      </c>
    </row>
    <row r="178" spans="1:13" x14ac:dyDescent="0.2">
      <c r="A178" t="s">
        <v>2012</v>
      </c>
      <c r="B178" t="s">
        <v>2894</v>
      </c>
      <c r="C178" t="s">
        <v>2891</v>
      </c>
      <c r="D178" t="s">
        <v>348</v>
      </c>
      <c r="E178" t="s">
        <v>349</v>
      </c>
      <c r="F178" t="s">
        <v>9</v>
      </c>
      <c r="G178" t="s">
        <v>65</v>
      </c>
      <c r="H178">
        <v>0.99703779999999997</v>
      </c>
      <c r="I178" s="1">
        <v>1.6553304999999999E-6</v>
      </c>
      <c r="J178" s="1">
        <v>7.2500879999999994E-5</v>
      </c>
      <c r="K178">
        <f t="shared" si="7"/>
        <v>1</v>
      </c>
      <c r="L178">
        <f t="shared" si="8"/>
        <v>0</v>
      </c>
      <c r="M178">
        <f t="shared" si="9"/>
        <v>0</v>
      </c>
    </row>
    <row r="179" spans="1:13" x14ac:dyDescent="0.2">
      <c r="A179" t="s">
        <v>2013</v>
      </c>
      <c r="B179" t="s">
        <v>2894</v>
      </c>
      <c r="C179" t="s">
        <v>2891</v>
      </c>
      <c r="D179" t="s">
        <v>350</v>
      </c>
      <c r="E179" t="s">
        <v>351</v>
      </c>
      <c r="F179" t="s">
        <v>13</v>
      </c>
      <c r="G179" t="s">
        <v>65</v>
      </c>
      <c r="H179">
        <v>0.2946918</v>
      </c>
      <c r="I179">
        <v>0.99999994000000003</v>
      </c>
      <c r="J179">
        <v>3.0563112E-2</v>
      </c>
      <c r="K179">
        <f t="shared" si="7"/>
        <v>0</v>
      </c>
      <c r="L179">
        <f t="shared" si="8"/>
        <v>1</v>
      </c>
      <c r="M179">
        <f t="shared" si="9"/>
        <v>0</v>
      </c>
    </row>
    <row r="180" spans="1:13" x14ac:dyDescent="0.2">
      <c r="A180" t="s">
        <v>2014</v>
      </c>
      <c r="B180" t="s">
        <v>2894</v>
      </c>
      <c r="C180" t="s">
        <v>2891</v>
      </c>
      <c r="D180" t="e">
        <f>-VQ-LVESGG-GLVQPGGSLRLSCAASGFNI---------SSSSIH-WVRQ-A-P-G-K--G-LE-WVASIYSY-----------YGYTYY--A--D--SV--K---GRFTISA-D---T-S--KN----T-AYLQMNSLRA-EDTAVYYCARSRQFW------------------------YSGLDYWG-QGTLVTVFN</f>
        <v>#NAME?</v>
      </c>
      <c r="E180" t="s">
        <v>352</v>
      </c>
      <c r="F180" t="s">
        <v>13</v>
      </c>
      <c r="G180" t="s">
        <v>14</v>
      </c>
      <c r="H180">
        <v>0.99999802999999998</v>
      </c>
      <c r="I180">
        <v>0.99997309999999995</v>
      </c>
      <c r="J180">
        <v>0.98395043999999998</v>
      </c>
      <c r="K180">
        <f t="shared" si="7"/>
        <v>1</v>
      </c>
      <c r="L180">
        <f t="shared" si="8"/>
        <v>1</v>
      </c>
      <c r="M180">
        <f t="shared" si="9"/>
        <v>1</v>
      </c>
    </row>
    <row r="181" spans="1:13" x14ac:dyDescent="0.2">
      <c r="A181" t="s">
        <v>2015</v>
      </c>
      <c r="B181" t="s">
        <v>2894</v>
      </c>
      <c r="C181" t="s">
        <v>2891</v>
      </c>
      <c r="D181" t="s">
        <v>353</v>
      </c>
      <c r="E181" t="s">
        <v>354</v>
      </c>
      <c r="F181" t="s">
        <v>9</v>
      </c>
      <c r="G181" t="s">
        <v>14</v>
      </c>
      <c r="H181">
        <v>0.99830675000000002</v>
      </c>
      <c r="I181">
        <v>0.99999994000000003</v>
      </c>
      <c r="J181">
        <v>0.10383773</v>
      </c>
      <c r="K181">
        <f t="shared" si="7"/>
        <v>1</v>
      </c>
      <c r="L181">
        <f t="shared" si="8"/>
        <v>1</v>
      </c>
      <c r="M181">
        <f t="shared" si="9"/>
        <v>0</v>
      </c>
    </row>
    <row r="182" spans="1:13" x14ac:dyDescent="0.2">
      <c r="A182" t="s">
        <v>2016</v>
      </c>
      <c r="B182" t="s">
        <v>2894</v>
      </c>
      <c r="C182" t="s">
        <v>2891</v>
      </c>
      <c r="D182" t="s">
        <v>355</v>
      </c>
      <c r="E182" t="s">
        <v>356</v>
      </c>
      <c r="F182" t="s">
        <v>13</v>
      </c>
      <c r="G182" t="s">
        <v>14</v>
      </c>
      <c r="H182">
        <v>0.99995655000000006</v>
      </c>
      <c r="I182">
        <v>0.99999994000000003</v>
      </c>
      <c r="J182">
        <v>2.1776396000000001E-3</v>
      </c>
      <c r="K182">
        <f t="shared" si="7"/>
        <v>1</v>
      </c>
      <c r="L182">
        <f t="shared" si="8"/>
        <v>1</v>
      </c>
      <c r="M182">
        <f t="shared" si="9"/>
        <v>0</v>
      </c>
    </row>
    <row r="183" spans="1:13" x14ac:dyDescent="0.2">
      <c r="A183" t="s">
        <v>2017</v>
      </c>
      <c r="B183" t="s">
        <v>2894</v>
      </c>
      <c r="C183" t="s">
        <v>2891</v>
      </c>
      <c r="D183" t="e">
        <f>-VQ-LQQSGP-GLVKPSQTLSLTCTVSGGSIS--------NTYFWS-WIRQ-S-P-G-K--G-LQ-WIGYINRA------------TGVNI--P--A--RF--AS--GQATISA-D---L-S--TD----T-AYLQLSSLTS-EDSAVYYCARKYDSS-----------------------GYYGMDVWG-QGTTVTVSS</f>
        <v>#NAME?</v>
      </c>
      <c r="E183" t="s">
        <v>357</v>
      </c>
      <c r="F183" t="s">
        <v>17</v>
      </c>
      <c r="G183" t="s">
        <v>65</v>
      </c>
      <c r="H183">
        <v>0.89390749999999997</v>
      </c>
      <c r="I183">
        <v>0.99999994000000003</v>
      </c>
      <c r="J183">
        <v>8.2640825000000005E-3</v>
      </c>
      <c r="K183">
        <f t="shared" si="7"/>
        <v>1</v>
      </c>
      <c r="L183">
        <f t="shared" si="8"/>
        <v>1</v>
      </c>
      <c r="M183">
        <f t="shared" si="9"/>
        <v>0</v>
      </c>
    </row>
    <row r="184" spans="1:13" x14ac:dyDescent="0.2">
      <c r="A184" t="s">
        <v>2018</v>
      </c>
      <c r="B184" t="s">
        <v>2894</v>
      </c>
      <c r="C184" t="s">
        <v>2891</v>
      </c>
      <c r="D184" t="s">
        <v>358</v>
      </c>
      <c r="E184" t="s">
        <v>359</v>
      </c>
      <c r="F184" t="s">
        <v>9</v>
      </c>
      <c r="G184" t="s">
        <v>14</v>
      </c>
      <c r="H184">
        <v>1.9127673000000001E-2</v>
      </c>
      <c r="I184">
        <v>0.60220724000000003</v>
      </c>
      <c r="J184">
        <v>0.98628000000000005</v>
      </c>
      <c r="K184">
        <f t="shared" si="7"/>
        <v>0</v>
      </c>
      <c r="L184">
        <f t="shared" si="8"/>
        <v>1</v>
      </c>
      <c r="M184">
        <f t="shared" si="9"/>
        <v>1</v>
      </c>
    </row>
    <row r="185" spans="1:13" x14ac:dyDescent="0.2">
      <c r="A185" t="s">
        <v>2019</v>
      </c>
      <c r="B185" t="s">
        <v>2894</v>
      </c>
      <c r="C185" t="s">
        <v>2891</v>
      </c>
      <c r="D185" t="e">
        <f>-MQ-LVQSGA-EVKKPGASVKVSCKASGYTF---------TGYYMN-WVRQ-A-P-G-Q--G-LE-WMGWINKS------------GNTYY--N--E--KF--K---GKATFTA-D---T-S--SN----T-AYMQLSSLTS-EDSAVYYCVSRNDYRY----------------------VDDYFDYWG-QGTTLTVSS</f>
        <v>#NAME?</v>
      </c>
      <c r="E185" t="s">
        <v>360</v>
      </c>
      <c r="F185" t="s">
        <v>9</v>
      </c>
      <c r="G185" t="s">
        <v>65</v>
      </c>
      <c r="H185">
        <v>0.9918013</v>
      </c>
      <c r="I185">
        <v>0.99999994000000003</v>
      </c>
      <c r="J185">
        <v>1.1760252000000001E-2</v>
      </c>
      <c r="K185">
        <f t="shared" si="7"/>
        <v>1</v>
      </c>
      <c r="L185">
        <f t="shared" si="8"/>
        <v>1</v>
      </c>
      <c r="M185">
        <f t="shared" si="9"/>
        <v>0</v>
      </c>
    </row>
    <row r="186" spans="1:13" x14ac:dyDescent="0.2">
      <c r="A186" t="s">
        <v>2020</v>
      </c>
      <c r="B186" t="s">
        <v>2894</v>
      </c>
      <c r="C186" t="s">
        <v>2891</v>
      </c>
      <c r="D186" t="s">
        <v>361</v>
      </c>
      <c r="E186" t="s">
        <v>362</v>
      </c>
      <c r="F186" t="s">
        <v>13</v>
      </c>
      <c r="G186" t="s">
        <v>14</v>
      </c>
      <c r="H186">
        <v>0.99999830000000001</v>
      </c>
      <c r="I186">
        <v>0.99997526000000003</v>
      </c>
      <c r="J186">
        <v>0.37604868000000002</v>
      </c>
      <c r="K186">
        <f t="shared" si="7"/>
        <v>1</v>
      </c>
      <c r="L186">
        <f t="shared" si="8"/>
        <v>1</v>
      </c>
      <c r="M186">
        <f t="shared" si="9"/>
        <v>0</v>
      </c>
    </row>
    <row r="187" spans="1:13" x14ac:dyDescent="0.2">
      <c r="A187" t="s">
        <v>2021</v>
      </c>
      <c r="B187" t="s">
        <v>2894</v>
      </c>
      <c r="C187" t="s">
        <v>2891</v>
      </c>
      <c r="D187" t="s">
        <v>363</v>
      </c>
      <c r="E187" t="s">
        <v>364</v>
      </c>
      <c r="F187" t="s">
        <v>9</v>
      </c>
      <c r="G187" t="s">
        <v>36</v>
      </c>
      <c r="H187">
        <v>0.27735340000000003</v>
      </c>
      <c r="I187" s="1">
        <v>3.0777505E-6</v>
      </c>
      <c r="J187" s="1">
        <v>1.6136235E-6</v>
      </c>
      <c r="K187">
        <f t="shared" si="7"/>
        <v>0</v>
      </c>
      <c r="L187">
        <f t="shared" si="8"/>
        <v>0</v>
      </c>
      <c r="M187">
        <f t="shared" si="9"/>
        <v>0</v>
      </c>
    </row>
    <row r="188" spans="1:13" x14ac:dyDescent="0.2">
      <c r="A188" t="s">
        <v>2022</v>
      </c>
      <c r="B188" t="s">
        <v>2894</v>
      </c>
      <c r="C188" t="s">
        <v>2891</v>
      </c>
      <c r="D188" t="s">
        <v>365</v>
      </c>
      <c r="E188" t="s">
        <v>79</v>
      </c>
      <c r="F188" t="s">
        <v>13</v>
      </c>
      <c r="G188" t="s">
        <v>14</v>
      </c>
      <c r="H188">
        <v>0.99999720000000003</v>
      </c>
      <c r="I188">
        <v>0.99999994000000003</v>
      </c>
      <c r="J188">
        <v>0.99999910000000003</v>
      </c>
      <c r="K188">
        <f t="shared" si="7"/>
        <v>1</v>
      </c>
      <c r="L188">
        <f t="shared" si="8"/>
        <v>1</v>
      </c>
      <c r="M188">
        <f t="shared" si="9"/>
        <v>1</v>
      </c>
    </row>
    <row r="189" spans="1:13" x14ac:dyDescent="0.2">
      <c r="A189" t="s">
        <v>2023</v>
      </c>
      <c r="B189" t="s">
        <v>2894</v>
      </c>
      <c r="C189" t="s">
        <v>2891</v>
      </c>
      <c r="D189" t="s">
        <v>366</v>
      </c>
      <c r="E189" t="s">
        <v>367</v>
      </c>
      <c r="F189" t="s">
        <v>9</v>
      </c>
      <c r="G189" t="s">
        <v>14</v>
      </c>
      <c r="H189">
        <v>0.88657147000000003</v>
      </c>
      <c r="I189" s="1">
        <v>1.9434486999999999E-9</v>
      </c>
      <c r="J189" s="1">
        <v>1.2651387999999999E-5</v>
      </c>
      <c r="K189">
        <f t="shared" si="7"/>
        <v>1</v>
      </c>
      <c r="L189">
        <f t="shared" si="8"/>
        <v>0</v>
      </c>
      <c r="M189">
        <f t="shared" si="9"/>
        <v>0</v>
      </c>
    </row>
    <row r="190" spans="1:13" x14ac:dyDescent="0.2">
      <c r="A190" t="s">
        <v>2024</v>
      </c>
      <c r="B190" t="s">
        <v>2894</v>
      </c>
      <c r="C190" t="s">
        <v>2891</v>
      </c>
      <c r="D190" t="s">
        <v>141</v>
      </c>
      <c r="E190" t="s">
        <v>142</v>
      </c>
      <c r="F190" t="s">
        <v>9</v>
      </c>
      <c r="G190" t="s">
        <v>143</v>
      </c>
      <c r="H190" s="1">
        <v>7.1641316E-6</v>
      </c>
      <c r="I190" s="1">
        <v>1.5476132000000001E-8</v>
      </c>
      <c r="J190">
        <v>0.55569725999999997</v>
      </c>
      <c r="K190">
        <f t="shared" si="7"/>
        <v>0</v>
      </c>
      <c r="L190">
        <f t="shared" si="8"/>
        <v>0</v>
      </c>
      <c r="M190">
        <f t="shared" si="9"/>
        <v>1</v>
      </c>
    </row>
    <row r="191" spans="1:13" x14ac:dyDescent="0.2">
      <c r="A191" t="s">
        <v>2025</v>
      </c>
      <c r="B191" t="s">
        <v>2894</v>
      </c>
      <c r="C191" t="s">
        <v>2891</v>
      </c>
      <c r="D191" t="s">
        <v>368</v>
      </c>
      <c r="E191" t="s">
        <v>369</v>
      </c>
      <c r="F191" t="s">
        <v>370</v>
      </c>
      <c r="G191" t="s">
        <v>371</v>
      </c>
      <c r="H191">
        <v>0.94473885999999996</v>
      </c>
      <c r="I191" s="1">
        <v>4.8687340000000002E-6</v>
      </c>
      <c r="J191">
        <v>0.95380836999999996</v>
      </c>
      <c r="K191">
        <f t="shared" si="7"/>
        <v>1</v>
      </c>
      <c r="L191">
        <f t="shared" si="8"/>
        <v>0</v>
      </c>
      <c r="M191">
        <f t="shared" si="9"/>
        <v>1</v>
      </c>
    </row>
    <row r="192" spans="1:13" x14ac:dyDescent="0.2">
      <c r="A192" t="s">
        <v>2026</v>
      </c>
      <c r="B192" t="s">
        <v>2894</v>
      </c>
      <c r="C192" t="s">
        <v>2891</v>
      </c>
      <c r="D192" t="s">
        <v>372</v>
      </c>
      <c r="E192" t="s">
        <v>373</v>
      </c>
      <c r="F192" t="s">
        <v>13</v>
      </c>
      <c r="G192" t="s">
        <v>14</v>
      </c>
      <c r="H192">
        <v>0.99999979999999999</v>
      </c>
      <c r="I192">
        <v>0.99999945999999995</v>
      </c>
      <c r="J192">
        <v>0.73551564999999997</v>
      </c>
      <c r="K192">
        <f t="shared" si="7"/>
        <v>1</v>
      </c>
      <c r="L192">
        <f t="shared" si="8"/>
        <v>1</v>
      </c>
      <c r="M192">
        <f t="shared" si="9"/>
        <v>1</v>
      </c>
    </row>
    <row r="193" spans="1:13" x14ac:dyDescent="0.2">
      <c r="A193" t="s">
        <v>2027</v>
      </c>
      <c r="B193" t="s">
        <v>2894</v>
      </c>
      <c r="C193" t="s">
        <v>2891</v>
      </c>
      <c r="D193" t="s">
        <v>374</v>
      </c>
      <c r="E193" t="s">
        <v>375</v>
      </c>
      <c r="F193" t="s">
        <v>13</v>
      </c>
      <c r="G193" t="s">
        <v>14</v>
      </c>
      <c r="H193">
        <v>0.98735280000000003</v>
      </c>
      <c r="I193">
        <v>0.99980899999999995</v>
      </c>
      <c r="J193">
        <v>4.9062359999999999E-2</v>
      </c>
      <c r="K193">
        <f t="shared" si="7"/>
        <v>1</v>
      </c>
      <c r="L193">
        <f t="shared" si="8"/>
        <v>1</v>
      </c>
      <c r="M193">
        <f t="shared" si="9"/>
        <v>0</v>
      </c>
    </row>
    <row r="194" spans="1:13" x14ac:dyDescent="0.2">
      <c r="A194" t="s">
        <v>2028</v>
      </c>
      <c r="B194" t="s">
        <v>2894</v>
      </c>
      <c r="C194" t="s">
        <v>2891</v>
      </c>
      <c r="D194" t="s">
        <v>141</v>
      </c>
      <c r="E194" t="s">
        <v>376</v>
      </c>
      <c r="F194" t="s">
        <v>9</v>
      </c>
      <c r="G194" t="s">
        <v>143</v>
      </c>
      <c r="H194" s="1">
        <v>7.1641316E-6</v>
      </c>
      <c r="I194" s="1">
        <v>9.666698999999999E-10</v>
      </c>
      <c r="J194">
        <v>4.9399159999999998E-2</v>
      </c>
      <c r="K194">
        <f t="shared" si="7"/>
        <v>0</v>
      </c>
      <c r="L194">
        <f t="shared" si="8"/>
        <v>0</v>
      </c>
      <c r="M194">
        <f t="shared" si="9"/>
        <v>0</v>
      </c>
    </row>
    <row r="195" spans="1:13" x14ac:dyDescent="0.2">
      <c r="A195" t="s">
        <v>2029</v>
      </c>
      <c r="B195" t="s">
        <v>2894</v>
      </c>
      <c r="C195" t="s">
        <v>2891</v>
      </c>
      <c r="D195" t="s">
        <v>377</v>
      </c>
      <c r="E195" t="s">
        <v>378</v>
      </c>
      <c r="F195" t="s">
        <v>9</v>
      </c>
      <c r="G195" t="s">
        <v>14</v>
      </c>
      <c r="H195">
        <v>0.1608242</v>
      </c>
      <c r="I195">
        <v>0.99999994000000003</v>
      </c>
      <c r="J195">
        <v>0.99996894999999997</v>
      </c>
      <c r="K195">
        <f t="shared" ref="K195:K258" si="10">IF(H195&gt;=0.5,1,0)</f>
        <v>0</v>
      </c>
      <c r="L195">
        <f t="shared" ref="L195:L258" si="11">IF(I195&gt;=0.5,1,0)</f>
        <v>1</v>
      </c>
      <c r="M195">
        <f t="shared" ref="M195:M258" si="12">IF(J195&gt;=0.5,1,0)</f>
        <v>1</v>
      </c>
    </row>
    <row r="196" spans="1:13" x14ac:dyDescent="0.2">
      <c r="A196" t="s">
        <v>2030</v>
      </c>
      <c r="B196" t="s">
        <v>2894</v>
      </c>
      <c r="C196" t="s">
        <v>2891</v>
      </c>
      <c r="D196" t="s">
        <v>379</v>
      </c>
      <c r="E196" t="s">
        <v>380</v>
      </c>
      <c r="F196" t="s">
        <v>13</v>
      </c>
      <c r="G196" t="s">
        <v>14</v>
      </c>
      <c r="H196">
        <v>0.99999994000000003</v>
      </c>
      <c r="I196">
        <v>0.99999839999999995</v>
      </c>
      <c r="J196">
        <v>2.3776100000000001E-2</v>
      </c>
      <c r="K196">
        <f t="shared" si="10"/>
        <v>1</v>
      </c>
      <c r="L196">
        <f t="shared" si="11"/>
        <v>1</v>
      </c>
      <c r="M196">
        <f t="shared" si="12"/>
        <v>0</v>
      </c>
    </row>
    <row r="197" spans="1:13" x14ac:dyDescent="0.2">
      <c r="A197" t="s">
        <v>2031</v>
      </c>
      <c r="B197" t="s">
        <v>2894</v>
      </c>
      <c r="C197" t="s">
        <v>2891</v>
      </c>
      <c r="D197" t="s">
        <v>381</v>
      </c>
      <c r="E197" t="s">
        <v>382</v>
      </c>
      <c r="F197" t="s">
        <v>13</v>
      </c>
      <c r="G197" t="s">
        <v>14</v>
      </c>
      <c r="H197">
        <v>0.99999994000000003</v>
      </c>
      <c r="I197">
        <v>0.99999994000000003</v>
      </c>
      <c r="J197">
        <v>0.98198510000000006</v>
      </c>
      <c r="K197">
        <f t="shared" si="10"/>
        <v>1</v>
      </c>
      <c r="L197">
        <f t="shared" si="11"/>
        <v>1</v>
      </c>
      <c r="M197">
        <f t="shared" si="12"/>
        <v>1</v>
      </c>
    </row>
    <row r="198" spans="1:13" x14ac:dyDescent="0.2">
      <c r="A198" t="s">
        <v>2032</v>
      </c>
      <c r="B198" t="s">
        <v>2894</v>
      </c>
      <c r="C198" t="s">
        <v>2891</v>
      </c>
      <c r="D198" t="s">
        <v>383</v>
      </c>
      <c r="E198" t="s">
        <v>384</v>
      </c>
      <c r="F198" t="s">
        <v>17</v>
      </c>
      <c r="G198" t="s">
        <v>212</v>
      </c>
      <c r="H198" s="1">
        <v>8.8231594000000001E-5</v>
      </c>
      <c r="I198" s="1">
        <v>1.3162122E-6</v>
      </c>
      <c r="J198">
        <v>1.3975456000000001E-2</v>
      </c>
      <c r="K198">
        <f t="shared" si="10"/>
        <v>0</v>
      </c>
      <c r="L198">
        <f t="shared" si="11"/>
        <v>0</v>
      </c>
      <c r="M198">
        <f t="shared" si="12"/>
        <v>0</v>
      </c>
    </row>
    <row r="199" spans="1:13" x14ac:dyDescent="0.2">
      <c r="A199" t="s">
        <v>2033</v>
      </c>
      <c r="B199" t="s">
        <v>2894</v>
      </c>
      <c r="C199" t="s">
        <v>2891</v>
      </c>
      <c r="D199" t="e">
        <f>-VQ-LVESGG-GLVKPGGSLRLSCAASGFTF---------SSYAMS-WVRQ-A-P-G-K--G-LE-WVSSISSS-----------SSYIYY--A--D--SV--K---GRFTISR-D---N-A--KN----S-LFLQMNSLRA-EDTAVYYCARVNGSS-----------------------VAVAFDYWG-QGTLVTVSS</f>
        <v>#NAME?</v>
      </c>
      <c r="E199" t="s">
        <v>385</v>
      </c>
      <c r="F199" t="s">
        <v>13</v>
      </c>
      <c r="G199" t="s">
        <v>65</v>
      </c>
      <c r="H199">
        <v>0.99998253999999998</v>
      </c>
      <c r="I199">
        <v>0.99999994000000003</v>
      </c>
      <c r="J199">
        <v>0.99976516000000004</v>
      </c>
      <c r="K199">
        <f t="shared" si="10"/>
        <v>1</v>
      </c>
      <c r="L199">
        <f t="shared" si="11"/>
        <v>1</v>
      </c>
      <c r="M199">
        <f t="shared" si="12"/>
        <v>1</v>
      </c>
    </row>
    <row r="200" spans="1:13" x14ac:dyDescent="0.2">
      <c r="A200" t="s">
        <v>2034</v>
      </c>
      <c r="B200" t="s">
        <v>2894</v>
      </c>
      <c r="C200" t="s">
        <v>2891</v>
      </c>
      <c r="D200" t="s">
        <v>386</v>
      </c>
      <c r="E200" t="s">
        <v>387</v>
      </c>
      <c r="F200" t="s">
        <v>13</v>
      </c>
      <c r="G200" t="s">
        <v>40</v>
      </c>
      <c r="H200">
        <v>0.99993973999999997</v>
      </c>
      <c r="I200">
        <v>0.99999994000000003</v>
      </c>
      <c r="J200">
        <v>2.1672443999999999E-2</v>
      </c>
      <c r="K200">
        <f t="shared" si="10"/>
        <v>1</v>
      </c>
      <c r="L200">
        <f t="shared" si="11"/>
        <v>1</v>
      </c>
      <c r="M200">
        <f t="shared" si="12"/>
        <v>0</v>
      </c>
    </row>
    <row r="201" spans="1:13" x14ac:dyDescent="0.2">
      <c r="A201" t="s">
        <v>2035</v>
      </c>
      <c r="B201" t="s">
        <v>2894</v>
      </c>
      <c r="C201" t="s">
        <v>2891</v>
      </c>
      <c r="D201" t="s">
        <v>388</v>
      </c>
      <c r="E201" t="s">
        <v>389</v>
      </c>
      <c r="F201" t="s">
        <v>17</v>
      </c>
      <c r="G201" t="s">
        <v>14</v>
      </c>
      <c r="H201">
        <v>0.99995213999999999</v>
      </c>
      <c r="I201" s="1">
        <v>9.1157966E-7</v>
      </c>
      <c r="J201">
        <v>0.33194216999999998</v>
      </c>
      <c r="K201">
        <f t="shared" si="10"/>
        <v>1</v>
      </c>
      <c r="L201">
        <f t="shared" si="11"/>
        <v>0</v>
      </c>
      <c r="M201">
        <f t="shared" si="12"/>
        <v>0</v>
      </c>
    </row>
    <row r="202" spans="1:13" x14ac:dyDescent="0.2">
      <c r="A202" t="s">
        <v>2036</v>
      </c>
      <c r="B202" t="s">
        <v>2895</v>
      </c>
      <c r="C202" t="s">
        <v>2891</v>
      </c>
      <c r="D202" t="s">
        <v>390</v>
      </c>
      <c r="E202" t="s">
        <v>391</v>
      </c>
      <c r="F202" t="s">
        <v>9</v>
      </c>
      <c r="G202" t="s">
        <v>65</v>
      </c>
      <c r="H202">
        <v>0.99999945999999995</v>
      </c>
      <c r="I202">
        <v>0.99514765000000005</v>
      </c>
      <c r="J202">
        <v>0.18926807000000001</v>
      </c>
      <c r="K202">
        <f t="shared" si="10"/>
        <v>1</v>
      </c>
      <c r="L202">
        <f t="shared" si="11"/>
        <v>1</v>
      </c>
      <c r="M202">
        <f t="shared" si="12"/>
        <v>0</v>
      </c>
    </row>
    <row r="203" spans="1:13" x14ac:dyDescent="0.2">
      <c r="A203" t="s">
        <v>2037</v>
      </c>
      <c r="B203" t="s">
        <v>2895</v>
      </c>
      <c r="C203" t="s">
        <v>2891</v>
      </c>
      <c r="D203" t="s">
        <v>392</v>
      </c>
      <c r="E203" t="s">
        <v>79</v>
      </c>
      <c r="F203" t="s">
        <v>13</v>
      </c>
      <c r="G203" t="s">
        <v>14</v>
      </c>
      <c r="H203">
        <v>0.99470709999999996</v>
      </c>
      <c r="I203">
        <v>0.99999994000000003</v>
      </c>
      <c r="J203">
        <v>0.99998944999999995</v>
      </c>
      <c r="K203">
        <f t="shared" si="10"/>
        <v>1</v>
      </c>
      <c r="L203">
        <f t="shared" si="11"/>
        <v>1</v>
      </c>
      <c r="M203">
        <f t="shared" si="12"/>
        <v>1</v>
      </c>
    </row>
    <row r="204" spans="1:13" x14ac:dyDescent="0.2">
      <c r="A204" t="s">
        <v>2038</v>
      </c>
      <c r="B204" t="s">
        <v>2895</v>
      </c>
      <c r="C204" t="s">
        <v>2891</v>
      </c>
      <c r="D204" t="s">
        <v>393</v>
      </c>
      <c r="E204" t="s">
        <v>394</v>
      </c>
      <c r="F204" t="s">
        <v>13</v>
      </c>
      <c r="G204" t="s">
        <v>14</v>
      </c>
      <c r="H204">
        <v>0.99999959999999999</v>
      </c>
      <c r="I204">
        <v>0.99999979999999999</v>
      </c>
      <c r="J204">
        <v>0.99914133999999999</v>
      </c>
      <c r="K204">
        <f t="shared" si="10"/>
        <v>1</v>
      </c>
      <c r="L204">
        <f t="shared" si="11"/>
        <v>1</v>
      </c>
      <c r="M204">
        <f t="shared" si="12"/>
        <v>1</v>
      </c>
    </row>
    <row r="205" spans="1:13" x14ac:dyDescent="0.2">
      <c r="A205" t="s">
        <v>2039</v>
      </c>
      <c r="B205" t="s">
        <v>2895</v>
      </c>
      <c r="C205" t="s">
        <v>2891</v>
      </c>
      <c r="D205" t="s">
        <v>395</v>
      </c>
      <c r="E205" t="s">
        <v>396</v>
      </c>
      <c r="F205" t="s">
        <v>9</v>
      </c>
      <c r="G205" t="s">
        <v>65</v>
      </c>
      <c r="H205">
        <v>0.97728139999999997</v>
      </c>
      <c r="I205">
        <v>0.99999994000000003</v>
      </c>
      <c r="J205" s="1">
        <v>3.1975790000000002E-6</v>
      </c>
      <c r="K205">
        <f t="shared" si="10"/>
        <v>1</v>
      </c>
      <c r="L205">
        <f t="shared" si="11"/>
        <v>1</v>
      </c>
      <c r="M205">
        <f t="shared" si="12"/>
        <v>0</v>
      </c>
    </row>
    <row r="206" spans="1:13" x14ac:dyDescent="0.2">
      <c r="A206" t="s">
        <v>2040</v>
      </c>
      <c r="B206" t="s">
        <v>2895</v>
      </c>
      <c r="C206" t="s">
        <v>2891</v>
      </c>
      <c r="D206" t="e">
        <f>-VQ-LEESGG-GLVQPGGSLRLSCAASGYTFT--------SGYYIH-WVRQ-A-P-G-K--G-LE-WVAAIDQG------------SYSYY--A--D--SV--K---GRFTISR-D---N-S--KN----T-LYLQMNSLRA-EDTAVYYCARDNAY-------------------------KYGMDVWG-QGTTVTVSS</f>
        <v>#NAME?</v>
      </c>
      <c r="E206" t="s">
        <v>397</v>
      </c>
      <c r="F206" t="s">
        <v>13</v>
      </c>
      <c r="G206" t="s">
        <v>14</v>
      </c>
      <c r="H206">
        <v>0.99999576999999995</v>
      </c>
      <c r="I206">
        <v>0.99996490000000005</v>
      </c>
      <c r="J206">
        <v>0.96152420000000005</v>
      </c>
      <c r="K206">
        <f t="shared" si="10"/>
        <v>1</v>
      </c>
      <c r="L206">
        <f t="shared" si="11"/>
        <v>1</v>
      </c>
      <c r="M206">
        <f t="shared" si="12"/>
        <v>1</v>
      </c>
    </row>
    <row r="207" spans="1:13" x14ac:dyDescent="0.2">
      <c r="A207" t="s">
        <v>2041</v>
      </c>
      <c r="B207" t="s">
        <v>2895</v>
      </c>
      <c r="C207" t="s">
        <v>2891</v>
      </c>
      <c r="D207" t="s">
        <v>398</v>
      </c>
      <c r="E207" t="s">
        <v>399</v>
      </c>
      <c r="F207" t="s">
        <v>9</v>
      </c>
      <c r="G207" t="s">
        <v>14</v>
      </c>
      <c r="H207">
        <v>0.99999994000000003</v>
      </c>
      <c r="I207">
        <v>0.99999994000000003</v>
      </c>
      <c r="J207" s="1">
        <v>1.7109416E-5</v>
      </c>
      <c r="K207">
        <f t="shared" si="10"/>
        <v>1</v>
      </c>
      <c r="L207">
        <f t="shared" si="11"/>
        <v>1</v>
      </c>
      <c r="M207">
        <f t="shared" si="12"/>
        <v>0</v>
      </c>
    </row>
    <row r="208" spans="1:13" x14ac:dyDescent="0.2">
      <c r="A208" t="s">
        <v>2042</v>
      </c>
      <c r="B208" t="s">
        <v>2895</v>
      </c>
      <c r="C208" t="s">
        <v>2891</v>
      </c>
      <c r="D208" t="s">
        <v>400</v>
      </c>
      <c r="E208" t="s">
        <v>401</v>
      </c>
      <c r="F208" t="s">
        <v>370</v>
      </c>
      <c r="G208" t="s">
        <v>40</v>
      </c>
      <c r="H208">
        <v>0.44175199999999998</v>
      </c>
      <c r="I208">
        <v>0.99999994000000003</v>
      </c>
      <c r="J208" s="1">
        <v>2.0008970000000001E-8</v>
      </c>
      <c r="K208">
        <f t="shared" si="10"/>
        <v>0</v>
      </c>
      <c r="L208">
        <f t="shared" si="11"/>
        <v>1</v>
      </c>
      <c r="M208">
        <f t="shared" si="12"/>
        <v>0</v>
      </c>
    </row>
    <row r="209" spans="1:13" x14ac:dyDescent="0.2">
      <c r="A209" t="s">
        <v>2043</v>
      </c>
      <c r="B209" t="s">
        <v>2895</v>
      </c>
      <c r="C209" t="s">
        <v>2891</v>
      </c>
      <c r="D209" t="s">
        <v>402</v>
      </c>
      <c r="E209" t="s">
        <v>403</v>
      </c>
      <c r="F209" t="s">
        <v>13</v>
      </c>
      <c r="G209" t="s">
        <v>14</v>
      </c>
      <c r="H209">
        <v>0.99999994000000003</v>
      </c>
      <c r="I209">
        <v>0.99999994000000003</v>
      </c>
      <c r="J209">
        <v>0.99952490000000005</v>
      </c>
      <c r="K209">
        <f t="shared" si="10"/>
        <v>1</v>
      </c>
      <c r="L209">
        <f t="shared" si="11"/>
        <v>1</v>
      </c>
      <c r="M209">
        <f t="shared" si="12"/>
        <v>1</v>
      </c>
    </row>
    <row r="210" spans="1:13" x14ac:dyDescent="0.2">
      <c r="A210" t="s">
        <v>2044</v>
      </c>
      <c r="B210" t="s">
        <v>2895</v>
      </c>
      <c r="C210" t="s">
        <v>2891</v>
      </c>
      <c r="D210" t="e">
        <f>-VQ-LVESGG-GLVQPGGSLRLSCAASGFNV---------YSSSIH-WVRQ-A-P-G-K--G-LE-WVASIYSY-----------SGSTYY--A--D--SV--K---GRFTISA-D---T-S--KN----T-AYLQMNSLRA-EDTAVYYCARWGYW--------------------------SYFDYWG-QGTLVTVSS</f>
        <v>#NAME?</v>
      </c>
      <c r="E210" t="s">
        <v>404</v>
      </c>
      <c r="F210" t="s">
        <v>13</v>
      </c>
      <c r="G210" t="s">
        <v>14</v>
      </c>
      <c r="H210">
        <v>0.99997276000000002</v>
      </c>
      <c r="I210">
        <v>0.99994439999999996</v>
      </c>
      <c r="J210">
        <v>0.96020490000000003</v>
      </c>
      <c r="K210">
        <f t="shared" si="10"/>
        <v>1</v>
      </c>
      <c r="L210">
        <f t="shared" si="11"/>
        <v>1</v>
      </c>
      <c r="M210">
        <f t="shared" si="12"/>
        <v>1</v>
      </c>
    </row>
    <row r="211" spans="1:13" x14ac:dyDescent="0.2">
      <c r="A211" t="s">
        <v>2045</v>
      </c>
      <c r="B211" t="s">
        <v>2895</v>
      </c>
      <c r="C211" t="s">
        <v>2891</v>
      </c>
      <c r="D211" t="s">
        <v>405</v>
      </c>
      <c r="E211" t="s">
        <v>406</v>
      </c>
      <c r="F211" t="s">
        <v>13</v>
      </c>
      <c r="G211" t="s">
        <v>14</v>
      </c>
      <c r="H211">
        <v>0.99999994000000003</v>
      </c>
      <c r="I211">
        <v>0.99999994000000003</v>
      </c>
      <c r="J211">
        <v>0.99996286999999995</v>
      </c>
      <c r="K211">
        <f t="shared" si="10"/>
        <v>1</v>
      </c>
      <c r="L211">
        <f t="shared" si="11"/>
        <v>1</v>
      </c>
      <c r="M211">
        <f t="shared" si="12"/>
        <v>1</v>
      </c>
    </row>
    <row r="212" spans="1:13" x14ac:dyDescent="0.2">
      <c r="A212" t="s">
        <v>2046</v>
      </c>
      <c r="B212" t="s">
        <v>2895</v>
      </c>
      <c r="C212" t="s">
        <v>2891</v>
      </c>
      <c r="D212" t="s">
        <v>407</v>
      </c>
      <c r="E212" t="s">
        <v>408</v>
      </c>
      <c r="F212" t="s">
        <v>9</v>
      </c>
      <c r="G212" t="s">
        <v>65</v>
      </c>
      <c r="H212">
        <v>0.99979969999999996</v>
      </c>
      <c r="I212" s="1">
        <v>1.0258856000000001E-6</v>
      </c>
      <c r="J212">
        <v>6.9916469999999997E-4</v>
      </c>
      <c r="K212">
        <f t="shared" si="10"/>
        <v>1</v>
      </c>
      <c r="L212">
        <f t="shared" si="11"/>
        <v>0</v>
      </c>
      <c r="M212">
        <f t="shared" si="12"/>
        <v>0</v>
      </c>
    </row>
    <row r="213" spans="1:13" x14ac:dyDescent="0.2">
      <c r="A213" t="s">
        <v>2047</v>
      </c>
      <c r="B213" t="s">
        <v>2895</v>
      </c>
      <c r="C213" t="s">
        <v>2891</v>
      </c>
      <c r="D213" t="s">
        <v>409</v>
      </c>
      <c r="E213" t="s">
        <v>410</v>
      </c>
      <c r="F213" t="s">
        <v>13</v>
      </c>
      <c r="G213" t="s">
        <v>14</v>
      </c>
      <c r="H213">
        <v>0.99999919999999998</v>
      </c>
      <c r="I213">
        <v>0.99999994000000003</v>
      </c>
      <c r="J213">
        <v>0.95728135000000003</v>
      </c>
      <c r="K213">
        <f t="shared" si="10"/>
        <v>1</v>
      </c>
      <c r="L213">
        <f t="shared" si="11"/>
        <v>1</v>
      </c>
      <c r="M213">
        <f t="shared" si="12"/>
        <v>1</v>
      </c>
    </row>
    <row r="214" spans="1:13" x14ac:dyDescent="0.2">
      <c r="A214" t="s">
        <v>2048</v>
      </c>
      <c r="B214" t="s">
        <v>2895</v>
      </c>
      <c r="C214" t="s">
        <v>2891</v>
      </c>
      <c r="D214" t="s">
        <v>411</v>
      </c>
      <c r="E214" t="s">
        <v>412</v>
      </c>
      <c r="F214" t="s">
        <v>9</v>
      </c>
      <c r="G214" t="s">
        <v>14</v>
      </c>
      <c r="H214">
        <v>0.99999959999999999</v>
      </c>
      <c r="I214">
        <v>0.99999994000000003</v>
      </c>
      <c r="J214">
        <v>0.99754982999999997</v>
      </c>
      <c r="K214">
        <f t="shared" si="10"/>
        <v>1</v>
      </c>
      <c r="L214">
        <f t="shared" si="11"/>
        <v>1</v>
      </c>
      <c r="M214">
        <f t="shared" si="12"/>
        <v>1</v>
      </c>
    </row>
    <row r="215" spans="1:13" x14ac:dyDescent="0.2">
      <c r="A215" t="s">
        <v>2049</v>
      </c>
      <c r="B215" t="s">
        <v>2895</v>
      </c>
      <c r="C215" t="s">
        <v>2891</v>
      </c>
      <c r="D215" t="s">
        <v>413</v>
      </c>
      <c r="E215" t="s">
        <v>414</v>
      </c>
      <c r="F215" t="s">
        <v>9</v>
      </c>
      <c r="G215" t="s">
        <v>14</v>
      </c>
      <c r="H215">
        <v>0.99999994000000003</v>
      </c>
      <c r="I215">
        <v>0.99619550000000001</v>
      </c>
      <c r="J215">
        <v>0.99893529999999997</v>
      </c>
      <c r="K215">
        <f t="shared" si="10"/>
        <v>1</v>
      </c>
      <c r="L215">
        <f t="shared" si="11"/>
        <v>1</v>
      </c>
      <c r="M215">
        <f t="shared" si="12"/>
        <v>1</v>
      </c>
    </row>
    <row r="216" spans="1:13" x14ac:dyDescent="0.2">
      <c r="A216" t="s">
        <v>2050</v>
      </c>
      <c r="B216" t="s">
        <v>2895</v>
      </c>
      <c r="C216" t="s">
        <v>2891</v>
      </c>
      <c r="D216" t="s">
        <v>415</v>
      </c>
      <c r="E216" t="s">
        <v>416</v>
      </c>
      <c r="F216" t="s">
        <v>13</v>
      </c>
      <c r="G216" t="s">
        <v>14</v>
      </c>
      <c r="H216">
        <v>0.99999519999999997</v>
      </c>
      <c r="I216">
        <v>0.99999994000000003</v>
      </c>
      <c r="J216">
        <v>7.1548009999999995E-2</v>
      </c>
      <c r="K216">
        <f t="shared" si="10"/>
        <v>1</v>
      </c>
      <c r="L216">
        <f t="shared" si="11"/>
        <v>1</v>
      </c>
      <c r="M216">
        <f t="shared" si="12"/>
        <v>0</v>
      </c>
    </row>
    <row r="217" spans="1:13" x14ac:dyDescent="0.2">
      <c r="A217" t="s">
        <v>2051</v>
      </c>
      <c r="B217" t="s">
        <v>2895</v>
      </c>
      <c r="C217" t="s">
        <v>2891</v>
      </c>
      <c r="D217" t="s">
        <v>417</v>
      </c>
      <c r="E217" t="s">
        <v>418</v>
      </c>
      <c r="F217" t="s">
        <v>9</v>
      </c>
      <c r="G217" t="s">
        <v>20</v>
      </c>
      <c r="H217">
        <v>0.97388476000000002</v>
      </c>
      <c r="I217">
        <v>0.99615675000000004</v>
      </c>
      <c r="J217">
        <v>2.3968939000000002E-2</v>
      </c>
      <c r="K217">
        <f t="shared" si="10"/>
        <v>1</v>
      </c>
      <c r="L217">
        <f t="shared" si="11"/>
        <v>1</v>
      </c>
      <c r="M217">
        <f t="shared" si="12"/>
        <v>0</v>
      </c>
    </row>
    <row r="218" spans="1:13" x14ac:dyDescent="0.2">
      <c r="A218" t="s">
        <v>2052</v>
      </c>
      <c r="B218" t="s">
        <v>2895</v>
      </c>
      <c r="C218" t="s">
        <v>2891</v>
      </c>
      <c r="D218" t="s">
        <v>419</v>
      </c>
      <c r="E218" t="s">
        <v>420</v>
      </c>
      <c r="F218" t="s">
        <v>17</v>
      </c>
      <c r="G218" t="s">
        <v>14</v>
      </c>
      <c r="H218">
        <v>0.99999979999999999</v>
      </c>
      <c r="I218">
        <v>0.99980999999999998</v>
      </c>
      <c r="J218">
        <v>2.6927156000000001E-2</v>
      </c>
      <c r="K218">
        <f t="shared" si="10"/>
        <v>1</v>
      </c>
      <c r="L218">
        <f t="shared" si="11"/>
        <v>1</v>
      </c>
      <c r="M218">
        <f t="shared" si="12"/>
        <v>0</v>
      </c>
    </row>
    <row r="219" spans="1:13" x14ac:dyDescent="0.2">
      <c r="A219" t="s">
        <v>2053</v>
      </c>
      <c r="B219" t="s">
        <v>2895</v>
      </c>
      <c r="C219" t="s">
        <v>2891</v>
      </c>
      <c r="D219" t="s">
        <v>421</v>
      </c>
      <c r="E219" t="s">
        <v>422</v>
      </c>
      <c r="F219" t="s">
        <v>17</v>
      </c>
      <c r="G219" t="s">
        <v>10</v>
      </c>
      <c r="H219">
        <v>0.99999769999999999</v>
      </c>
      <c r="I219">
        <v>0.99999994000000003</v>
      </c>
      <c r="J219">
        <v>0.99993736</v>
      </c>
      <c r="K219">
        <f t="shared" si="10"/>
        <v>1</v>
      </c>
      <c r="L219">
        <f t="shared" si="11"/>
        <v>1</v>
      </c>
      <c r="M219">
        <f t="shared" si="12"/>
        <v>1</v>
      </c>
    </row>
    <row r="220" spans="1:13" x14ac:dyDescent="0.2">
      <c r="A220" t="s">
        <v>2054</v>
      </c>
      <c r="B220" t="s">
        <v>2895</v>
      </c>
      <c r="C220" t="s">
        <v>2891</v>
      </c>
      <c r="D220" t="s">
        <v>423</v>
      </c>
      <c r="E220" t="s">
        <v>424</v>
      </c>
      <c r="F220" t="s">
        <v>60</v>
      </c>
      <c r="G220" t="s">
        <v>10</v>
      </c>
      <c r="H220">
        <v>0.99879456</v>
      </c>
      <c r="I220">
        <v>0.99999769999999999</v>
      </c>
      <c r="J220">
        <v>0.85024140000000004</v>
      </c>
      <c r="K220">
        <f t="shared" si="10"/>
        <v>1</v>
      </c>
      <c r="L220">
        <f t="shared" si="11"/>
        <v>1</v>
      </c>
      <c r="M220">
        <f t="shared" si="12"/>
        <v>1</v>
      </c>
    </row>
    <row r="221" spans="1:13" x14ac:dyDescent="0.2">
      <c r="A221" t="s">
        <v>2055</v>
      </c>
      <c r="B221" t="s">
        <v>2895</v>
      </c>
      <c r="C221" t="s">
        <v>2891</v>
      </c>
      <c r="D221" t="s">
        <v>425</v>
      </c>
      <c r="E221" t="s">
        <v>106</v>
      </c>
      <c r="F221" t="s">
        <v>9</v>
      </c>
      <c r="G221" t="s">
        <v>14</v>
      </c>
      <c r="H221">
        <v>0.99999850000000001</v>
      </c>
      <c r="I221">
        <v>0.99999994000000003</v>
      </c>
      <c r="J221">
        <v>0.99999859999999996</v>
      </c>
      <c r="K221">
        <f t="shared" si="10"/>
        <v>1</v>
      </c>
      <c r="L221">
        <f t="shared" si="11"/>
        <v>1</v>
      </c>
      <c r="M221">
        <f t="shared" si="12"/>
        <v>1</v>
      </c>
    </row>
    <row r="222" spans="1:13" x14ac:dyDescent="0.2">
      <c r="A222" t="s">
        <v>2056</v>
      </c>
      <c r="B222" t="s">
        <v>2895</v>
      </c>
      <c r="C222" t="s">
        <v>2891</v>
      </c>
      <c r="D222" t="s">
        <v>426</v>
      </c>
      <c r="E222" t="s">
        <v>427</v>
      </c>
      <c r="F222" t="s">
        <v>9</v>
      </c>
      <c r="G222" t="s">
        <v>36</v>
      </c>
      <c r="H222">
        <v>2.7199986999999998E-2</v>
      </c>
      <c r="I222" s="1">
        <v>1.0563697000000001E-7</v>
      </c>
      <c r="J222" s="1">
        <v>4.7294360000000003E-5</v>
      </c>
      <c r="K222">
        <f t="shared" si="10"/>
        <v>0</v>
      </c>
      <c r="L222">
        <f t="shared" si="11"/>
        <v>0</v>
      </c>
      <c r="M222">
        <f t="shared" si="12"/>
        <v>0</v>
      </c>
    </row>
    <row r="223" spans="1:13" x14ac:dyDescent="0.2">
      <c r="A223" t="s">
        <v>2057</v>
      </c>
      <c r="B223" t="s">
        <v>2895</v>
      </c>
      <c r="C223" t="s">
        <v>2891</v>
      </c>
      <c r="D223" t="s">
        <v>428</v>
      </c>
      <c r="E223" t="s">
        <v>429</v>
      </c>
      <c r="F223" t="s">
        <v>13</v>
      </c>
      <c r="G223" t="s">
        <v>14</v>
      </c>
      <c r="H223">
        <v>0.85362905</v>
      </c>
      <c r="I223">
        <v>0.99999769999999999</v>
      </c>
      <c r="J223">
        <v>0.99999994000000003</v>
      </c>
      <c r="K223">
        <f t="shared" si="10"/>
        <v>1</v>
      </c>
      <c r="L223">
        <f t="shared" si="11"/>
        <v>1</v>
      </c>
      <c r="M223">
        <f t="shared" si="12"/>
        <v>1</v>
      </c>
    </row>
    <row r="224" spans="1:13" x14ac:dyDescent="0.2">
      <c r="A224" t="s">
        <v>2058</v>
      </c>
      <c r="B224" t="s">
        <v>2895</v>
      </c>
      <c r="C224" t="s">
        <v>2891</v>
      </c>
      <c r="D224" t="s">
        <v>430</v>
      </c>
      <c r="E224" t="s">
        <v>431</v>
      </c>
      <c r="F224" t="s">
        <v>17</v>
      </c>
      <c r="G224" t="s">
        <v>65</v>
      </c>
      <c r="H224" s="1">
        <v>6.7769815000000005E-7</v>
      </c>
      <c r="I224" s="1">
        <v>1.1159494E-6</v>
      </c>
      <c r="J224">
        <v>4.8747662E-4</v>
      </c>
      <c r="K224">
        <f t="shared" si="10"/>
        <v>0</v>
      </c>
      <c r="L224">
        <f t="shared" si="11"/>
        <v>0</v>
      </c>
      <c r="M224">
        <f t="shared" si="12"/>
        <v>0</v>
      </c>
    </row>
    <row r="225" spans="1:13" x14ac:dyDescent="0.2">
      <c r="A225" t="s">
        <v>2059</v>
      </c>
      <c r="B225" t="s">
        <v>2895</v>
      </c>
      <c r="C225" t="s">
        <v>2891</v>
      </c>
      <c r="D225" t="s">
        <v>432</v>
      </c>
      <c r="E225" t="s">
        <v>433</v>
      </c>
      <c r="F225" t="s">
        <v>9</v>
      </c>
      <c r="G225" t="s">
        <v>14</v>
      </c>
      <c r="H225">
        <v>0.99999979999999999</v>
      </c>
      <c r="I225">
        <v>0.99999994000000003</v>
      </c>
      <c r="J225">
        <v>7.0053850000000001E-2</v>
      </c>
      <c r="K225">
        <f t="shared" si="10"/>
        <v>1</v>
      </c>
      <c r="L225">
        <f t="shared" si="11"/>
        <v>1</v>
      </c>
      <c r="M225">
        <f t="shared" si="12"/>
        <v>0</v>
      </c>
    </row>
    <row r="226" spans="1:13" x14ac:dyDescent="0.2">
      <c r="A226" t="s">
        <v>2060</v>
      </c>
      <c r="B226" t="s">
        <v>2895</v>
      </c>
      <c r="C226" t="s">
        <v>2891</v>
      </c>
      <c r="D226" t="s">
        <v>434</v>
      </c>
      <c r="E226" t="s">
        <v>435</v>
      </c>
      <c r="F226" t="s">
        <v>13</v>
      </c>
      <c r="G226" t="s">
        <v>14</v>
      </c>
      <c r="H226">
        <v>0.99999994000000003</v>
      </c>
      <c r="I226">
        <v>0.99999110000000002</v>
      </c>
      <c r="J226">
        <v>0.95854413999999999</v>
      </c>
      <c r="K226">
        <f t="shared" si="10"/>
        <v>1</v>
      </c>
      <c r="L226">
        <f t="shared" si="11"/>
        <v>1</v>
      </c>
      <c r="M226">
        <f t="shared" si="12"/>
        <v>1</v>
      </c>
    </row>
    <row r="227" spans="1:13" x14ac:dyDescent="0.2">
      <c r="A227" t="s">
        <v>2061</v>
      </c>
      <c r="B227" t="s">
        <v>2895</v>
      </c>
      <c r="C227" t="s">
        <v>2891</v>
      </c>
      <c r="D227" t="e">
        <f>-VQ-LVESGG-GLVQPGGSLRLSCAASGFTF---------SRFSIH-WVRQ-A-P-G-K--G-LE-WVASISYP-----------YGYTYY--A--D--SV--K---GRFTISR-D---N-S--KN----T-LYLQMNSLRA-EDTAVYYCARVGP----------------------------VFDYWG-QGTLVTVSS</f>
        <v>#NAME?</v>
      </c>
      <c r="E227" t="s">
        <v>436</v>
      </c>
      <c r="F227" t="s">
        <v>13</v>
      </c>
      <c r="G227" t="s">
        <v>14</v>
      </c>
      <c r="H227">
        <v>0.99998540000000002</v>
      </c>
      <c r="I227">
        <v>0.99999994000000003</v>
      </c>
      <c r="J227">
        <v>0.99489459999999996</v>
      </c>
      <c r="K227">
        <f t="shared" si="10"/>
        <v>1</v>
      </c>
      <c r="L227">
        <f t="shared" si="11"/>
        <v>1</v>
      </c>
      <c r="M227">
        <f t="shared" si="12"/>
        <v>1</v>
      </c>
    </row>
    <row r="228" spans="1:13" x14ac:dyDescent="0.2">
      <c r="A228" t="s">
        <v>2062</v>
      </c>
      <c r="B228" t="s">
        <v>2895</v>
      </c>
      <c r="C228" t="s">
        <v>2891</v>
      </c>
      <c r="D228" t="s">
        <v>437</v>
      </c>
      <c r="E228" t="s">
        <v>438</v>
      </c>
      <c r="F228" t="s">
        <v>9</v>
      </c>
      <c r="G228" t="s">
        <v>14</v>
      </c>
      <c r="H228">
        <v>0.99993390000000004</v>
      </c>
      <c r="I228">
        <v>0.99999994000000003</v>
      </c>
      <c r="J228">
        <v>0.99998609999999999</v>
      </c>
      <c r="K228">
        <f t="shared" si="10"/>
        <v>1</v>
      </c>
      <c r="L228">
        <f t="shared" si="11"/>
        <v>1</v>
      </c>
      <c r="M228">
        <f t="shared" si="12"/>
        <v>1</v>
      </c>
    </row>
    <row r="229" spans="1:13" x14ac:dyDescent="0.2">
      <c r="A229" t="s">
        <v>2063</v>
      </c>
      <c r="B229" t="s">
        <v>2895</v>
      </c>
      <c r="C229" t="s">
        <v>2891</v>
      </c>
      <c r="D229" t="s">
        <v>439</v>
      </c>
      <c r="E229" t="s">
        <v>440</v>
      </c>
      <c r="F229" t="s">
        <v>9</v>
      </c>
      <c r="G229" t="s">
        <v>212</v>
      </c>
      <c r="H229" s="1">
        <v>2.1767115000000001E-5</v>
      </c>
      <c r="I229" s="1">
        <v>3.4565409999999997E-8</v>
      </c>
      <c r="J229" s="1">
        <v>1.4829407000000001E-6</v>
      </c>
      <c r="K229">
        <f t="shared" si="10"/>
        <v>0</v>
      </c>
      <c r="L229">
        <f t="shared" si="11"/>
        <v>0</v>
      </c>
      <c r="M229">
        <f t="shared" si="12"/>
        <v>0</v>
      </c>
    </row>
    <row r="230" spans="1:13" x14ac:dyDescent="0.2">
      <c r="A230" t="s">
        <v>2064</v>
      </c>
      <c r="B230" t="s">
        <v>2895</v>
      </c>
      <c r="C230" t="s">
        <v>2891</v>
      </c>
      <c r="D230" t="s">
        <v>441</v>
      </c>
      <c r="E230" t="s">
        <v>442</v>
      </c>
      <c r="F230" t="s">
        <v>13</v>
      </c>
      <c r="G230" t="s">
        <v>14</v>
      </c>
      <c r="H230">
        <v>0.99989220000000001</v>
      </c>
      <c r="I230">
        <v>0.99999994000000003</v>
      </c>
      <c r="J230">
        <v>0.9448278</v>
      </c>
      <c r="K230">
        <f t="shared" si="10"/>
        <v>1</v>
      </c>
      <c r="L230">
        <f t="shared" si="11"/>
        <v>1</v>
      </c>
      <c r="M230">
        <f t="shared" si="12"/>
        <v>1</v>
      </c>
    </row>
    <row r="231" spans="1:13" x14ac:dyDescent="0.2">
      <c r="A231" t="s">
        <v>2065</v>
      </c>
      <c r="B231" t="s">
        <v>2895</v>
      </c>
      <c r="C231" t="s">
        <v>2891</v>
      </c>
      <c r="D231" t="s">
        <v>443</v>
      </c>
      <c r="E231" t="s">
        <v>412</v>
      </c>
      <c r="F231" t="s">
        <v>9</v>
      </c>
      <c r="G231" t="s">
        <v>14</v>
      </c>
      <c r="H231">
        <v>0.99870323999999999</v>
      </c>
      <c r="I231">
        <v>0.99999994000000003</v>
      </c>
      <c r="J231">
        <v>0.99999934000000001</v>
      </c>
      <c r="K231">
        <f t="shared" si="10"/>
        <v>1</v>
      </c>
      <c r="L231">
        <f t="shared" si="11"/>
        <v>1</v>
      </c>
      <c r="M231">
        <f t="shared" si="12"/>
        <v>1</v>
      </c>
    </row>
    <row r="232" spans="1:13" x14ac:dyDescent="0.2">
      <c r="A232" t="s">
        <v>2066</v>
      </c>
      <c r="B232" t="s">
        <v>2895</v>
      </c>
      <c r="C232" t="s">
        <v>2891</v>
      </c>
      <c r="D232" t="s">
        <v>444</v>
      </c>
      <c r="E232" t="s">
        <v>445</v>
      </c>
      <c r="F232" t="s">
        <v>9</v>
      </c>
      <c r="G232" t="s">
        <v>446</v>
      </c>
      <c r="H232">
        <v>0.99993900000000002</v>
      </c>
      <c r="I232" s="1">
        <v>1.2718317E-10</v>
      </c>
      <c r="J232" s="1">
        <v>1.2745527E-8</v>
      </c>
      <c r="K232">
        <f t="shared" si="10"/>
        <v>1</v>
      </c>
      <c r="L232">
        <f t="shared" si="11"/>
        <v>0</v>
      </c>
      <c r="M232">
        <f t="shared" si="12"/>
        <v>0</v>
      </c>
    </row>
    <row r="233" spans="1:13" x14ac:dyDescent="0.2">
      <c r="A233" t="s">
        <v>2067</v>
      </c>
      <c r="B233" t="s">
        <v>2895</v>
      </c>
      <c r="C233" t="s">
        <v>2891</v>
      </c>
      <c r="D233" t="s">
        <v>447</v>
      </c>
      <c r="E233" t="s">
        <v>448</v>
      </c>
      <c r="F233" t="s">
        <v>9</v>
      </c>
      <c r="G233" t="s">
        <v>18</v>
      </c>
      <c r="H233">
        <v>1.0679409000000001E-2</v>
      </c>
      <c r="I233">
        <v>0.99999994000000003</v>
      </c>
      <c r="J233" s="1">
        <v>1.6580097999999999E-5</v>
      </c>
      <c r="K233">
        <f t="shared" si="10"/>
        <v>0</v>
      </c>
      <c r="L233">
        <f t="shared" si="11"/>
        <v>1</v>
      </c>
      <c r="M233">
        <f t="shared" si="12"/>
        <v>0</v>
      </c>
    </row>
    <row r="234" spans="1:13" x14ac:dyDescent="0.2">
      <c r="A234" t="s">
        <v>2068</v>
      </c>
      <c r="B234" t="s">
        <v>2895</v>
      </c>
      <c r="C234" t="s">
        <v>2891</v>
      </c>
      <c r="D234" t="s">
        <v>449</v>
      </c>
      <c r="E234" t="s">
        <v>450</v>
      </c>
      <c r="F234" t="s">
        <v>9</v>
      </c>
      <c r="G234" t="s">
        <v>14</v>
      </c>
      <c r="H234">
        <v>0.99756129999999998</v>
      </c>
      <c r="I234">
        <v>0.99999994000000003</v>
      </c>
      <c r="J234">
        <v>0.98060166999999998</v>
      </c>
      <c r="K234">
        <f t="shared" si="10"/>
        <v>1</v>
      </c>
      <c r="L234">
        <f t="shared" si="11"/>
        <v>1</v>
      </c>
      <c r="M234">
        <f t="shared" si="12"/>
        <v>1</v>
      </c>
    </row>
    <row r="235" spans="1:13" x14ac:dyDescent="0.2">
      <c r="A235" t="s">
        <v>2069</v>
      </c>
      <c r="B235" t="s">
        <v>2895</v>
      </c>
      <c r="C235" t="s">
        <v>2891</v>
      </c>
      <c r="D235" t="s">
        <v>451</v>
      </c>
      <c r="E235" t="s">
        <v>452</v>
      </c>
      <c r="F235" t="s">
        <v>17</v>
      </c>
      <c r="G235" t="s">
        <v>36</v>
      </c>
      <c r="H235">
        <v>0.99999979999999999</v>
      </c>
      <c r="I235" s="1">
        <v>2.4620169999999999E-7</v>
      </c>
      <c r="J235" s="1">
        <v>7.5449064E-10</v>
      </c>
      <c r="K235">
        <f t="shared" si="10"/>
        <v>1</v>
      </c>
      <c r="L235">
        <f t="shared" si="11"/>
        <v>0</v>
      </c>
      <c r="M235">
        <f t="shared" si="12"/>
        <v>0</v>
      </c>
    </row>
    <row r="236" spans="1:13" x14ac:dyDescent="0.2">
      <c r="A236" t="s">
        <v>2070</v>
      </c>
      <c r="B236" t="s">
        <v>2895</v>
      </c>
      <c r="C236" t="s">
        <v>2891</v>
      </c>
      <c r="D236" t="s">
        <v>453</v>
      </c>
      <c r="E236" t="s">
        <v>454</v>
      </c>
      <c r="F236" t="s">
        <v>13</v>
      </c>
      <c r="G236" t="s">
        <v>10</v>
      </c>
      <c r="H236">
        <v>0.99999886999999998</v>
      </c>
      <c r="I236">
        <v>0.99999994000000003</v>
      </c>
      <c r="J236">
        <v>0.62039</v>
      </c>
      <c r="K236">
        <f t="shared" si="10"/>
        <v>1</v>
      </c>
      <c r="L236">
        <f t="shared" si="11"/>
        <v>1</v>
      </c>
      <c r="M236">
        <f t="shared" si="12"/>
        <v>1</v>
      </c>
    </row>
    <row r="237" spans="1:13" x14ac:dyDescent="0.2">
      <c r="A237" t="s">
        <v>2071</v>
      </c>
      <c r="B237" t="s">
        <v>2895</v>
      </c>
      <c r="C237" t="s">
        <v>2891</v>
      </c>
      <c r="D237" t="s">
        <v>455</v>
      </c>
      <c r="E237" t="s">
        <v>187</v>
      </c>
      <c r="F237" t="s">
        <v>13</v>
      </c>
      <c r="G237" t="s">
        <v>14</v>
      </c>
      <c r="H237">
        <v>0.99999289999999996</v>
      </c>
      <c r="I237">
        <v>0.99999994000000003</v>
      </c>
      <c r="J237">
        <v>7.7239535999999998E-2</v>
      </c>
      <c r="K237">
        <f t="shared" si="10"/>
        <v>1</v>
      </c>
      <c r="L237">
        <f t="shared" si="11"/>
        <v>1</v>
      </c>
      <c r="M237">
        <f t="shared" si="12"/>
        <v>0</v>
      </c>
    </row>
    <row r="238" spans="1:13" x14ac:dyDescent="0.2">
      <c r="A238" t="s">
        <v>2072</v>
      </c>
      <c r="B238" t="s">
        <v>2895</v>
      </c>
      <c r="C238" t="s">
        <v>2891</v>
      </c>
      <c r="D238" t="s">
        <v>456</v>
      </c>
      <c r="E238" t="s">
        <v>457</v>
      </c>
      <c r="F238" t="s">
        <v>9</v>
      </c>
      <c r="G238" t="s">
        <v>10</v>
      </c>
      <c r="H238">
        <v>0.99991660000000004</v>
      </c>
      <c r="I238">
        <v>0.99999994000000003</v>
      </c>
      <c r="J238">
        <v>0.99999875000000005</v>
      </c>
      <c r="K238">
        <f t="shared" si="10"/>
        <v>1</v>
      </c>
      <c r="L238">
        <f t="shared" si="11"/>
        <v>1</v>
      </c>
      <c r="M238">
        <f t="shared" si="12"/>
        <v>1</v>
      </c>
    </row>
    <row r="239" spans="1:13" x14ac:dyDescent="0.2">
      <c r="A239" t="s">
        <v>2073</v>
      </c>
      <c r="B239" t="s">
        <v>2895</v>
      </c>
      <c r="C239" t="s">
        <v>2891</v>
      </c>
      <c r="D239" t="s">
        <v>458</v>
      </c>
      <c r="E239" t="s">
        <v>459</v>
      </c>
      <c r="F239" t="s">
        <v>9</v>
      </c>
      <c r="G239" t="s">
        <v>14</v>
      </c>
      <c r="H239">
        <v>1.7388903E-4</v>
      </c>
      <c r="I239">
        <v>0.99999979999999999</v>
      </c>
      <c r="J239" s="1">
        <v>6.0327543000000002E-10</v>
      </c>
      <c r="K239">
        <f t="shared" si="10"/>
        <v>0</v>
      </c>
      <c r="L239">
        <f t="shared" si="11"/>
        <v>1</v>
      </c>
      <c r="M239">
        <f t="shared" si="12"/>
        <v>0</v>
      </c>
    </row>
    <row r="240" spans="1:13" x14ac:dyDescent="0.2">
      <c r="A240" t="s">
        <v>2074</v>
      </c>
      <c r="B240" t="s">
        <v>2895</v>
      </c>
      <c r="C240" t="s">
        <v>2891</v>
      </c>
      <c r="D240" t="s">
        <v>460</v>
      </c>
      <c r="E240" t="s">
        <v>461</v>
      </c>
      <c r="F240" t="s">
        <v>13</v>
      </c>
      <c r="G240" t="s">
        <v>14</v>
      </c>
      <c r="H240">
        <v>0.99999979999999999</v>
      </c>
      <c r="I240">
        <v>0.99998860000000001</v>
      </c>
      <c r="J240">
        <v>0.99877464999999999</v>
      </c>
      <c r="K240">
        <f t="shared" si="10"/>
        <v>1</v>
      </c>
      <c r="L240">
        <f t="shared" si="11"/>
        <v>1</v>
      </c>
      <c r="M240">
        <f t="shared" si="12"/>
        <v>1</v>
      </c>
    </row>
    <row r="241" spans="1:13" x14ac:dyDescent="0.2">
      <c r="A241" t="s">
        <v>2075</v>
      </c>
      <c r="B241" t="s">
        <v>2895</v>
      </c>
      <c r="C241" t="s">
        <v>2891</v>
      </c>
      <c r="D241" t="s">
        <v>462</v>
      </c>
      <c r="E241" t="s">
        <v>463</v>
      </c>
      <c r="F241" t="s">
        <v>17</v>
      </c>
      <c r="G241" t="s">
        <v>14</v>
      </c>
      <c r="H241">
        <v>0.99999934000000001</v>
      </c>
      <c r="I241">
        <v>0.99999994000000003</v>
      </c>
      <c r="J241">
        <v>0.99858283999999997</v>
      </c>
      <c r="K241">
        <f t="shared" si="10"/>
        <v>1</v>
      </c>
      <c r="L241">
        <f t="shared" si="11"/>
        <v>1</v>
      </c>
      <c r="M241">
        <f t="shared" si="12"/>
        <v>1</v>
      </c>
    </row>
    <row r="242" spans="1:13" x14ac:dyDescent="0.2">
      <c r="A242" t="s">
        <v>2076</v>
      </c>
      <c r="B242" t="s">
        <v>2895</v>
      </c>
      <c r="C242" t="s">
        <v>2891</v>
      </c>
      <c r="D242" t="s">
        <v>464</v>
      </c>
      <c r="E242" t="s">
        <v>465</v>
      </c>
      <c r="F242" t="s">
        <v>13</v>
      </c>
      <c r="G242" t="s">
        <v>14</v>
      </c>
      <c r="H242">
        <v>0.99999959999999999</v>
      </c>
      <c r="I242">
        <v>0.99994070000000002</v>
      </c>
      <c r="J242">
        <v>0.12559539</v>
      </c>
      <c r="K242">
        <f t="shared" si="10"/>
        <v>1</v>
      </c>
      <c r="L242">
        <f t="shared" si="11"/>
        <v>1</v>
      </c>
      <c r="M242">
        <f t="shared" si="12"/>
        <v>0</v>
      </c>
    </row>
    <row r="243" spans="1:13" x14ac:dyDescent="0.2">
      <c r="A243" t="s">
        <v>2077</v>
      </c>
      <c r="B243" t="s">
        <v>2895</v>
      </c>
      <c r="C243" t="s">
        <v>2891</v>
      </c>
      <c r="D243" t="s">
        <v>466</v>
      </c>
      <c r="E243" t="s">
        <v>420</v>
      </c>
      <c r="F243" t="s">
        <v>13</v>
      </c>
      <c r="G243" t="s">
        <v>14</v>
      </c>
      <c r="H243">
        <v>0.99999979999999999</v>
      </c>
      <c r="I243">
        <v>0.99980999999999998</v>
      </c>
      <c r="J243">
        <v>0.78140723999999995</v>
      </c>
      <c r="K243">
        <f t="shared" si="10"/>
        <v>1</v>
      </c>
      <c r="L243">
        <f t="shared" si="11"/>
        <v>1</v>
      </c>
      <c r="M243">
        <f t="shared" si="12"/>
        <v>1</v>
      </c>
    </row>
    <row r="244" spans="1:13" x14ac:dyDescent="0.2">
      <c r="A244" t="s">
        <v>2078</v>
      </c>
      <c r="B244" t="s">
        <v>2895</v>
      </c>
      <c r="C244" t="s">
        <v>2891</v>
      </c>
      <c r="D244" t="s">
        <v>467</v>
      </c>
      <c r="E244" t="s">
        <v>468</v>
      </c>
      <c r="F244" t="s">
        <v>9</v>
      </c>
      <c r="G244" t="s">
        <v>10</v>
      </c>
      <c r="H244">
        <v>0.99999970000000005</v>
      </c>
      <c r="I244">
        <v>0.99999994000000003</v>
      </c>
      <c r="J244">
        <v>1.4525812000000001E-4</v>
      </c>
      <c r="K244">
        <f t="shared" si="10"/>
        <v>1</v>
      </c>
      <c r="L244">
        <f t="shared" si="11"/>
        <v>1</v>
      </c>
      <c r="M244">
        <f t="shared" si="12"/>
        <v>0</v>
      </c>
    </row>
    <row r="245" spans="1:13" x14ac:dyDescent="0.2">
      <c r="A245" t="s">
        <v>2079</v>
      </c>
      <c r="B245" t="s">
        <v>2895</v>
      </c>
      <c r="C245" t="s">
        <v>2891</v>
      </c>
      <c r="D245" t="s">
        <v>469</v>
      </c>
      <c r="E245" t="s">
        <v>470</v>
      </c>
      <c r="F245" t="s">
        <v>13</v>
      </c>
      <c r="G245" t="s">
        <v>14</v>
      </c>
      <c r="H245">
        <v>0.99998359999999997</v>
      </c>
      <c r="I245">
        <v>0.99999979999999999</v>
      </c>
      <c r="J245">
        <v>0.97911893999999999</v>
      </c>
      <c r="K245">
        <f t="shared" si="10"/>
        <v>1</v>
      </c>
      <c r="L245">
        <f t="shared" si="11"/>
        <v>1</v>
      </c>
      <c r="M245">
        <f t="shared" si="12"/>
        <v>1</v>
      </c>
    </row>
    <row r="246" spans="1:13" x14ac:dyDescent="0.2">
      <c r="A246" t="s">
        <v>2080</v>
      </c>
      <c r="B246" t="s">
        <v>2895</v>
      </c>
      <c r="C246" t="s">
        <v>2891</v>
      </c>
      <c r="D246" t="s">
        <v>471</v>
      </c>
      <c r="E246" t="s">
        <v>472</v>
      </c>
      <c r="F246" t="s">
        <v>9</v>
      </c>
      <c r="G246" t="s">
        <v>65</v>
      </c>
      <c r="H246">
        <v>0.99983069999999996</v>
      </c>
      <c r="I246">
        <v>0.99999994000000003</v>
      </c>
      <c r="J246">
        <v>0.98535322999999997</v>
      </c>
      <c r="K246">
        <f t="shared" si="10"/>
        <v>1</v>
      </c>
      <c r="L246">
        <f t="shared" si="11"/>
        <v>1</v>
      </c>
      <c r="M246">
        <f t="shared" si="12"/>
        <v>1</v>
      </c>
    </row>
    <row r="247" spans="1:13" x14ac:dyDescent="0.2">
      <c r="A247" t="s">
        <v>2081</v>
      </c>
      <c r="B247" t="s">
        <v>2895</v>
      </c>
      <c r="C247" t="s">
        <v>2891</v>
      </c>
      <c r="D247" t="s">
        <v>473</v>
      </c>
      <c r="E247" t="s">
        <v>474</v>
      </c>
      <c r="F247" t="s">
        <v>9</v>
      </c>
      <c r="G247" t="s">
        <v>14</v>
      </c>
      <c r="H247" s="1">
        <v>4.6958520000000003E-5</v>
      </c>
      <c r="I247">
        <v>0.99999945999999995</v>
      </c>
      <c r="J247" s="1">
        <v>9.3721570000000002E-15</v>
      </c>
      <c r="K247">
        <f t="shared" si="10"/>
        <v>0</v>
      </c>
      <c r="L247">
        <f t="shared" si="11"/>
        <v>1</v>
      </c>
      <c r="M247">
        <f t="shared" si="12"/>
        <v>0</v>
      </c>
    </row>
    <row r="248" spans="1:13" x14ac:dyDescent="0.2">
      <c r="A248" t="s">
        <v>2082</v>
      </c>
      <c r="B248" t="s">
        <v>2895</v>
      </c>
      <c r="C248" t="s">
        <v>2891</v>
      </c>
      <c r="D248" t="s">
        <v>475</v>
      </c>
      <c r="E248" t="s">
        <v>476</v>
      </c>
      <c r="F248" t="s">
        <v>9</v>
      </c>
      <c r="G248" t="s">
        <v>40</v>
      </c>
      <c r="H248">
        <v>0.99999994000000003</v>
      </c>
      <c r="I248">
        <v>0.99999994000000003</v>
      </c>
      <c r="J248">
        <v>4.8136595000000003E-3</v>
      </c>
      <c r="K248">
        <f t="shared" si="10"/>
        <v>1</v>
      </c>
      <c r="L248">
        <f t="shared" si="11"/>
        <v>1</v>
      </c>
      <c r="M248">
        <f t="shared" si="12"/>
        <v>0</v>
      </c>
    </row>
    <row r="249" spans="1:13" x14ac:dyDescent="0.2">
      <c r="A249" t="s">
        <v>2083</v>
      </c>
      <c r="B249" t="s">
        <v>2895</v>
      </c>
      <c r="C249" t="s">
        <v>2891</v>
      </c>
      <c r="D249" t="s">
        <v>477</v>
      </c>
      <c r="E249" t="s">
        <v>478</v>
      </c>
      <c r="F249" t="s">
        <v>13</v>
      </c>
      <c r="G249" t="s">
        <v>14</v>
      </c>
      <c r="H249">
        <v>0.99999875000000005</v>
      </c>
      <c r="I249">
        <v>0.9997895</v>
      </c>
      <c r="J249">
        <v>0.73754275000000002</v>
      </c>
      <c r="K249">
        <f t="shared" si="10"/>
        <v>1</v>
      </c>
      <c r="L249">
        <f t="shared" si="11"/>
        <v>1</v>
      </c>
      <c r="M249">
        <f t="shared" si="12"/>
        <v>1</v>
      </c>
    </row>
    <row r="250" spans="1:13" x14ac:dyDescent="0.2">
      <c r="A250" t="s">
        <v>2084</v>
      </c>
      <c r="B250" t="s">
        <v>2895</v>
      </c>
      <c r="C250" t="s">
        <v>2891</v>
      </c>
      <c r="D250" t="s">
        <v>479</v>
      </c>
      <c r="E250" t="s">
        <v>480</v>
      </c>
      <c r="F250" t="s">
        <v>13</v>
      </c>
      <c r="G250" t="s">
        <v>212</v>
      </c>
      <c r="H250">
        <v>0.99999994000000003</v>
      </c>
      <c r="I250">
        <v>0.99999994000000003</v>
      </c>
      <c r="J250">
        <v>0.82926840000000002</v>
      </c>
      <c r="K250">
        <f t="shared" si="10"/>
        <v>1</v>
      </c>
      <c r="L250">
        <f t="shared" si="11"/>
        <v>1</v>
      </c>
      <c r="M250">
        <f t="shared" si="12"/>
        <v>1</v>
      </c>
    </row>
    <row r="251" spans="1:13" x14ac:dyDescent="0.2">
      <c r="A251" t="s">
        <v>2085</v>
      </c>
      <c r="B251" t="s">
        <v>2895</v>
      </c>
      <c r="C251" t="s">
        <v>2891</v>
      </c>
      <c r="D251" t="s">
        <v>481</v>
      </c>
      <c r="E251" t="s">
        <v>482</v>
      </c>
      <c r="F251" t="s">
        <v>17</v>
      </c>
      <c r="G251" t="s">
        <v>14</v>
      </c>
      <c r="H251" s="1">
        <v>4.7968330000000002E-5</v>
      </c>
      <c r="I251">
        <v>0.99999994000000003</v>
      </c>
      <c r="J251">
        <v>1.1298845499999999E-4</v>
      </c>
      <c r="K251">
        <f t="shared" si="10"/>
        <v>0</v>
      </c>
      <c r="L251">
        <f t="shared" si="11"/>
        <v>1</v>
      </c>
      <c r="M251">
        <f t="shared" si="12"/>
        <v>0</v>
      </c>
    </row>
    <row r="252" spans="1:13" x14ac:dyDescent="0.2">
      <c r="A252" t="s">
        <v>2086</v>
      </c>
      <c r="B252" t="s">
        <v>2896</v>
      </c>
      <c r="C252" t="s">
        <v>2891</v>
      </c>
      <c r="D252" t="s">
        <v>483</v>
      </c>
      <c r="E252" t="s">
        <v>484</v>
      </c>
      <c r="F252" t="s">
        <v>13</v>
      </c>
      <c r="G252" t="s">
        <v>14</v>
      </c>
      <c r="H252">
        <v>0.99663913000000004</v>
      </c>
      <c r="I252">
        <v>0.99999875000000005</v>
      </c>
      <c r="J252">
        <v>0.36306924000000002</v>
      </c>
      <c r="K252">
        <f t="shared" si="10"/>
        <v>1</v>
      </c>
      <c r="L252">
        <f t="shared" si="11"/>
        <v>1</v>
      </c>
      <c r="M252">
        <f t="shared" si="12"/>
        <v>0</v>
      </c>
    </row>
    <row r="253" spans="1:13" x14ac:dyDescent="0.2">
      <c r="A253" t="s">
        <v>2087</v>
      </c>
      <c r="B253" t="s">
        <v>2896</v>
      </c>
      <c r="C253" t="s">
        <v>2891</v>
      </c>
      <c r="D253" t="s">
        <v>485</v>
      </c>
      <c r="E253" t="s">
        <v>486</v>
      </c>
      <c r="F253" t="s">
        <v>13</v>
      </c>
      <c r="G253" t="s">
        <v>14</v>
      </c>
      <c r="H253">
        <v>0.73338099999999995</v>
      </c>
      <c r="I253">
        <v>0.99999994000000003</v>
      </c>
      <c r="J253">
        <v>0.92758404999999999</v>
      </c>
      <c r="K253">
        <f t="shared" si="10"/>
        <v>1</v>
      </c>
      <c r="L253">
        <f t="shared" si="11"/>
        <v>1</v>
      </c>
      <c r="M253">
        <f t="shared" si="12"/>
        <v>1</v>
      </c>
    </row>
    <row r="254" spans="1:13" x14ac:dyDescent="0.2">
      <c r="A254" t="s">
        <v>2088</v>
      </c>
      <c r="B254" t="s">
        <v>2896</v>
      </c>
      <c r="C254" t="s">
        <v>2891</v>
      </c>
      <c r="D254" t="s">
        <v>487</v>
      </c>
      <c r="E254" t="s">
        <v>488</v>
      </c>
      <c r="F254" t="s">
        <v>9</v>
      </c>
      <c r="G254" t="s">
        <v>14</v>
      </c>
      <c r="H254">
        <v>0.9999538</v>
      </c>
      <c r="I254">
        <v>0.99999959999999999</v>
      </c>
      <c r="J254">
        <v>0.99999886999999998</v>
      </c>
      <c r="K254">
        <f t="shared" si="10"/>
        <v>1</v>
      </c>
      <c r="L254">
        <f t="shared" si="11"/>
        <v>1</v>
      </c>
      <c r="M254">
        <f t="shared" si="12"/>
        <v>1</v>
      </c>
    </row>
    <row r="255" spans="1:13" x14ac:dyDescent="0.2">
      <c r="A255" t="s">
        <v>2089</v>
      </c>
      <c r="B255" t="s">
        <v>2896</v>
      </c>
      <c r="C255" t="s">
        <v>2891</v>
      </c>
      <c r="D255" t="s">
        <v>489</v>
      </c>
      <c r="E255" t="s">
        <v>490</v>
      </c>
      <c r="F255" t="s">
        <v>13</v>
      </c>
      <c r="G255" t="s">
        <v>212</v>
      </c>
      <c r="H255">
        <v>0.99999979999999999</v>
      </c>
      <c r="I255">
        <v>0.99999994000000003</v>
      </c>
      <c r="J255">
        <v>0.58050109999999999</v>
      </c>
      <c r="K255">
        <f t="shared" si="10"/>
        <v>1</v>
      </c>
      <c r="L255">
        <f t="shared" si="11"/>
        <v>1</v>
      </c>
      <c r="M255">
        <f t="shared" si="12"/>
        <v>1</v>
      </c>
    </row>
    <row r="256" spans="1:13" x14ac:dyDescent="0.2">
      <c r="A256" t="s">
        <v>2090</v>
      </c>
      <c r="B256" t="s">
        <v>2896</v>
      </c>
      <c r="C256" t="s">
        <v>2891</v>
      </c>
      <c r="D256" t="s">
        <v>491</v>
      </c>
      <c r="E256" t="s">
        <v>492</v>
      </c>
      <c r="F256" t="s">
        <v>9</v>
      </c>
      <c r="G256" t="s">
        <v>212</v>
      </c>
      <c r="H256">
        <v>0.99998679999999995</v>
      </c>
      <c r="I256">
        <v>0.99999994000000003</v>
      </c>
      <c r="J256">
        <v>3.5364180000000002E-2</v>
      </c>
      <c r="K256">
        <f t="shared" si="10"/>
        <v>1</v>
      </c>
      <c r="L256">
        <f t="shared" si="11"/>
        <v>1</v>
      </c>
      <c r="M256">
        <f t="shared" si="12"/>
        <v>0</v>
      </c>
    </row>
    <row r="257" spans="1:13" x14ac:dyDescent="0.2">
      <c r="A257" t="s">
        <v>2091</v>
      </c>
      <c r="B257" t="s">
        <v>2896</v>
      </c>
      <c r="C257" t="s">
        <v>2891</v>
      </c>
      <c r="D257" t="e">
        <f>-VQ-LVESGG-GLVQPGGSLRLSCAASGFTF---------STYAMH-WVRQ-A-P-G-K--G-LE-WVSTISGSG----------GQYIYY--A--D--SV--K---GRFTISR-D---N-F--KN----T-LYLQMNSLRA-EDTAVYYCARVSRQ-------------------------WGGFDVWG-QGTTVTVSS</f>
        <v>#NAME?</v>
      </c>
      <c r="E257" t="s">
        <v>493</v>
      </c>
      <c r="F257" t="s">
        <v>13</v>
      </c>
      <c r="G257" t="s">
        <v>40</v>
      </c>
      <c r="H257">
        <v>0.99999994000000003</v>
      </c>
      <c r="I257">
        <v>0.99999994000000003</v>
      </c>
      <c r="J257">
        <v>0.99999744000000002</v>
      </c>
      <c r="K257">
        <f t="shared" si="10"/>
        <v>1</v>
      </c>
      <c r="L257">
        <f t="shared" si="11"/>
        <v>1</v>
      </c>
      <c r="M257">
        <f t="shared" si="12"/>
        <v>1</v>
      </c>
    </row>
    <row r="258" spans="1:13" x14ac:dyDescent="0.2">
      <c r="A258" t="s">
        <v>2092</v>
      </c>
      <c r="B258" t="s">
        <v>2896</v>
      </c>
      <c r="C258" t="s">
        <v>2891</v>
      </c>
      <c r="D258" t="s">
        <v>494</v>
      </c>
      <c r="E258" t="s">
        <v>495</v>
      </c>
      <c r="F258" t="s">
        <v>13</v>
      </c>
      <c r="G258" t="s">
        <v>14</v>
      </c>
      <c r="H258">
        <v>0.99167240000000001</v>
      </c>
      <c r="I258">
        <v>0.99999994000000003</v>
      </c>
      <c r="J258">
        <v>0.97786830000000002</v>
      </c>
      <c r="K258">
        <f t="shared" si="10"/>
        <v>1</v>
      </c>
      <c r="L258">
        <f t="shared" si="11"/>
        <v>1</v>
      </c>
      <c r="M258">
        <f t="shared" si="12"/>
        <v>1</v>
      </c>
    </row>
    <row r="259" spans="1:13" x14ac:dyDescent="0.2">
      <c r="A259" t="s">
        <v>2093</v>
      </c>
      <c r="B259" t="s">
        <v>2896</v>
      </c>
      <c r="C259" t="s">
        <v>2891</v>
      </c>
      <c r="D259" t="s">
        <v>496</v>
      </c>
      <c r="E259" t="s">
        <v>497</v>
      </c>
      <c r="F259" t="s">
        <v>13</v>
      </c>
      <c r="G259" t="s">
        <v>14</v>
      </c>
      <c r="H259">
        <v>0.99957686999999995</v>
      </c>
      <c r="I259">
        <v>0.98922840000000001</v>
      </c>
      <c r="J259">
        <v>0.99925419999999998</v>
      </c>
      <c r="K259">
        <f t="shared" ref="K259:K322" si="13">IF(H259&gt;=0.5,1,0)</f>
        <v>1</v>
      </c>
      <c r="L259">
        <f t="shared" ref="L259:L322" si="14">IF(I259&gt;=0.5,1,0)</f>
        <v>1</v>
      </c>
      <c r="M259">
        <f t="shared" ref="M259:M322" si="15">IF(J259&gt;=0.5,1,0)</f>
        <v>1</v>
      </c>
    </row>
    <row r="260" spans="1:13" x14ac:dyDescent="0.2">
      <c r="A260" t="s">
        <v>2094</v>
      </c>
      <c r="B260" t="s">
        <v>2896</v>
      </c>
      <c r="C260" t="s">
        <v>2891</v>
      </c>
      <c r="D260" t="s">
        <v>498</v>
      </c>
      <c r="E260" t="s">
        <v>499</v>
      </c>
      <c r="F260" t="s">
        <v>13</v>
      </c>
      <c r="G260" t="s">
        <v>14</v>
      </c>
      <c r="H260">
        <v>0.99984145000000002</v>
      </c>
      <c r="I260">
        <v>0.99999994000000003</v>
      </c>
      <c r="J260">
        <v>0.98228579999999999</v>
      </c>
      <c r="K260">
        <f t="shared" si="13"/>
        <v>1</v>
      </c>
      <c r="L260">
        <f t="shared" si="14"/>
        <v>1</v>
      </c>
      <c r="M260">
        <f t="shared" si="15"/>
        <v>1</v>
      </c>
    </row>
    <row r="261" spans="1:13" x14ac:dyDescent="0.2">
      <c r="A261" t="s">
        <v>2095</v>
      </c>
      <c r="B261" t="s">
        <v>2896</v>
      </c>
      <c r="C261" t="s">
        <v>2891</v>
      </c>
      <c r="D261" t="s">
        <v>500</v>
      </c>
      <c r="E261" t="s">
        <v>501</v>
      </c>
      <c r="F261" t="s">
        <v>13</v>
      </c>
      <c r="G261" t="s">
        <v>212</v>
      </c>
      <c r="H261">
        <v>0.99999970000000005</v>
      </c>
      <c r="I261">
        <v>0.99999994000000003</v>
      </c>
      <c r="J261">
        <v>7.3260773000000004E-4</v>
      </c>
      <c r="K261">
        <f t="shared" si="13"/>
        <v>1</v>
      </c>
      <c r="L261">
        <f t="shared" si="14"/>
        <v>1</v>
      </c>
      <c r="M261">
        <f t="shared" si="15"/>
        <v>0</v>
      </c>
    </row>
    <row r="262" spans="1:13" x14ac:dyDescent="0.2">
      <c r="A262" t="s">
        <v>2096</v>
      </c>
      <c r="B262" t="s">
        <v>2896</v>
      </c>
      <c r="C262" t="s">
        <v>2891</v>
      </c>
      <c r="D262" t="s">
        <v>502</v>
      </c>
      <c r="E262" t="s">
        <v>503</v>
      </c>
      <c r="F262" t="s">
        <v>13</v>
      </c>
      <c r="G262" t="s">
        <v>14</v>
      </c>
      <c r="H262">
        <v>0.999942</v>
      </c>
      <c r="I262">
        <v>0.99999590000000005</v>
      </c>
      <c r="J262">
        <v>0.80555295999999998</v>
      </c>
      <c r="K262">
        <f t="shared" si="13"/>
        <v>1</v>
      </c>
      <c r="L262">
        <f t="shared" si="14"/>
        <v>1</v>
      </c>
      <c r="M262">
        <f t="shared" si="15"/>
        <v>1</v>
      </c>
    </row>
    <row r="263" spans="1:13" x14ac:dyDescent="0.2">
      <c r="A263" t="s">
        <v>2097</v>
      </c>
      <c r="B263" t="s">
        <v>2896</v>
      </c>
      <c r="C263" t="s">
        <v>2891</v>
      </c>
      <c r="D263" t="s">
        <v>504</v>
      </c>
      <c r="E263" t="s">
        <v>505</v>
      </c>
      <c r="F263" t="s">
        <v>13</v>
      </c>
      <c r="G263" t="s">
        <v>40</v>
      </c>
      <c r="H263">
        <v>0.99999959999999999</v>
      </c>
      <c r="I263">
        <v>0.99999994000000003</v>
      </c>
      <c r="J263">
        <v>0.19609926999999999</v>
      </c>
      <c r="K263">
        <f t="shared" si="13"/>
        <v>1</v>
      </c>
      <c r="L263">
        <f t="shared" si="14"/>
        <v>1</v>
      </c>
      <c r="M263">
        <f t="shared" si="15"/>
        <v>0</v>
      </c>
    </row>
    <row r="264" spans="1:13" x14ac:dyDescent="0.2">
      <c r="A264" t="s">
        <v>2098</v>
      </c>
      <c r="B264" t="s">
        <v>2896</v>
      </c>
      <c r="C264" t="s">
        <v>2891</v>
      </c>
      <c r="D264" t="s">
        <v>506</v>
      </c>
      <c r="E264" t="s">
        <v>507</v>
      </c>
      <c r="F264" t="s">
        <v>9</v>
      </c>
      <c r="G264" t="s">
        <v>18</v>
      </c>
      <c r="H264">
        <v>3.2147179999999999E-4</v>
      </c>
      <c r="I264" s="1">
        <v>3.6500343999999998E-7</v>
      </c>
      <c r="J264">
        <v>2.1857612000000001E-3</v>
      </c>
      <c r="K264">
        <f t="shared" si="13"/>
        <v>0</v>
      </c>
      <c r="L264">
        <f t="shared" si="14"/>
        <v>0</v>
      </c>
      <c r="M264">
        <f t="shared" si="15"/>
        <v>0</v>
      </c>
    </row>
    <row r="265" spans="1:13" x14ac:dyDescent="0.2">
      <c r="A265" t="s">
        <v>2099</v>
      </c>
      <c r="B265" t="s">
        <v>2896</v>
      </c>
      <c r="C265" t="s">
        <v>2891</v>
      </c>
      <c r="D265" t="s">
        <v>508</v>
      </c>
      <c r="E265" t="s">
        <v>509</v>
      </c>
      <c r="F265" t="s">
        <v>13</v>
      </c>
      <c r="G265" t="s">
        <v>40</v>
      </c>
      <c r="H265">
        <v>0.9999979</v>
      </c>
      <c r="I265">
        <v>0.99999994000000003</v>
      </c>
      <c r="J265">
        <v>0.99388653000000005</v>
      </c>
      <c r="K265">
        <f t="shared" si="13"/>
        <v>1</v>
      </c>
      <c r="L265">
        <f t="shared" si="14"/>
        <v>1</v>
      </c>
      <c r="M265">
        <f t="shared" si="15"/>
        <v>1</v>
      </c>
    </row>
    <row r="266" spans="1:13" x14ac:dyDescent="0.2">
      <c r="A266" t="s">
        <v>2100</v>
      </c>
      <c r="B266" t="s">
        <v>2896</v>
      </c>
      <c r="C266" t="s">
        <v>2891</v>
      </c>
      <c r="D266" t="s">
        <v>510</v>
      </c>
      <c r="E266" t="s">
        <v>511</v>
      </c>
      <c r="F266" t="s">
        <v>9</v>
      </c>
      <c r="G266" t="s">
        <v>14</v>
      </c>
      <c r="H266">
        <v>0.99984240000000002</v>
      </c>
      <c r="I266">
        <v>0.92287779999999997</v>
      </c>
      <c r="J266">
        <v>5.3801155000000002E-3</v>
      </c>
      <c r="K266">
        <f t="shared" si="13"/>
        <v>1</v>
      </c>
      <c r="L266">
        <f t="shared" si="14"/>
        <v>1</v>
      </c>
      <c r="M266">
        <f t="shared" si="15"/>
        <v>0</v>
      </c>
    </row>
    <row r="267" spans="1:13" x14ac:dyDescent="0.2">
      <c r="A267" t="s">
        <v>2101</v>
      </c>
      <c r="B267" t="s">
        <v>2896</v>
      </c>
      <c r="C267" t="s">
        <v>2891</v>
      </c>
      <c r="D267" t="s">
        <v>512</v>
      </c>
      <c r="E267" t="s">
        <v>513</v>
      </c>
      <c r="F267" t="s">
        <v>13</v>
      </c>
      <c r="G267" t="s">
        <v>14</v>
      </c>
      <c r="H267">
        <v>0.99996775000000004</v>
      </c>
      <c r="I267">
        <v>0.99999994000000003</v>
      </c>
      <c r="J267">
        <v>0.41730030000000001</v>
      </c>
      <c r="K267">
        <f t="shared" si="13"/>
        <v>1</v>
      </c>
      <c r="L267">
        <f t="shared" si="14"/>
        <v>1</v>
      </c>
      <c r="M267">
        <f t="shared" si="15"/>
        <v>0</v>
      </c>
    </row>
    <row r="268" spans="1:13" x14ac:dyDescent="0.2">
      <c r="A268" t="s">
        <v>2102</v>
      </c>
      <c r="B268" t="s">
        <v>2896</v>
      </c>
      <c r="C268" t="s">
        <v>2891</v>
      </c>
      <c r="D268" t="s">
        <v>514</v>
      </c>
      <c r="E268" t="s">
        <v>515</v>
      </c>
      <c r="F268" t="s">
        <v>13</v>
      </c>
      <c r="G268" t="s">
        <v>14</v>
      </c>
      <c r="H268">
        <v>0.99760574000000002</v>
      </c>
      <c r="I268">
        <v>0.99999492999999995</v>
      </c>
      <c r="J268">
        <v>1.0086286E-2</v>
      </c>
      <c r="K268">
        <f t="shared" si="13"/>
        <v>1</v>
      </c>
      <c r="L268">
        <f t="shared" si="14"/>
        <v>1</v>
      </c>
      <c r="M268">
        <f t="shared" si="15"/>
        <v>0</v>
      </c>
    </row>
    <row r="269" spans="1:13" x14ac:dyDescent="0.2">
      <c r="A269" t="s">
        <v>2103</v>
      </c>
      <c r="B269" t="s">
        <v>2896</v>
      </c>
      <c r="C269" t="s">
        <v>2891</v>
      </c>
      <c r="D269" t="s">
        <v>516</v>
      </c>
      <c r="E269" t="s">
        <v>517</v>
      </c>
      <c r="F269" t="s">
        <v>13</v>
      </c>
      <c r="G269" t="s">
        <v>14</v>
      </c>
      <c r="H269">
        <v>0.99999994000000003</v>
      </c>
      <c r="I269">
        <v>0.9942571</v>
      </c>
      <c r="J269">
        <v>0.80931229999999998</v>
      </c>
      <c r="K269">
        <f t="shared" si="13"/>
        <v>1</v>
      </c>
      <c r="L269">
        <f t="shared" si="14"/>
        <v>1</v>
      </c>
      <c r="M269">
        <f t="shared" si="15"/>
        <v>1</v>
      </c>
    </row>
    <row r="270" spans="1:13" x14ac:dyDescent="0.2">
      <c r="A270" t="s">
        <v>2104</v>
      </c>
      <c r="B270" t="s">
        <v>2896</v>
      </c>
      <c r="C270" t="s">
        <v>2891</v>
      </c>
      <c r="D270" t="s">
        <v>518</v>
      </c>
      <c r="E270" t="s">
        <v>519</v>
      </c>
      <c r="F270" t="s">
        <v>9</v>
      </c>
      <c r="G270" t="s">
        <v>14</v>
      </c>
      <c r="H270">
        <v>8.8308655E-2</v>
      </c>
      <c r="I270">
        <v>0.99983120000000003</v>
      </c>
      <c r="J270" s="1">
        <v>9.2915190000000002E-13</v>
      </c>
      <c r="K270">
        <f t="shared" si="13"/>
        <v>0</v>
      </c>
      <c r="L270">
        <f t="shared" si="14"/>
        <v>1</v>
      </c>
      <c r="M270">
        <f t="shared" si="15"/>
        <v>0</v>
      </c>
    </row>
    <row r="271" spans="1:13" x14ac:dyDescent="0.2">
      <c r="A271" t="s">
        <v>2105</v>
      </c>
      <c r="B271" t="s">
        <v>2896</v>
      </c>
      <c r="C271" t="s">
        <v>2891</v>
      </c>
      <c r="D271" t="s">
        <v>520</v>
      </c>
      <c r="E271" t="s">
        <v>521</v>
      </c>
      <c r="F271" t="s">
        <v>13</v>
      </c>
      <c r="G271" t="s">
        <v>14</v>
      </c>
      <c r="H271">
        <v>0.99999660000000001</v>
      </c>
      <c r="I271">
        <v>0.99987389999999998</v>
      </c>
      <c r="J271">
        <v>0.9892145</v>
      </c>
      <c r="K271">
        <f t="shared" si="13"/>
        <v>1</v>
      </c>
      <c r="L271">
        <f t="shared" si="14"/>
        <v>1</v>
      </c>
      <c r="M271">
        <f t="shared" si="15"/>
        <v>1</v>
      </c>
    </row>
    <row r="272" spans="1:13" x14ac:dyDescent="0.2">
      <c r="A272" t="s">
        <v>2106</v>
      </c>
      <c r="B272" t="s">
        <v>2896</v>
      </c>
      <c r="C272" t="s">
        <v>2891</v>
      </c>
      <c r="D272" t="s">
        <v>522</v>
      </c>
      <c r="E272" t="s">
        <v>503</v>
      </c>
      <c r="F272" t="s">
        <v>13</v>
      </c>
      <c r="G272" t="s">
        <v>14</v>
      </c>
      <c r="H272">
        <v>0.99999959999999999</v>
      </c>
      <c r="I272">
        <v>0.99999590000000005</v>
      </c>
      <c r="J272">
        <v>6.1214900000000003E-3</v>
      </c>
      <c r="K272">
        <f t="shared" si="13"/>
        <v>1</v>
      </c>
      <c r="L272">
        <f t="shared" si="14"/>
        <v>1</v>
      </c>
      <c r="M272">
        <f t="shared" si="15"/>
        <v>0</v>
      </c>
    </row>
    <row r="273" spans="1:13" x14ac:dyDescent="0.2">
      <c r="A273" t="s">
        <v>2107</v>
      </c>
      <c r="B273" t="s">
        <v>2896</v>
      </c>
      <c r="C273" t="s">
        <v>2891</v>
      </c>
      <c r="D273" t="s">
        <v>523</v>
      </c>
      <c r="E273" t="s">
        <v>524</v>
      </c>
      <c r="F273" t="s">
        <v>13</v>
      </c>
      <c r="G273" t="s">
        <v>14</v>
      </c>
      <c r="H273">
        <v>0.99999934000000001</v>
      </c>
      <c r="I273">
        <v>0.99966763999999997</v>
      </c>
      <c r="J273">
        <v>0.90100559999999996</v>
      </c>
      <c r="K273">
        <f t="shared" si="13"/>
        <v>1</v>
      </c>
      <c r="L273">
        <f t="shared" si="14"/>
        <v>1</v>
      </c>
      <c r="M273">
        <f t="shared" si="15"/>
        <v>1</v>
      </c>
    </row>
    <row r="274" spans="1:13" x14ac:dyDescent="0.2">
      <c r="A274" t="s">
        <v>2108</v>
      </c>
      <c r="B274" t="s">
        <v>2896</v>
      </c>
      <c r="C274" t="s">
        <v>2891</v>
      </c>
      <c r="D274" t="s">
        <v>525</v>
      </c>
      <c r="E274" t="s">
        <v>526</v>
      </c>
      <c r="F274" t="s">
        <v>9</v>
      </c>
      <c r="G274" t="s">
        <v>45</v>
      </c>
      <c r="H274">
        <v>0.118690476</v>
      </c>
      <c r="I274" s="1">
        <v>1.0053540000000001E-9</v>
      </c>
      <c r="J274" s="1">
        <v>2.2966955000000001E-13</v>
      </c>
      <c r="K274">
        <f t="shared" si="13"/>
        <v>0</v>
      </c>
      <c r="L274">
        <f t="shared" si="14"/>
        <v>0</v>
      </c>
      <c r="M274">
        <f t="shared" si="15"/>
        <v>0</v>
      </c>
    </row>
    <row r="275" spans="1:13" x14ac:dyDescent="0.2">
      <c r="A275" t="s">
        <v>2109</v>
      </c>
      <c r="B275" t="s">
        <v>2896</v>
      </c>
      <c r="C275" t="s">
        <v>2891</v>
      </c>
      <c r="D275" t="s">
        <v>527</v>
      </c>
      <c r="E275" t="s">
        <v>528</v>
      </c>
      <c r="F275" t="s">
        <v>9</v>
      </c>
      <c r="G275" t="s">
        <v>65</v>
      </c>
      <c r="H275">
        <v>6.4085539999999996E-2</v>
      </c>
      <c r="I275">
        <v>0.99999994000000003</v>
      </c>
      <c r="J275">
        <v>1.30211385E-2</v>
      </c>
      <c r="K275">
        <f t="shared" si="13"/>
        <v>0</v>
      </c>
      <c r="L275">
        <f t="shared" si="14"/>
        <v>1</v>
      </c>
      <c r="M275">
        <f t="shared" si="15"/>
        <v>0</v>
      </c>
    </row>
    <row r="276" spans="1:13" x14ac:dyDescent="0.2">
      <c r="A276" t="s">
        <v>2110</v>
      </c>
      <c r="B276" t="s">
        <v>2896</v>
      </c>
      <c r="C276" t="s">
        <v>2891</v>
      </c>
      <c r="D276" t="s">
        <v>529</v>
      </c>
      <c r="E276" t="s">
        <v>503</v>
      </c>
      <c r="F276" t="s">
        <v>13</v>
      </c>
      <c r="G276" t="s">
        <v>14</v>
      </c>
      <c r="H276">
        <v>0.99999994000000003</v>
      </c>
      <c r="I276">
        <v>0.99999590000000005</v>
      </c>
      <c r="J276">
        <v>0.55729777000000003</v>
      </c>
      <c r="K276">
        <f t="shared" si="13"/>
        <v>1</v>
      </c>
      <c r="L276">
        <f t="shared" si="14"/>
        <v>1</v>
      </c>
      <c r="M276">
        <f t="shared" si="15"/>
        <v>1</v>
      </c>
    </row>
    <row r="277" spans="1:13" x14ac:dyDescent="0.2">
      <c r="A277" t="s">
        <v>2111</v>
      </c>
      <c r="B277" t="s">
        <v>2896</v>
      </c>
      <c r="C277" t="s">
        <v>2891</v>
      </c>
      <c r="D277" t="s">
        <v>530</v>
      </c>
      <c r="E277" t="s">
        <v>531</v>
      </c>
      <c r="F277" t="s">
        <v>9</v>
      </c>
      <c r="G277" t="s">
        <v>45</v>
      </c>
      <c r="H277" s="1">
        <v>6.7503159999999996E-7</v>
      </c>
      <c r="I277">
        <v>1.2797891E-3</v>
      </c>
      <c r="J277" s="1">
        <v>1.2595205E-5</v>
      </c>
      <c r="K277">
        <f t="shared" si="13"/>
        <v>0</v>
      </c>
      <c r="L277">
        <f t="shared" si="14"/>
        <v>0</v>
      </c>
      <c r="M277">
        <f t="shared" si="15"/>
        <v>0</v>
      </c>
    </row>
    <row r="278" spans="1:13" x14ac:dyDescent="0.2">
      <c r="A278" t="s">
        <v>2112</v>
      </c>
      <c r="B278" t="s">
        <v>2896</v>
      </c>
      <c r="C278" t="s">
        <v>2891</v>
      </c>
      <c r="D278" t="s">
        <v>532</v>
      </c>
      <c r="E278" t="s">
        <v>533</v>
      </c>
      <c r="F278" t="s">
        <v>9</v>
      </c>
      <c r="G278" t="s">
        <v>45</v>
      </c>
      <c r="H278">
        <v>0.99999994000000003</v>
      </c>
      <c r="I278" s="1">
        <v>7.0080639999999997E-6</v>
      </c>
      <c r="J278" s="1">
        <v>2.9770320000000001E-8</v>
      </c>
      <c r="K278">
        <f t="shared" si="13"/>
        <v>1</v>
      </c>
      <c r="L278">
        <f t="shared" si="14"/>
        <v>0</v>
      </c>
      <c r="M278">
        <f t="shared" si="15"/>
        <v>0</v>
      </c>
    </row>
    <row r="279" spans="1:13" x14ac:dyDescent="0.2">
      <c r="A279" t="s">
        <v>2113</v>
      </c>
      <c r="B279" t="s">
        <v>2896</v>
      </c>
      <c r="C279" t="s">
        <v>2891</v>
      </c>
      <c r="D279" t="s">
        <v>534</v>
      </c>
      <c r="E279" t="s">
        <v>535</v>
      </c>
      <c r="F279" t="s">
        <v>13</v>
      </c>
      <c r="G279" t="s">
        <v>14</v>
      </c>
      <c r="H279">
        <v>0.99992376999999999</v>
      </c>
      <c r="I279">
        <v>0.99999979999999999</v>
      </c>
      <c r="J279">
        <v>0.41235536</v>
      </c>
      <c r="K279">
        <f t="shared" si="13"/>
        <v>1</v>
      </c>
      <c r="L279">
        <f t="shared" si="14"/>
        <v>1</v>
      </c>
      <c r="M279">
        <f t="shared" si="15"/>
        <v>0</v>
      </c>
    </row>
    <row r="280" spans="1:13" x14ac:dyDescent="0.2">
      <c r="A280" t="s">
        <v>2114</v>
      </c>
      <c r="B280" t="s">
        <v>2896</v>
      </c>
      <c r="C280" t="s">
        <v>2891</v>
      </c>
      <c r="D280" t="s">
        <v>536</v>
      </c>
      <c r="E280" t="s">
        <v>537</v>
      </c>
      <c r="F280" t="s">
        <v>9</v>
      </c>
      <c r="G280" t="s">
        <v>65</v>
      </c>
      <c r="H280">
        <v>0.21518765000000001</v>
      </c>
      <c r="I280">
        <v>1.3990079E-4</v>
      </c>
      <c r="J280" s="1">
        <v>1.8411575E-7</v>
      </c>
      <c r="K280">
        <f t="shared" si="13"/>
        <v>0</v>
      </c>
      <c r="L280">
        <f t="shared" si="14"/>
        <v>0</v>
      </c>
      <c r="M280">
        <f t="shared" si="15"/>
        <v>0</v>
      </c>
    </row>
    <row r="281" spans="1:13" x14ac:dyDescent="0.2">
      <c r="A281" t="s">
        <v>2115</v>
      </c>
      <c r="B281" t="s">
        <v>2896</v>
      </c>
      <c r="C281" t="s">
        <v>2891</v>
      </c>
      <c r="D281" t="s">
        <v>538</v>
      </c>
      <c r="E281" t="s">
        <v>539</v>
      </c>
      <c r="F281" t="s">
        <v>13</v>
      </c>
      <c r="G281" t="s">
        <v>14</v>
      </c>
      <c r="H281">
        <v>0.99999945999999995</v>
      </c>
      <c r="I281">
        <v>0.99999994000000003</v>
      </c>
      <c r="J281">
        <v>0.99834259999999997</v>
      </c>
      <c r="K281">
        <f t="shared" si="13"/>
        <v>1</v>
      </c>
      <c r="L281">
        <f t="shared" si="14"/>
        <v>1</v>
      </c>
      <c r="M281">
        <f t="shared" si="15"/>
        <v>1</v>
      </c>
    </row>
    <row r="282" spans="1:13" x14ac:dyDescent="0.2">
      <c r="A282" t="s">
        <v>2116</v>
      </c>
      <c r="B282" t="s">
        <v>2896</v>
      </c>
      <c r="C282" t="s">
        <v>2891</v>
      </c>
      <c r="D282" t="s">
        <v>540</v>
      </c>
      <c r="E282" t="s">
        <v>541</v>
      </c>
      <c r="F282" t="s">
        <v>17</v>
      </c>
      <c r="G282" t="s">
        <v>10</v>
      </c>
      <c r="H282">
        <v>0.97212356</v>
      </c>
      <c r="I282">
        <v>0.9796473</v>
      </c>
      <c r="J282">
        <v>0.85420119999999999</v>
      </c>
      <c r="K282">
        <f t="shared" si="13"/>
        <v>1</v>
      </c>
      <c r="L282">
        <f t="shared" si="14"/>
        <v>1</v>
      </c>
      <c r="M282">
        <f t="shared" si="15"/>
        <v>1</v>
      </c>
    </row>
    <row r="283" spans="1:13" x14ac:dyDescent="0.2">
      <c r="A283" t="s">
        <v>2117</v>
      </c>
      <c r="B283" t="s">
        <v>2896</v>
      </c>
      <c r="C283" t="s">
        <v>2891</v>
      </c>
      <c r="D283" t="s">
        <v>542</v>
      </c>
      <c r="E283" t="s">
        <v>79</v>
      </c>
      <c r="F283" t="s">
        <v>13</v>
      </c>
      <c r="G283" t="s">
        <v>14</v>
      </c>
      <c r="H283">
        <v>0.99999994000000003</v>
      </c>
      <c r="I283">
        <v>0.99999994000000003</v>
      </c>
      <c r="J283">
        <v>0.96817726000000004</v>
      </c>
      <c r="K283">
        <f t="shared" si="13"/>
        <v>1</v>
      </c>
      <c r="L283">
        <f t="shared" si="14"/>
        <v>1</v>
      </c>
      <c r="M283">
        <f t="shared" si="15"/>
        <v>1</v>
      </c>
    </row>
    <row r="284" spans="1:13" x14ac:dyDescent="0.2">
      <c r="A284" t="s">
        <v>2118</v>
      </c>
      <c r="B284" t="s">
        <v>2896</v>
      </c>
      <c r="C284" t="s">
        <v>2891</v>
      </c>
      <c r="D284" t="s">
        <v>543</v>
      </c>
      <c r="E284" t="s">
        <v>544</v>
      </c>
      <c r="F284" t="s">
        <v>13</v>
      </c>
      <c r="G284" t="s">
        <v>45</v>
      </c>
      <c r="H284">
        <v>0.99999994000000003</v>
      </c>
      <c r="I284">
        <v>3.7290000000000001E-4</v>
      </c>
      <c r="J284">
        <v>7.3745824000000001E-2</v>
      </c>
      <c r="K284">
        <f t="shared" si="13"/>
        <v>1</v>
      </c>
      <c r="L284">
        <f t="shared" si="14"/>
        <v>0</v>
      </c>
      <c r="M284">
        <f t="shared" si="15"/>
        <v>0</v>
      </c>
    </row>
    <row r="285" spans="1:13" x14ac:dyDescent="0.2">
      <c r="A285" t="s">
        <v>2119</v>
      </c>
      <c r="B285" t="s">
        <v>2896</v>
      </c>
      <c r="C285" t="s">
        <v>2891</v>
      </c>
      <c r="D285" t="s">
        <v>545</v>
      </c>
      <c r="E285" t="s">
        <v>546</v>
      </c>
      <c r="F285" t="s">
        <v>13</v>
      </c>
      <c r="G285" t="s">
        <v>14</v>
      </c>
      <c r="H285">
        <v>0.81745833000000001</v>
      </c>
      <c r="I285">
        <v>0.9992974</v>
      </c>
      <c r="J285">
        <v>0.99082999999999999</v>
      </c>
      <c r="K285">
        <f t="shared" si="13"/>
        <v>1</v>
      </c>
      <c r="L285">
        <f t="shared" si="14"/>
        <v>1</v>
      </c>
      <c r="M285">
        <f t="shared" si="15"/>
        <v>1</v>
      </c>
    </row>
    <row r="286" spans="1:13" x14ac:dyDescent="0.2">
      <c r="A286" t="s">
        <v>2120</v>
      </c>
      <c r="B286" t="s">
        <v>2896</v>
      </c>
      <c r="C286" t="s">
        <v>2891</v>
      </c>
      <c r="D286" t="s">
        <v>547</v>
      </c>
      <c r="E286" t="s">
        <v>548</v>
      </c>
      <c r="F286" t="s">
        <v>13</v>
      </c>
      <c r="G286" t="s">
        <v>14</v>
      </c>
      <c r="H286">
        <v>0.99999420000000006</v>
      </c>
      <c r="I286">
        <v>0.99987939999999997</v>
      </c>
      <c r="J286">
        <v>0.99552446999999999</v>
      </c>
      <c r="K286">
        <f t="shared" si="13"/>
        <v>1</v>
      </c>
      <c r="L286">
        <f t="shared" si="14"/>
        <v>1</v>
      </c>
      <c r="M286">
        <f t="shared" si="15"/>
        <v>1</v>
      </c>
    </row>
    <row r="287" spans="1:13" x14ac:dyDescent="0.2">
      <c r="A287" t="s">
        <v>2121</v>
      </c>
      <c r="B287" t="s">
        <v>2896</v>
      </c>
      <c r="C287" t="s">
        <v>2891</v>
      </c>
      <c r="D287" t="s">
        <v>549</v>
      </c>
      <c r="E287" t="s">
        <v>550</v>
      </c>
      <c r="F287" t="s">
        <v>9</v>
      </c>
      <c r="G287" t="s">
        <v>10</v>
      </c>
      <c r="H287">
        <v>0.99981120000000001</v>
      </c>
      <c r="I287">
        <v>0.99999994000000003</v>
      </c>
      <c r="J287">
        <v>0.10496663000000001</v>
      </c>
      <c r="K287">
        <f t="shared" si="13"/>
        <v>1</v>
      </c>
      <c r="L287">
        <f t="shared" si="14"/>
        <v>1</v>
      </c>
      <c r="M287">
        <f t="shared" si="15"/>
        <v>0</v>
      </c>
    </row>
    <row r="288" spans="1:13" x14ac:dyDescent="0.2">
      <c r="A288" t="s">
        <v>2122</v>
      </c>
      <c r="B288" t="s">
        <v>2896</v>
      </c>
      <c r="C288" t="s">
        <v>2891</v>
      </c>
      <c r="D288" t="s">
        <v>551</v>
      </c>
      <c r="E288" t="s">
        <v>552</v>
      </c>
      <c r="F288" t="s">
        <v>13</v>
      </c>
      <c r="G288" t="s">
        <v>14</v>
      </c>
      <c r="H288">
        <v>0.99920386000000005</v>
      </c>
      <c r="I288">
        <v>0.99995860000000003</v>
      </c>
      <c r="J288">
        <v>0.83244865999999995</v>
      </c>
      <c r="K288">
        <f t="shared" si="13"/>
        <v>1</v>
      </c>
      <c r="L288">
        <f t="shared" si="14"/>
        <v>1</v>
      </c>
      <c r="M288">
        <f t="shared" si="15"/>
        <v>1</v>
      </c>
    </row>
    <row r="289" spans="1:13" x14ac:dyDescent="0.2">
      <c r="A289" t="s">
        <v>2123</v>
      </c>
      <c r="B289" t="s">
        <v>2896</v>
      </c>
      <c r="C289" t="s">
        <v>2891</v>
      </c>
      <c r="D289" t="s">
        <v>553</v>
      </c>
      <c r="E289" t="s">
        <v>554</v>
      </c>
      <c r="F289" t="s">
        <v>9</v>
      </c>
      <c r="G289" t="s">
        <v>14</v>
      </c>
      <c r="H289">
        <v>0.99999755999999995</v>
      </c>
      <c r="I289">
        <v>0.99999446000000003</v>
      </c>
      <c r="J289">
        <v>2.4980353E-2</v>
      </c>
      <c r="K289">
        <f t="shared" si="13"/>
        <v>1</v>
      </c>
      <c r="L289">
        <f t="shared" si="14"/>
        <v>1</v>
      </c>
      <c r="M289">
        <f t="shared" si="15"/>
        <v>0</v>
      </c>
    </row>
    <row r="290" spans="1:13" x14ac:dyDescent="0.2">
      <c r="A290" t="s">
        <v>2124</v>
      </c>
      <c r="B290" t="s">
        <v>2896</v>
      </c>
      <c r="C290" t="s">
        <v>2891</v>
      </c>
      <c r="D290" t="s">
        <v>555</v>
      </c>
      <c r="E290" t="s">
        <v>556</v>
      </c>
      <c r="F290" t="s">
        <v>13</v>
      </c>
      <c r="G290" t="s">
        <v>14</v>
      </c>
      <c r="H290">
        <v>0.99990860000000004</v>
      </c>
      <c r="I290">
        <v>0.99999994000000003</v>
      </c>
      <c r="J290">
        <v>0.99952629999999998</v>
      </c>
      <c r="K290">
        <f t="shared" si="13"/>
        <v>1</v>
      </c>
      <c r="L290">
        <f t="shared" si="14"/>
        <v>1</v>
      </c>
      <c r="M290">
        <f t="shared" si="15"/>
        <v>1</v>
      </c>
    </row>
    <row r="291" spans="1:13" x14ac:dyDescent="0.2">
      <c r="A291" t="s">
        <v>2125</v>
      </c>
      <c r="B291" t="s">
        <v>2896</v>
      </c>
      <c r="C291" t="s">
        <v>2891</v>
      </c>
      <c r="D291" t="s">
        <v>557</v>
      </c>
      <c r="E291" t="s">
        <v>558</v>
      </c>
      <c r="F291" t="s">
        <v>9</v>
      </c>
      <c r="G291" t="s">
        <v>143</v>
      </c>
      <c r="H291" s="1">
        <v>3.8738903999999999E-7</v>
      </c>
      <c r="I291" s="1">
        <v>1.9365033999999999E-9</v>
      </c>
      <c r="J291">
        <v>3.5459863000000002E-3</v>
      </c>
      <c r="K291">
        <f t="shared" si="13"/>
        <v>0</v>
      </c>
      <c r="L291">
        <f t="shared" si="14"/>
        <v>0</v>
      </c>
      <c r="M291">
        <f t="shared" si="15"/>
        <v>0</v>
      </c>
    </row>
    <row r="292" spans="1:13" x14ac:dyDescent="0.2">
      <c r="A292" t="s">
        <v>2126</v>
      </c>
      <c r="B292" t="s">
        <v>2896</v>
      </c>
      <c r="C292" t="s">
        <v>2891</v>
      </c>
      <c r="D292" t="s">
        <v>559</v>
      </c>
      <c r="E292" t="s">
        <v>560</v>
      </c>
      <c r="F292" t="s">
        <v>9</v>
      </c>
      <c r="G292" t="s">
        <v>65</v>
      </c>
      <c r="H292">
        <v>4.6119359999999996E-3</v>
      </c>
      <c r="I292" s="1">
        <v>5.8628724E-9</v>
      </c>
      <c r="J292" s="1">
        <v>4.4006157000000002E-7</v>
      </c>
      <c r="K292">
        <f t="shared" si="13"/>
        <v>0</v>
      </c>
      <c r="L292">
        <f t="shared" si="14"/>
        <v>0</v>
      </c>
      <c r="M292">
        <f t="shared" si="15"/>
        <v>0</v>
      </c>
    </row>
    <row r="293" spans="1:13" x14ac:dyDescent="0.2">
      <c r="A293" t="s">
        <v>2127</v>
      </c>
      <c r="B293" t="s">
        <v>2896</v>
      </c>
      <c r="C293" t="s">
        <v>2891</v>
      </c>
      <c r="D293" t="s">
        <v>561</v>
      </c>
      <c r="E293" t="s">
        <v>562</v>
      </c>
      <c r="F293" t="s">
        <v>13</v>
      </c>
      <c r="G293" t="s">
        <v>14</v>
      </c>
      <c r="H293">
        <v>0.99999970000000005</v>
      </c>
      <c r="I293">
        <v>0.25477139999999998</v>
      </c>
      <c r="J293">
        <v>3.2459040000000002E-2</v>
      </c>
      <c r="K293">
        <f t="shared" si="13"/>
        <v>1</v>
      </c>
      <c r="L293">
        <f t="shared" si="14"/>
        <v>0</v>
      </c>
      <c r="M293">
        <f t="shared" si="15"/>
        <v>0</v>
      </c>
    </row>
    <row r="294" spans="1:13" x14ac:dyDescent="0.2">
      <c r="A294" t="s">
        <v>2128</v>
      </c>
      <c r="B294" t="s">
        <v>2896</v>
      </c>
      <c r="C294" t="s">
        <v>2891</v>
      </c>
      <c r="D294" t="s">
        <v>563</v>
      </c>
      <c r="E294" t="s">
        <v>564</v>
      </c>
      <c r="F294" t="s">
        <v>13</v>
      </c>
      <c r="G294" t="s">
        <v>14</v>
      </c>
      <c r="H294">
        <v>0.99998909999999996</v>
      </c>
      <c r="I294">
        <v>0.99987530000000002</v>
      </c>
      <c r="J294">
        <v>0.9983455</v>
      </c>
      <c r="K294">
        <f t="shared" si="13"/>
        <v>1</v>
      </c>
      <c r="L294">
        <f t="shared" si="14"/>
        <v>1</v>
      </c>
      <c r="M294">
        <f t="shared" si="15"/>
        <v>1</v>
      </c>
    </row>
    <row r="295" spans="1:13" x14ac:dyDescent="0.2">
      <c r="A295" t="s">
        <v>2129</v>
      </c>
      <c r="B295" t="s">
        <v>2896</v>
      </c>
      <c r="C295" t="s">
        <v>2891</v>
      </c>
      <c r="D295" t="s">
        <v>565</v>
      </c>
      <c r="E295" t="s">
        <v>566</v>
      </c>
      <c r="F295" t="s">
        <v>9</v>
      </c>
      <c r="G295" t="s">
        <v>14</v>
      </c>
      <c r="H295">
        <v>0.99999636000000003</v>
      </c>
      <c r="I295">
        <v>0.99837220000000004</v>
      </c>
      <c r="J295">
        <v>0.99284030000000001</v>
      </c>
      <c r="K295">
        <f t="shared" si="13"/>
        <v>1</v>
      </c>
      <c r="L295">
        <f t="shared" si="14"/>
        <v>1</v>
      </c>
      <c r="M295">
        <f t="shared" si="15"/>
        <v>1</v>
      </c>
    </row>
    <row r="296" spans="1:13" x14ac:dyDescent="0.2">
      <c r="A296" t="s">
        <v>2130</v>
      </c>
      <c r="B296" t="s">
        <v>2896</v>
      </c>
      <c r="C296" t="s">
        <v>2891</v>
      </c>
      <c r="D296" t="s">
        <v>567</v>
      </c>
      <c r="E296" t="s">
        <v>568</v>
      </c>
      <c r="F296" t="s">
        <v>13</v>
      </c>
      <c r="G296" t="s">
        <v>14</v>
      </c>
      <c r="H296">
        <v>0.98636159999999995</v>
      </c>
      <c r="I296">
        <v>0.99999994000000003</v>
      </c>
      <c r="J296">
        <v>0.97030866000000005</v>
      </c>
      <c r="K296">
        <f t="shared" si="13"/>
        <v>1</v>
      </c>
      <c r="L296">
        <f t="shared" si="14"/>
        <v>1</v>
      </c>
      <c r="M296">
        <f t="shared" si="15"/>
        <v>1</v>
      </c>
    </row>
    <row r="297" spans="1:13" x14ac:dyDescent="0.2">
      <c r="A297" t="s">
        <v>2131</v>
      </c>
      <c r="B297" t="s">
        <v>2896</v>
      </c>
      <c r="C297" t="s">
        <v>2891</v>
      </c>
      <c r="D297" t="s">
        <v>569</v>
      </c>
      <c r="E297" t="s">
        <v>570</v>
      </c>
      <c r="F297" t="s">
        <v>13</v>
      </c>
      <c r="G297" t="s">
        <v>18</v>
      </c>
      <c r="H297">
        <v>0.99999994000000003</v>
      </c>
      <c r="I297">
        <v>4.9484864999999999E-4</v>
      </c>
      <c r="J297" s="1">
        <v>4.0191539999999999E-5</v>
      </c>
      <c r="K297">
        <f t="shared" si="13"/>
        <v>1</v>
      </c>
      <c r="L297">
        <f t="shared" si="14"/>
        <v>0</v>
      </c>
      <c r="M297">
        <f t="shared" si="15"/>
        <v>0</v>
      </c>
    </row>
    <row r="298" spans="1:13" x14ac:dyDescent="0.2">
      <c r="A298" t="s">
        <v>2132</v>
      </c>
      <c r="B298" t="s">
        <v>2896</v>
      </c>
      <c r="C298" t="s">
        <v>2891</v>
      </c>
      <c r="D298" t="e">
        <f>-VQ-LVQSGA-EVKKPGASVKVSCKASGYTF---------SSYALS-WVRQ-A-P-G-Q--G-LE-WMGRISGN------------GNTNY--A--Q--KF--Q---GRVTMTR-D---T-S--TS----T-VYMELSSLRS-EDTAVYYCAKAASG-------------------------DFPDDYWG-QGTLVTVSS</f>
        <v>#NAME?</v>
      </c>
      <c r="E298" t="s">
        <v>571</v>
      </c>
      <c r="F298" t="s">
        <v>9</v>
      </c>
      <c r="G298" t="s">
        <v>14</v>
      </c>
      <c r="H298">
        <v>0.99999479999999996</v>
      </c>
      <c r="I298">
        <v>0.99999970000000005</v>
      </c>
      <c r="J298">
        <v>0.99999994000000003</v>
      </c>
      <c r="K298">
        <f t="shared" si="13"/>
        <v>1</v>
      </c>
      <c r="L298">
        <f t="shared" si="14"/>
        <v>1</v>
      </c>
      <c r="M298">
        <f t="shared" si="15"/>
        <v>1</v>
      </c>
    </row>
    <row r="299" spans="1:13" x14ac:dyDescent="0.2">
      <c r="A299" t="s">
        <v>2133</v>
      </c>
      <c r="B299" t="s">
        <v>2896</v>
      </c>
      <c r="C299" t="s">
        <v>2891</v>
      </c>
      <c r="D299" t="s">
        <v>572</v>
      </c>
      <c r="E299" t="s">
        <v>573</v>
      </c>
      <c r="F299" t="s">
        <v>13</v>
      </c>
      <c r="G299" t="s">
        <v>14</v>
      </c>
      <c r="H299">
        <v>0.99994963000000003</v>
      </c>
      <c r="I299">
        <v>0.98113079999999997</v>
      </c>
      <c r="J299">
        <v>0.99908434999999995</v>
      </c>
      <c r="K299">
        <f t="shared" si="13"/>
        <v>1</v>
      </c>
      <c r="L299">
        <f t="shared" si="14"/>
        <v>1</v>
      </c>
      <c r="M299">
        <f t="shared" si="15"/>
        <v>1</v>
      </c>
    </row>
    <row r="300" spans="1:13" x14ac:dyDescent="0.2">
      <c r="A300" t="s">
        <v>2134</v>
      </c>
      <c r="B300" t="s">
        <v>2896</v>
      </c>
      <c r="C300" t="s">
        <v>2891</v>
      </c>
      <c r="D300" t="s">
        <v>574</v>
      </c>
      <c r="E300" t="s">
        <v>575</v>
      </c>
      <c r="F300" t="s">
        <v>13</v>
      </c>
      <c r="G300" t="s">
        <v>14</v>
      </c>
      <c r="H300">
        <v>0.99712020000000001</v>
      </c>
      <c r="I300">
        <v>0.99999994000000003</v>
      </c>
      <c r="J300">
        <v>0.75442030000000004</v>
      </c>
      <c r="K300">
        <f t="shared" si="13"/>
        <v>1</v>
      </c>
      <c r="L300">
        <f t="shared" si="14"/>
        <v>1</v>
      </c>
      <c r="M300">
        <f t="shared" si="15"/>
        <v>1</v>
      </c>
    </row>
    <row r="301" spans="1:13" x14ac:dyDescent="0.2">
      <c r="A301" t="s">
        <v>2135</v>
      </c>
      <c r="B301" t="s">
        <v>2896</v>
      </c>
      <c r="C301" t="s">
        <v>2891</v>
      </c>
      <c r="D301" t="s">
        <v>576</v>
      </c>
      <c r="E301" t="s">
        <v>577</v>
      </c>
      <c r="F301" t="s">
        <v>13</v>
      </c>
      <c r="G301" t="s">
        <v>14</v>
      </c>
      <c r="H301">
        <v>0.99999994000000003</v>
      </c>
      <c r="I301">
        <v>0.99999945999999995</v>
      </c>
      <c r="J301">
        <v>0.98974569999999995</v>
      </c>
      <c r="K301">
        <f t="shared" si="13"/>
        <v>1</v>
      </c>
      <c r="L301">
        <f t="shared" si="14"/>
        <v>1</v>
      </c>
      <c r="M301">
        <f t="shared" si="15"/>
        <v>1</v>
      </c>
    </row>
    <row r="302" spans="1:13" x14ac:dyDescent="0.2">
      <c r="A302" t="s">
        <v>2136</v>
      </c>
      <c r="B302" t="s">
        <v>2897</v>
      </c>
      <c r="C302" t="s">
        <v>2891</v>
      </c>
      <c r="D302" t="s">
        <v>578</v>
      </c>
      <c r="E302" t="s">
        <v>579</v>
      </c>
      <c r="F302" t="s">
        <v>13</v>
      </c>
      <c r="G302" t="s">
        <v>14</v>
      </c>
      <c r="H302">
        <v>0.99282760000000003</v>
      </c>
      <c r="I302">
        <v>0.99856484000000001</v>
      </c>
      <c r="J302">
        <v>8.2746863999999998E-4</v>
      </c>
      <c r="K302">
        <f t="shared" si="13"/>
        <v>1</v>
      </c>
      <c r="L302">
        <f t="shared" si="14"/>
        <v>1</v>
      </c>
      <c r="M302">
        <f t="shared" si="15"/>
        <v>0</v>
      </c>
    </row>
    <row r="303" spans="1:13" x14ac:dyDescent="0.2">
      <c r="A303" t="s">
        <v>2137</v>
      </c>
      <c r="B303" t="s">
        <v>2897</v>
      </c>
      <c r="C303" t="s">
        <v>2891</v>
      </c>
      <c r="D303" t="s">
        <v>580</v>
      </c>
      <c r="E303" t="s">
        <v>581</v>
      </c>
      <c r="F303" t="s">
        <v>9</v>
      </c>
      <c r="G303" t="s">
        <v>36</v>
      </c>
      <c r="H303">
        <v>0.60528150000000003</v>
      </c>
      <c r="I303" s="1">
        <v>4.6036669999999998E-8</v>
      </c>
      <c r="J303" s="1">
        <v>5.6267097999999998E-9</v>
      </c>
      <c r="K303">
        <f t="shared" si="13"/>
        <v>1</v>
      </c>
      <c r="L303">
        <f t="shared" si="14"/>
        <v>0</v>
      </c>
      <c r="M303">
        <f t="shared" si="15"/>
        <v>0</v>
      </c>
    </row>
    <row r="304" spans="1:13" x14ac:dyDescent="0.2">
      <c r="A304" t="s">
        <v>2138</v>
      </c>
      <c r="B304" t="s">
        <v>2897</v>
      </c>
      <c r="C304" t="s">
        <v>2891</v>
      </c>
      <c r="D304" t="s">
        <v>582</v>
      </c>
      <c r="E304" t="s">
        <v>583</v>
      </c>
      <c r="F304" t="s">
        <v>9</v>
      </c>
      <c r="G304" t="s">
        <v>18</v>
      </c>
      <c r="H304">
        <v>0.99997239999999998</v>
      </c>
      <c r="I304">
        <v>0.99539053</v>
      </c>
      <c r="J304">
        <v>7.0060740000000002E-3</v>
      </c>
      <c r="K304">
        <f t="shared" si="13"/>
        <v>1</v>
      </c>
      <c r="L304">
        <f t="shared" si="14"/>
        <v>1</v>
      </c>
      <c r="M304">
        <f t="shared" si="15"/>
        <v>0</v>
      </c>
    </row>
    <row r="305" spans="1:13" x14ac:dyDescent="0.2">
      <c r="A305" t="s">
        <v>2139</v>
      </c>
      <c r="B305" t="s">
        <v>2897</v>
      </c>
      <c r="C305" t="s">
        <v>2891</v>
      </c>
      <c r="D305" t="s">
        <v>584</v>
      </c>
      <c r="E305" t="s">
        <v>147</v>
      </c>
      <c r="F305" t="s">
        <v>13</v>
      </c>
      <c r="G305" t="s">
        <v>14</v>
      </c>
      <c r="H305">
        <v>0.99998622999999998</v>
      </c>
      <c r="I305">
        <v>0.99933510000000003</v>
      </c>
      <c r="J305">
        <v>0.99594470000000002</v>
      </c>
      <c r="K305">
        <f t="shared" si="13"/>
        <v>1</v>
      </c>
      <c r="L305">
        <f t="shared" si="14"/>
        <v>1</v>
      </c>
      <c r="M305">
        <f t="shared" si="15"/>
        <v>1</v>
      </c>
    </row>
    <row r="306" spans="1:13" x14ac:dyDescent="0.2">
      <c r="A306" t="s">
        <v>2140</v>
      </c>
      <c r="B306" t="s">
        <v>2897</v>
      </c>
      <c r="C306" t="s">
        <v>2891</v>
      </c>
      <c r="D306" t="e">
        <f>-VQ-LVQSGA-EVKKPGASVKVSCKASGYTF---------TSYGIS-WVRQ-A-P-G-Q--G-LE-WMGWISAY-----------NGNTNY--A--Q--KL--Q---GRVTMTT-D---T-S--TS----T-AYMELRSLRS-DDTAVYYCAREGAY-------------------------GYRSPYWG-QGTLVTVSS</f>
        <v>#NAME?</v>
      </c>
      <c r="E306" t="s">
        <v>585</v>
      </c>
      <c r="F306" t="s">
        <v>9</v>
      </c>
      <c r="G306" t="s">
        <v>10</v>
      </c>
      <c r="H306">
        <v>0.9910175</v>
      </c>
      <c r="I306">
        <v>0.99999994000000003</v>
      </c>
      <c r="J306">
        <v>0.99998430000000005</v>
      </c>
      <c r="K306">
        <f t="shared" si="13"/>
        <v>1</v>
      </c>
      <c r="L306">
        <f t="shared" si="14"/>
        <v>1</v>
      </c>
      <c r="M306">
        <f t="shared" si="15"/>
        <v>1</v>
      </c>
    </row>
    <row r="307" spans="1:13" x14ac:dyDescent="0.2">
      <c r="A307" t="s">
        <v>2141</v>
      </c>
      <c r="B307" t="s">
        <v>2897</v>
      </c>
      <c r="C307" t="s">
        <v>2891</v>
      </c>
      <c r="D307" t="s">
        <v>586</v>
      </c>
      <c r="E307" t="s">
        <v>587</v>
      </c>
      <c r="F307" t="s">
        <v>9</v>
      </c>
      <c r="G307" t="s">
        <v>14</v>
      </c>
      <c r="H307">
        <v>0.96536999999999995</v>
      </c>
      <c r="I307">
        <v>0.99999994000000003</v>
      </c>
      <c r="J307">
        <v>0.99756473000000001</v>
      </c>
      <c r="K307">
        <f t="shared" si="13"/>
        <v>1</v>
      </c>
      <c r="L307">
        <f t="shared" si="14"/>
        <v>1</v>
      </c>
      <c r="M307">
        <f t="shared" si="15"/>
        <v>1</v>
      </c>
    </row>
    <row r="308" spans="1:13" x14ac:dyDescent="0.2">
      <c r="A308" t="s">
        <v>2142</v>
      </c>
      <c r="B308" t="s">
        <v>2897</v>
      </c>
      <c r="C308" t="s">
        <v>2891</v>
      </c>
      <c r="D308" t="s">
        <v>588</v>
      </c>
      <c r="E308" t="s">
        <v>147</v>
      </c>
      <c r="F308" t="s">
        <v>13</v>
      </c>
      <c r="G308" t="s">
        <v>14</v>
      </c>
      <c r="H308">
        <v>0.99893540000000003</v>
      </c>
      <c r="I308">
        <v>0.99933510000000003</v>
      </c>
      <c r="J308">
        <v>0.99815905000000005</v>
      </c>
      <c r="K308">
        <f t="shared" si="13"/>
        <v>1</v>
      </c>
      <c r="L308">
        <f t="shared" si="14"/>
        <v>1</v>
      </c>
      <c r="M308">
        <f t="shared" si="15"/>
        <v>1</v>
      </c>
    </row>
    <row r="309" spans="1:13" x14ac:dyDescent="0.2">
      <c r="A309" t="s">
        <v>2143</v>
      </c>
      <c r="B309" t="s">
        <v>2897</v>
      </c>
      <c r="C309" t="s">
        <v>2891</v>
      </c>
      <c r="D309" t="e">
        <f>-VQ-LVESGG-GLVQPGGSLRLSCAASGFTF---------SSYAMS-WVRQ-A-P-G-K--G-LE-WVSAIVSA-----------RGYTYY--A--D--SV--K---GRFTISR-D---N-S--KN----T-LYLQMNSLRA-EDTAVYYCAKDLRW-------------------------YWSGDYWG-QGTLVTVSS</f>
        <v>#NAME?</v>
      </c>
      <c r="E309" t="s">
        <v>147</v>
      </c>
      <c r="F309" t="s">
        <v>13</v>
      </c>
      <c r="G309" t="s">
        <v>14</v>
      </c>
      <c r="H309">
        <v>0.99549319999999997</v>
      </c>
      <c r="I309">
        <v>0.99933510000000003</v>
      </c>
      <c r="J309">
        <v>0.2930239</v>
      </c>
      <c r="K309">
        <f t="shared" si="13"/>
        <v>1</v>
      </c>
      <c r="L309">
        <f t="shared" si="14"/>
        <v>1</v>
      </c>
      <c r="M309">
        <f t="shared" si="15"/>
        <v>0</v>
      </c>
    </row>
    <row r="310" spans="1:13" x14ac:dyDescent="0.2">
      <c r="A310" t="s">
        <v>2144</v>
      </c>
      <c r="B310" t="s">
        <v>2897</v>
      </c>
      <c r="C310" t="s">
        <v>2891</v>
      </c>
      <c r="D310" t="e">
        <f>-VQ-LVQSGA-EVKKPGASVKVSCKASGYTF---------TGYYMH-WVRQ-A-P-G-Q--G-LE-WMGWIKSP------------DDTNY--A--Q--KF--Q---GRVTMTS-D---T-S--TS----T-VYMEL---RS-EDTAVYYCARAPN----------------------------YFDYWG-QGTLVTVSS</f>
        <v>#NAME?</v>
      </c>
      <c r="E310" t="s">
        <v>589</v>
      </c>
      <c r="F310" t="s">
        <v>9</v>
      </c>
      <c r="G310" t="s">
        <v>10</v>
      </c>
      <c r="H310">
        <v>0.99998503999999999</v>
      </c>
      <c r="I310">
        <v>0.99999994000000003</v>
      </c>
      <c r="J310">
        <v>0.99022319999999997</v>
      </c>
      <c r="K310">
        <f t="shared" si="13"/>
        <v>1</v>
      </c>
      <c r="L310">
        <f t="shared" si="14"/>
        <v>1</v>
      </c>
      <c r="M310">
        <f t="shared" si="15"/>
        <v>1</v>
      </c>
    </row>
    <row r="311" spans="1:13" x14ac:dyDescent="0.2">
      <c r="A311" t="s">
        <v>2145</v>
      </c>
      <c r="B311" t="s">
        <v>2897</v>
      </c>
      <c r="C311" t="s">
        <v>2891</v>
      </c>
      <c r="D311" t="s">
        <v>590</v>
      </c>
      <c r="E311" t="s">
        <v>591</v>
      </c>
      <c r="F311" t="s">
        <v>13</v>
      </c>
      <c r="G311" t="s">
        <v>14</v>
      </c>
      <c r="H311">
        <v>0.80447303999999997</v>
      </c>
      <c r="I311">
        <v>0.99999994000000003</v>
      </c>
      <c r="J311">
        <v>2.8699381E-2</v>
      </c>
      <c r="K311">
        <f t="shared" si="13"/>
        <v>1</v>
      </c>
      <c r="L311">
        <f t="shared" si="14"/>
        <v>1</v>
      </c>
      <c r="M311">
        <f t="shared" si="15"/>
        <v>0</v>
      </c>
    </row>
    <row r="312" spans="1:13" x14ac:dyDescent="0.2">
      <c r="A312" t="s">
        <v>2146</v>
      </c>
      <c r="B312" t="s">
        <v>2897</v>
      </c>
      <c r="C312" t="s">
        <v>2891</v>
      </c>
      <c r="D312" t="s">
        <v>592</v>
      </c>
      <c r="E312" t="s">
        <v>593</v>
      </c>
      <c r="F312" t="s">
        <v>13</v>
      </c>
      <c r="G312" t="s">
        <v>14</v>
      </c>
      <c r="H312">
        <v>0.99926139999999997</v>
      </c>
      <c r="I312">
        <v>0.99982905</v>
      </c>
      <c r="J312">
        <v>0.102104135</v>
      </c>
      <c r="K312">
        <f t="shared" si="13"/>
        <v>1</v>
      </c>
      <c r="L312">
        <f t="shared" si="14"/>
        <v>1</v>
      </c>
      <c r="M312">
        <f t="shared" si="15"/>
        <v>0</v>
      </c>
    </row>
    <row r="313" spans="1:13" x14ac:dyDescent="0.2">
      <c r="A313" t="s">
        <v>2147</v>
      </c>
      <c r="B313" t="s">
        <v>2897</v>
      </c>
      <c r="C313" t="s">
        <v>2891</v>
      </c>
      <c r="D313" t="s">
        <v>594</v>
      </c>
      <c r="E313" t="s">
        <v>595</v>
      </c>
      <c r="F313" t="s">
        <v>9</v>
      </c>
      <c r="G313" t="s">
        <v>65</v>
      </c>
      <c r="H313">
        <v>0.99993246999999996</v>
      </c>
      <c r="I313">
        <v>0.99999994000000003</v>
      </c>
      <c r="J313" s="1">
        <v>7.0409730000000003E-6</v>
      </c>
      <c r="K313">
        <f t="shared" si="13"/>
        <v>1</v>
      </c>
      <c r="L313">
        <f t="shared" si="14"/>
        <v>1</v>
      </c>
      <c r="M313">
        <f t="shared" si="15"/>
        <v>0</v>
      </c>
    </row>
    <row r="314" spans="1:13" x14ac:dyDescent="0.2">
      <c r="A314" t="s">
        <v>2148</v>
      </c>
      <c r="B314" t="s">
        <v>2897</v>
      </c>
      <c r="C314" t="s">
        <v>2891</v>
      </c>
      <c r="D314" t="s">
        <v>596</v>
      </c>
      <c r="E314" t="s">
        <v>597</v>
      </c>
      <c r="F314" t="s">
        <v>17</v>
      </c>
      <c r="G314" t="s">
        <v>36</v>
      </c>
      <c r="H314" s="1">
        <v>1.885385E-8</v>
      </c>
      <c r="I314" s="1">
        <v>7.3330895E-8</v>
      </c>
      <c r="J314" s="1">
        <v>6.8275560000000001E-6</v>
      </c>
      <c r="K314">
        <f t="shared" si="13"/>
        <v>0</v>
      </c>
      <c r="L314">
        <f t="shared" si="14"/>
        <v>0</v>
      </c>
      <c r="M314">
        <f t="shared" si="15"/>
        <v>0</v>
      </c>
    </row>
    <row r="315" spans="1:13" x14ac:dyDescent="0.2">
      <c r="A315" t="s">
        <v>2149</v>
      </c>
      <c r="B315" t="s">
        <v>2897</v>
      </c>
      <c r="C315" t="s">
        <v>2891</v>
      </c>
      <c r="D315" t="s">
        <v>598</v>
      </c>
      <c r="E315" t="s">
        <v>599</v>
      </c>
      <c r="F315" t="s">
        <v>9</v>
      </c>
      <c r="G315" t="s">
        <v>10</v>
      </c>
      <c r="H315">
        <v>0.99999959999999999</v>
      </c>
      <c r="I315">
        <v>0.99999994000000003</v>
      </c>
      <c r="J315">
        <v>0.99967813000000005</v>
      </c>
      <c r="K315">
        <f t="shared" si="13"/>
        <v>1</v>
      </c>
      <c r="L315">
        <f t="shared" si="14"/>
        <v>1</v>
      </c>
      <c r="M315">
        <f t="shared" si="15"/>
        <v>1</v>
      </c>
    </row>
    <row r="316" spans="1:13" x14ac:dyDescent="0.2">
      <c r="A316" t="s">
        <v>2150</v>
      </c>
      <c r="B316" t="s">
        <v>2897</v>
      </c>
      <c r="C316" t="s">
        <v>2891</v>
      </c>
      <c r="D316" t="s">
        <v>600</v>
      </c>
      <c r="E316" t="s">
        <v>601</v>
      </c>
      <c r="F316" t="s">
        <v>13</v>
      </c>
      <c r="G316" t="s">
        <v>14</v>
      </c>
      <c r="H316">
        <v>0.99999945999999995</v>
      </c>
      <c r="I316">
        <v>0.99991876000000002</v>
      </c>
      <c r="J316">
        <v>0.99864286000000002</v>
      </c>
      <c r="K316">
        <f t="shared" si="13"/>
        <v>1</v>
      </c>
      <c r="L316">
        <f t="shared" si="14"/>
        <v>1</v>
      </c>
      <c r="M316">
        <f t="shared" si="15"/>
        <v>1</v>
      </c>
    </row>
    <row r="317" spans="1:13" x14ac:dyDescent="0.2">
      <c r="A317" t="s">
        <v>2151</v>
      </c>
      <c r="B317" t="s">
        <v>2897</v>
      </c>
      <c r="C317" t="s">
        <v>2891</v>
      </c>
      <c r="D317" t="s">
        <v>602</v>
      </c>
      <c r="E317" t="s">
        <v>603</v>
      </c>
      <c r="F317" t="s">
        <v>17</v>
      </c>
      <c r="G317" t="s">
        <v>14</v>
      </c>
      <c r="H317">
        <v>0.99999400000000005</v>
      </c>
      <c r="I317">
        <v>0.99999994000000003</v>
      </c>
      <c r="J317">
        <v>0.75651230000000003</v>
      </c>
      <c r="K317">
        <f t="shared" si="13"/>
        <v>1</v>
      </c>
      <c r="L317">
        <f t="shared" si="14"/>
        <v>1</v>
      </c>
      <c r="M317">
        <f t="shared" si="15"/>
        <v>1</v>
      </c>
    </row>
    <row r="318" spans="1:13" x14ac:dyDescent="0.2">
      <c r="A318" t="s">
        <v>2152</v>
      </c>
      <c r="B318" t="s">
        <v>2897</v>
      </c>
      <c r="C318" t="s">
        <v>2891</v>
      </c>
      <c r="D318" t="s">
        <v>604</v>
      </c>
      <c r="E318" t="s">
        <v>605</v>
      </c>
      <c r="F318" t="s">
        <v>9</v>
      </c>
      <c r="G318" t="s">
        <v>36</v>
      </c>
      <c r="H318">
        <v>0.99448080000000005</v>
      </c>
      <c r="I318" s="1">
        <v>4.2245694E-7</v>
      </c>
      <c r="J318" s="1">
        <v>2.9003428000000001E-11</v>
      </c>
      <c r="K318">
        <f t="shared" si="13"/>
        <v>1</v>
      </c>
      <c r="L318">
        <f t="shared" si="14"/>
        <v>0</v>
      </c>
      <c r="M318">
        <f t="shared" si="15"/>
        <v>0</v>
      </c>
    </row>
    <row r="319" spans="1:13" x14ac:dyDescent="0.2">
      <c r="A319" t="s">
        <v>2153</v>
      </c>
      <c r="B319" t="s">
        <v>2897</v>
      </c>
      <c r="C319" t="s">
        <v>2891</v>
      </c>
      <c r="D319" t="s">
        <v>606</v>
      </c>
      <c r="E319" t="s">
        <v>607</v>
      </c>
      <c r="F319" t="s">
        <v>13</v>
      </c>
      <c r="G319" t="s">
        <v>212</v>
      </c>
      <c r="H319">
        <v>0.47306271999999999</v>
      </c>
      <c r="I319">
        <v>0.99984240000000002</v>
      </c>
      <c r="J319">
        <v>2.6581871999999999E-3</v>
      </c>
      <c r="K319">
        <f t="shared" si="13"/>
        <v>0</v>
      </c>
      <c r="L319">
        <f t="shared" si="14"/>
        <v>1</v>
      </c>
      <c r="M319">
        <f t="shared" si="15"/>
        <v>0</v>
      </c>
    </row>
    <row r="320" spans="1:13" x14ac:dyDescent="0.2">
      <c r="A320" t="s">
        <v>2154</v>
      </c>
      <c r="B320" t="s">
        <v>2897</v>
      </c>
      <c r="C320" t="s">
        <v>2891</v>
      </c>
      <c r="D320" t="s">
        <v>608</v>
      </c>
      <c r="E320" t="s">
        <v>609</v>
      </c>
      <c r="F320" t="s">
        <v>13</v>
      </c>
      <c r="G320" t="s">
        <v>610</v>
      </c>
      <c r="H320">
        <v>0.99999910000000003</v>
      </c>
      <c r="I320">
        <v>0.94901849999999999</v>
      </c>
      <c r="J320">
        <v>0.99325319999999995</v>
      </c>
      <c r="K320">
        <f t="shared" si="13"/>
        <v>1</v>
      </c>
      <c r="L320">
        <f t="shared" si="14"/>
        <v>1</v>
      </c>
      <c r="M320">
        <f t="shared" si="15"/>
        <v>1</v>
      </c>
    </row>
    <row r="321" spans="1:13" x14ac:dyDescent="0.2">
      <c r="A321" t="s">
        <v>2155</v>
      </c>
      <c r="B321" t="s">
        <v>2897</v>
      </c>
      <c r="C321" t="s">
        <v>2891</v>
      </c>
      <c r="D321" t="s">
        <v>611</v>
      </c>
      <c r="E321" t="s">
        <v>612</v>
      </c>
      <c r="F321" t="s">
        <v>13</v>
      </c>
      <c r="G321" t="s">
        <v>14</v>
      </c>
      <c r="H321">
        <v>0.99999945999999995</v>
      </c>
      <c r="I321">
        <v>0.99999744000000002</v>
      </c>
      <c r="J321">
        <v>0.9907591</v>
      </c>
      <c r="K321">
        <f t="shared" si="13"/>
        <v>1</v>
      </c>
      <c r="L321">
        <f t="shared" si="14"/>
        <v>1</v>
      </c>
      <c r="M321">
        <f t="shared" si="15"/>
        <v>1</v>
      </c>
    </row>
    <row r="322" spans="1:13" x14ac:dyDescent="0.2">
      <c r="A322" t="s">
        <v>2156</v>
      </c>
      <c r="B322" t="s">
        <v>2897</v>
      </c>
      <c r="C322" t="s">
        <v>2891</v>
      </c>
      <c r="D322" t="e">
        <f>-VQ-LVESGG-GVVQPGRSLRLSCAASGFTF---------SSYGMH-WVRQ-A-P-G-K--G-LE-WVAVISYD-----------GSNIYY--A--D--SV--K---GRFTISR-D---N-S--KN----T-LYLQMNSLRA-EDTAVYYCAKDRVR-------------------------ADGFDIWG-QGTMVTVSS</f>
        <v>#NAME?</v>
      </c>
      <c r="E322" t="s">
        <v>613</v>
      </c>
      <c r="F322" t="s">
        <v>13</v>
      </c>
      <c r="G322" t="s">
        <v>10</v>
      </c>
      <c r="H322">
        <v>0.94002470000000005</v>
      </c>
      <c r="I322">
        <v>0.99999994000000003</v>
      </c>
      <c r="J322">
        <v>0.99681940000000002</v>
      </c>
      <c r="K322">
        <f t="shared" si="13"/>
        <v>1</v>
      </c>
      <c r="L322">
        <f t="shared" si="14"/>
        <v>1</v>
      </c>
      <c r="M322">
        <f t="shared" si="15"/>
        <v>1</v>
      </c>
    </row>
    <row r="323" spans="1:13" x14ac:dyDescent="0.2">
      <c r="A323" t="s">
        <v>2157</v>
      </c>
      <c r="B323" t="s">
        <v>2897</v>
      </c>
      <c r="C323" t="s">
        <v>2891</v>
      </c>
      <c r="D323" t="s">
        <v>614</v>
      </c>
      <c r="E323" t="s">
        <v>615</v>
      </c>
      <c r="F323" t="s">
        <v>9</v>
      </c>
      <c r="G323" t="s">
        <v>14</v>
      </c>
      <c r="H323">
        <v>0.99999519999999997</v>
      </c>
      <c r="I323">
        <v>0.99999994000000003</v>
      </c>
      <c r="J323">
        <v>0.80461119999999997</v>
      </c>
      <c r="K323">
        <f t="shared" ref="K323:K386" si="16">IF(H323&gt;=0.5,1,0)</f>
        <v>1</v>
      </c>
      <c r="L323">
        <f t="shared" ref="L323:L386" si="17">IF(I323&gt;=0.5,1,0)</f>
        <v>1</v>
      </c>
      <c r="M323">
        <f t="shared" ref="M323:M386" si="18">IF(J323&gt;=0.5,1,0)</f>
        <v>1</v>
      </c>
    </row>
    <row r="324" spans="1:13" x14ac:dyDescent="0.2">
      <c r="A324" t="s">
        <v>2158</v>
      </c>
      <c r="B324" t="s">
        <v>2897</v>
      </c>
      <c r="C324" t="s">
        <v>2891</v>
      </c>
      <c r="D324" t="s">
        <v>616</v>
      </c>
      <c r="E324" t="s">
        <v>617</v>
      </c>
      <c r="F324" t="s">
        <v>13</v>
      </c>
      <c r="G324" t="s">
        <v>65</v>
      </c>
      <c r="H324">
        <v>0.99998739999999997</v>
      </c>
      <c r="I324">
        <v>0.99999994000000003</v>
      </c>
      <c r="J324">
        <v>1.1346433E-2</v>
      </c>
      <c r="K324">
        <f t="shared" si="16"/>
        <v>1</v>
      </c>
      <c r="L324">
        <f t="shared" si="17"/>
        <v>1</v>
      </c>
      <c r="M324">
        <f t="shared" si="18"/>
        <v>0</v>
      </c>
    </row>
    <row r="325" spans="1:13" x14ac:dyDescent="0.2">
      <c r="A325" t="s">
        <v>2159</v>
      </c>
      <c r="B325" t="s">
        <v>2897</v>
      </c>
      <c r="C325" t="s">
        <v>2891</v>
      </c>
      <c r="D325" t="e">
        <f>-VQ-LVESGG-GVVQPGRSLRLSCAASAFTF---------SSYDMH-WVRQ-A-P-G-K--G-LE-WVAVISYD-----------GSNKYY--A--D--SV--K---GRFTISR-D---N-S--KN----T-LYLQMNSLRA-EDTAVYYCAKDG------------------------------GKYWG-QGTLVTVSS</f>
        <v>#NAME?</v>
      </c>
      <c r="E325" t="s">
        <v>618</v>
      </c>
      <c r="F325" t="s">
        <v>13</v>
      </c>
      <c r="G325" t="s">
        <v>14</v>
      </c>
      <c r="H325">
        <v>0.99999300000000002</v>
      </c>
      <c r="I325">
        <v>0.99962514999999996</v>
      </c>
      <c r="J325">
        <v>0.64456000000000002</v>
      </c>
      <c r="K325">
        <f t="shared" si="16"/>
        <v>1</v>
      </c>
      <c r="L325">
        <f t="shared" si="17"/>
        <v>1</v>
      </c>
      <c r="M325">
        <f t="shared" si="18"/>
        <v>1</v>
      </c>
    </row>
    <row r="326" spans="1:13" x14ac:dyDescent="0.2">
      <c r="A326" t="s">
        <v>2160</v>
      </c>
      <c r="B326" t="s">
        <v>2897</v>
      </c>
      <c r="C326" t="s">
        <v>2891</v>
      </c>
      <c r="D326" t="s">
        <v>619</v>
      </c>
      <c r="E326" t="s">
        <v>620</v>
      </c>
      <c r="F326" t="s">
        <v>13</v>
      </c>
      <c r="G326" t="s">
        <v>14</v>
      </c>
      <c r="H326">
        <v>0.99973213999999999</v>
      </c>
      <c r="I326">
        <v>0.99990325999999996</v>
      </c>
      <c r="J326">
        <v>0.96626942999999998</v>
      </c>
      <c r="K326">
        <f t="shared" si="16"/>
        <v>1</v>
      </c>
      <c r="L326">
        <f t="shared" si="17"/>
        <v>1</v>
      </c>
      <c r="M326">
        <f t="shared" si="18"/>
        <v>1</v>
      </c>
    </row>
    <row r="327" spans="1:13" x14ac:dyDescent="0.2">
      <c r="A327" t="s">
        <v>2161</v>
      </c>
      <c r="B327" t="s">
        <v>2897</v>
      </c>
      <c r="C327" t="s">
        <v>2891</v>
      </c>
      <c r="D327" t="s">
        <v>621</v>
      </c>
      <c r="E327" t="s">
        <v>622</v>
      </c>
      <c r="F327" t="s">
        <v>9</v>
      </c>
      <c r="G327" t="s">
        <v>212</v>
      </c>
      <c r="H327">
        <v>0.72606329999999997</v>
      </c>
      <c r="I327" s="1">
        <v>3.2835786000000002E-8</v>
      </c>
      <c r="J327" s="1">
        <v>1.5225614E-9</v>
      </c>
      <c r="K327">
        <f t="shared" si="16"/>
        <v>1</v>
      </c>
      <c r="L327">
        <f t="shared" si="17"/>
        <v>0</v>
      </c>
      <c r="M327">
        <f t="shared" si="18"/>
        <v>0</v>
      </c>
    </row>
    <row r="328" spans="1:13" x14ac:dyDescent="0.2">
      <c r="A328" t="s">
        <v>2162</v>
      </c>
      <c r="B328" t="s">
        <v>2897</v>
      </c>
      <c r="C328" t="s">
        <v>2891</v>
      </c>
      <c r="D328" t="s">
        <v>623</v>
      </c>
      <c r="E328" t="s">
        <v>624</v>
      </c>
      <c r="F328" t="s">
        <v>60</v>
      </c>
      <c r="G328" t="s">
        <v>14</v>
      </c>
      <c r="H328">
        <v>0.99999994000000003</v>
      </c>
      <c r="I328">
        <v>0.10869411</v>
      </c>
      <c r="J328">
        <v>4.0896336000000001E-4</v>
      </c>
      <c r="K328">
        <f t="shared" si="16"/>
        <v>1</v>
      </c>
      <c r="L328">
        <f t="shared" si="17"/>
        <v>0</v>
      </c>
      <c r="M328">
        <f t="shared" si="18"/>
        <v>0</v>
      </c>
    </row>
    <row r="329" spans="1:13" x14ac:dyDescent="0.2">
      <c r="A329" t="s">
        <v>2163</v>
      </c>
      <c r="B329" t="s">
        <v>2897</v>
      </c>
      <c r="C329" t="s">
        <v>2891</v>
      </c>
      <c r="D329" t="s">
        <v>625</v>
      </c>
      <c r="E329" t="s">
        <v>147</v>
      </c>
      <c r="F329" t="s">
        <v>17</v>
      </c>
      <c r="G329" t="s">
        <v>14</v>
      </c>
      <c r="H329">
        <v>0.99998790000000004</v>
      </c>
      <c r="I329">
        <v>0.99933510000000003</v>
      </c>
      <c r="J329">
        <v>0.6673019</v>
      </c>
      <c r="K329">
        <f t="shared" si="16"/>
        <v>1</v>
      </c>
      <c r="L329">
        <f t="shared" si="17"/>
        <v>1</v>
      </c>
      <c r="M329">
        <f t="shared" si="18"/>
        <v>1</v>
      </c>
    </row>
    <row r="330" spans="1:13" x14ac:dyDescent="0.2">
      <c r="A330" t="s">
        <v>2164</v>
      </c>
      <c r="B330" t="s">
        <v>2897</v>
      </c>
      <c r="C330" t="s">
        <v>2891</v>
      </c>
      <c r="D330" t="s">
        <v>626</v>
      </c>
      <c r="E330" t="s">
        <v>627</v>
      </c>
      <c r="F330" t="s">
        <v>13</v>
      </c>
      <c r="G330" t="s">
        <v>14</v>
      </c>
      <c r="H330">
        <v>0.99994176999999995</v>
      </c>
      <c r="I330">
        <v>0.99999994000000003</v>
      </c>
      <c r="J330">
        <v>0.98584070000000001</v>
      </c>
      <c r="K330">
        <f t="shared" si="16"/>
        <v>1</v>
      </c>
      <c r="L330">
        <f t="shared" si="17"/>
        <v>1</v>
      </c>
      <c r="M330">
        <f t="shared" si="18"/>
        <v>1</v>
      </c>
    </row>
    <row r="331" spans="1:13" x14ac:dyDescent="0.2">
      <c r="A331" t="s">
        <v>2165</v>
      </c>
      <c r="B331" t="s">
        <v>2897</v>
      </c>
      <c r="C331" t="s">
        <v>2891</v>
      </c>
      <c r="D331" t="s">
        <v>628</v>
      </c>
      <c r="E331" t="s">
        <v>629</v>
      </c>
      <c r="F331" t="s">
        <v>17</v>
      </c>
      <c r="G331" t="s">
        <v>10</v>
      </c>
      <c r="H331">
        <v>0.99999696000000005</v>
      </c>
      <c r="I331">
        <v>0.99999994000000003</v>
      </c>
      <c r="J331">
        <v>0.89750344000000004</v>
      </c>
      <c r="K331">
        <f t="shared" si="16"/>
        <v>1</v>
      </c>
      <c r="L331">
        <f t="shared" si="17"/>
        <v>1</v>
      </c>
      <c r="M331">
        <f t="shared" si="18"/>
        <v>1</v>
      </c>
    </row>
    <row r="332" spans="1:13" x14ac:dyDescent="0.2">
      <c r="A332" t="s">
        <v>2166</v>
      </c>
      <c r="B332" t="s">
        <v>2897</v>
      </c>
      <c r="C332" t="s">
        <v>2891</v>
      </c>
      <c r="D332" t="s">
        <v>630</v>
      </c>
      <c r="E332" t="s">
        <v>631</v>
      </c>
      <c r="F332" t="s">
        <v>13</v>
      </c>
      <c r="G332" t="s">
        <v>14</v>
      </c>
      <c r="H332">
        <v>0.99999994000000003</v>
      </c>
      <c r="I332" s="1">
        <v>4.658387E-8</v>
      </c>
      <c r="J332" s="1">
        <v>1.0080408499999999E-8</v>
      </c>
      <c r="K332">
        <f t="shared" si="16"/>
        <v>1</v>
      </c>
      <c r="L332">
        <f t="shared" si="17"/>
        <v>0</v>
      </c>
      <c r="M332">
        <f t="shared" si="18"/>
        <v>0</v>
      </c>
    </row>
    <row r="333" spans="1:13" x14ac:dyDescent="0.2">
      <c r="A333" t="s">
        <v>2167</v>
      </c>
      <c r="B333" t="s">
        <v>2897</v>
      </c>
      <c r="C333" t="s">
        <v>2891</v>
      </c>
      <c r="D333" t="s">
        <v>632</v>
      </c>
      <c r="E333" t="s">
        <v>633</v>
      </c>
      <c r="F333" t="s">
        <v>9</v>
      </c>
      <c r="G333" t="s">
        <v>10</v>
      </c>
      <c r="H333">
        <v>0.99999979999999999</v>
      </c>
      <c r="I333">
        <v>0.99999994000000003</v>
      </c>
      <c r="J333">
        <v>0.97305494999999997</v>
      </c>
      <c r="K333">
        <f t="shared" si="16"/>
        <v>1</v>
      </c>
      <c r="L333">
        <f t="shared" si="17"/>
        <v>1</v>
      </c>
      <c r="M333">
        <f t="shared" si="18"/>
        <v>1</v>
      </c>
    </row>
    <row r="334" spans="1:13" x14ac:dyDescent="0.2">
      <c r="A334" t="s">
        <v>2168</v>
      </c>
      <c r="B334" t="s">
        <v>2897</v>
      </c>
      <c r="C334" t="s">
        <v>2891</v>
      </c>
      <c r="D334" t="s">
        <v>207</v>
      </c>
      <c r="E334" t="s">
        <v>634</v>
      </c>
      <c r="F334" t="s">
        <v>9</v>
      </c>
      <c r="G334" t="s">
        <v>10</v>
      </c>
      <c r="H334">
        <v>0.8016913</v>
      </c>
      <c r="I334" s="1">
        <v>3.9501170000000004E-6</v>
      </c>
      <c r="J334">
        <v>1.4216321999999999E-4</v>
      </c>
      <c r="K334">
        <f t="shared" si="16"/>
        <v>1</v>
      </c>
      <c r="L334">
        <f t="shared" si="17"/>
        <v>0</v>
      </c>
      <c r="M334">
        <f t="shared" si="18"/>
        <v>0</v>
      </c>
    </row>
    <row r="335" spans="1:13" x14ac:dyDescent="0.2">
      <c r="A335" t="s">
        <v>2169</v>
      </c>
      <c r="B335" t="s">
        <v>2897</v>
      </c>
      <c r="C335" t="s">
        <v>2891</v>
      </c>
      <c r="D335" t="s">
        <v>635</v>
      </c>
      <c r="E335" t="s">
        <v>636</v>
      </c>
      <c r="F335" t="s">
        <v>9</v>
      </c>
      <c r="G335" t="s">
        <v>14</v>
      </c>
      <c r="H335">
        <v>0.99999970000000005</v>
      </c>
      <c r="I335">
        <v>0.99999979999999999</v>
      </c>
      <c r="J335">
        <v>0.99332434000000003</v>
      </c>
      <c r="K335">
        <f t="shared" si="16"/>
        <v>1</v>
      </c>
      <c r="L335">
        <f t="shared" si="17"/>
        <v>1</v>
      </c>
      <c r="M335">
        <f t="shared" si="18"/>
        <v>1</v>
      </c>
    </row>
    <row r="336" spans="1:13" x14ac:dyDescent="0.2">
      <c r="A336" t="s">
        <v>2170</v>
      </c>
      <c r="B336" t="s">
        <v>2897</v>
      </c>
      <c r="C336" t="s">
        <v>2891</v>
      </c>
      <c r="D336" t="s">
        <v>637</v>
      </c>
      <c r="E336" t="s">
        <v>638</v>
      </c>
      <c r="F336" t="s">
        <v>13</v>
      </c>
      <c r="G336" t="s">
        <v>14</v>
      </c>
      <c r="H336">
        <v>0.99999910000000003</v>
      </c>
      <c r="I336">
        <v>0.99984980000000001</v>
      </c>
      <c r="J336">
        <v>0.99765689999999996</v>
      </c>
      <c r="K336">
        <f t="shared" si="16"/>
        <v>1</v>
      </c>
      <c r="L336">
        <f t="shared" si="17"/>
        <v>1</v>
      </c>
      <c r="M336">
        <f t="shared" si="18"/>
        <v>1</v>
      </c>
    </row>
    <row r="337" spans="1:13" x14ac:dyDescent="0.2">
      <c r="A337" t="s">
        <v>2171</v>
      </c>
      <c r="B337" t="s">
        <v>2897</v>
      </c>
      <c r="C337" t="s">
        <v>2891</v>
      </c>
      <c r="D337" t="s">
        <v>639</v>
      </c>
      <c r="E337" t="s">
        <v>640</v>
      </c>
      <c r="F337" t="s">
        <v>9</v>
      </c>
      <c r="G337" t="s">
        <v>45</v>
      </c>
      <c r="H337">
        <v>0.61465484000000004</v>
      </c>
      <c r="I337" s="1">
        <v>3.9342360000000002E-7</v>
      </c>
      <c r="J337" s="1">
        <v>2.1771003000000001E-8</v>
      </c>
      <c r="K337">
        <f t="shared" si="16"/>
        <v>1</v>
      </c>
      <c r="L337">
        <f t="shared" si="17"/>
        <v>0</v>
      </c>
      <c r="M337">
        <f t="shared" si="18"/>
        <v>0</v>
      </c>
    </row>
    <row r="338" spans="1:13" x14ac:dyDescent="0.2">
      <c r="A338" t="s">
        <v>2172</v>
      </c>
      <c r="B338" t="s">
        <v>2897</v>
      </c>
      <c r="C338" t="s">
        <v>2891</v>
      </c>
      <c r="D338" t="s">
        <v>641</v>
      </c>
      <c r="E338" t="s">
        <v>642</v>
      </c>
      <c r="F338" t="s">
        <v>17</v>
      </c>
      <c r="G338" t="s">
        <v>14</v>
      </c>
      <c r="H338">
        <v>0.99999959999999999</v>
      </c>
      <c r="I338">
        <v>0.99999994000000003</v>
      </c>
      <c r="J338">
        <v>0.96522706999999996</v>
      </c>
      <c r="K338">
        <f t="shared" si="16"/>
        <v>1</v>
      </c>
      <c r="L338">
        <f t="shared" si="17"/>
        <v>1</v>
      </c>
      <c r="M338">
        <f t="shared" si="18"/>
        <v>1</v>
      </c>
    </row>
    <row r="339" spans="1:13" x14ac:dyDescent="0.2">
      <c r="A339" t="s">
        <v>2173</v>
      </c>
      <c r="B339" t="s">
        <v>2897</v>
      </c>
      <c r="C339" t="s">
        <v>2891</v>
      </c>
      <c r="D339" t="s">
        <v>643</v>
      </c>
      <c r="E339" t="s">
        <v>644</v>
      </c>
      <c r="F339" t="s">
        <v>645</v>
      </c>
      <c r="G339" t="s">
        <v>36</v>
      </c>
      <c r="H339" s="1">
        <v>6.388876E-8</v>
      </c>
      <c r="I339" s="1">
        <v>8.0199110000000002E-7</v>
      </c>
      <c r="J339">
        <v>5.2059434000000002E-2</v>
      </c>
      <c r="K339">
        <f t="shared" si="16"/>
        <v>0</v>
      </c>
      <c r="L339">
        <f t="shared" si="17"/>
        <v>0</v>
      </c>
      <c r="M339">
        <f t="shared" si="18"/>
        <v>0</v>
      </c>
    </row>
    <row r="340" spans="1:13" x14ac:dyDescent="0.2">
      <c r="A340" t="s">
        <v>2174</v>
      </c>
      <c r="B340" t="s">
        <v>2897</v>
      </c>
      <c r="C340" t="s">
        <v>2891</v>
      </c>
      <c r="D340" t="s">
        <v>646</v>
      </c>
      <c r="E340" t="s">
        <v>647</v>
      </c>
      <c r="F340" t="s">
        <v>17</v>
      </c>
      <c r="G340" t="s">
        <v>14</v>
      </c>
      <c r="H340">
        <v>0.99981310000000001</v>
      </c>
      <c r="I340">
        <v>0.99999994000000003</v>
      </c>
      <c r="J340">
        <v>0.10693626000000001</v>
      </c>
      <c r="K340">
        <f t="shared" si="16"/>
        <v>1</v>
      </c>
      <c r="L340">
        <f t="shared" si="17"/>
        <v>1</v>
      </c>
      <c r="M340">
        <f t="shared" si="18"/>
        <v>0</v>
      </c>
    </row>
    <row r="341" spans="1:13" x14ac:dyDescent="0.2">
      <c r="A341" t="s">
        <v>2175</v>
      </c>
      <c r="B341" t="s">
        <v>2897</v>
      </c>
      <c r="C341" t="s">
        <v>2891</v>
      </c>
      <c r="D341" t="s">
        <v>648</v>
      </c>
      <c r="E341" t="s">
        <v>649</v>
      </c>
      <c r="F341" t="s">
        <v>13</v>
      </c>
      <c r="G341" t="s">
        <v>14</v>
      </c>
      <c r="H341">
        <v>0.99926079999999995</v>
      </c>
      <c r="I341">
        <v>0.99969079999999999</v>
      </c>
      <c r="J341">
        <v>0.42023468000000003</v>
      </c>
      <c r="K341">
        <f t="shared" si="16"/>
        <v>1</v>
      </c>
      <c r="L341">
        <f t="shared" si="17"/>
        <v>1</v>
      </c>
      <c r="M341">
        <f t="shared" si="18"/>
        <v>0</v>
      </c>
    </row>
    <row r="342" spans="1:13" x14ac:dyDescent="0.2">
      <c r="A342" t="s">
        <v>2176</v>
      </c>
      <c r="B342" t="s">
        <v>2897</v>
      </c>
      <c r="C342" t="s">
        <v>2891</v>
      </c>
      <c r="D342" t="s">
        <v>650</v>
      </c>
      <c r="E342" t="s">
        <v>651</v>
      </c>
      <c r="F342" t="s">
        <v>13</v>
      </c>
      <c r="G342" t="s">
        <v>10</v>
      </c>
      <c r="H342">
        <v>0.62798494000000005</v>
      </c>
      <c r="I342">
        <v>0.99999994000000003</v>
      </c>
      <c r="J342">
        <v>0.99803233000000002</v>
      </c>
      <c r="K342">
        <f t="shared" si="16"/>
        <v>1</v>
      </c>
      <c r="L342">
        <f t="shared" si="17"/>
        <v>1</v>
      </c>
      <c r="M342">
        <f t="shared" si="18"/>
        <v>1</v>
      </c>
    </row>
    <row r="343" spans="1:13" x14ac:dyDescent="0.2">
      <c r="A343" t="s">
        <v>2177</v>
      </c>
      <c r="B343" t="s">
        <v>2897</v>
      </c>
      <c r="C343" t="s">
        <v>2891</v>
      </c>
      <c r="D343" t="s">
        <v>652</v>
      </c>
      <c r="E343" t="s">
        <v>653</v>
      </c>
      <c r="F343" t="s">
        <v>9</v>
      </c>
      <c r="G343" t="s">
        <v>10</v>
      </c>
      <c r="H343">
        <v>0.95714825000000003</v>
      </c>
      <c r="I343" s="1">
        <v>6.8040640000000001E-7</v>
      </c>
      <c r="J343">
        <v>1.1494091E-2</v>
      </c>
      <c r="K343">
        <f t="shared" si="16"/>
        <v>1</v>
      </c>
      <c r="L343">
        <f t="shared" si="17"/>
        <v>0</v>
      </c>
      <c r="M343">
        <f t="shared" si="18"/>
        <v>0</v>
      </c>
    </row>
    <row r="344" spans="1:13" x14ac:dyDescent="0.2">
      <c r="A344" t="s">
        <v>2178</v>
      </c>
      <c r="B344" t="s">
        <v>2897</v>
      </c>
      <c r="C344" t="s">
        <v>2891</v>
      </c>
      <c r="D344" t="s">
        <v>654</v>
      </c>
      <c r="E344" t="s">
        <v>224</v>
      </c>
      <c r="F344" t="s">
        <v>13</v>
      </c>
      <c r="G344" t="s">
        <v>14</v>
      </c>
      <c r="H344">
        <v>0.99998419999999999</v>
      </c>
      <c r="I344">
        <v>0.99999994000000003</v>
      </c>
      <c r="J344">
        <v>0.99999994000000003</v>
      </c>
      <c r="K344">
        <f t="shared" si="16"/>
        <v>1</v>
      </c>
      <c r="L344">
        <f t="shared" si="17"/>
        <v>1</v>
      </c>
      <c r="M344">
        <f t="shared" si="18"/>
        <v>1</v>
      </c>
    </row>
    <row r="345" spans="1:13" x14ac:dyDescent="0.2">
      <c r="A345" t="s">
        <v>2179</v>
      </c>
      <c r="B345" t="s">
        <v>2897</v>
      </c>
      <c r="C345" t="s">
        <v>2891</v>
      </c>
      <c r="D345" t="s">
        <v>207</v>
      </c>
      <c r="E345" t="s">
        <v>634</v>
      </c>
      <c r="F345" t="s">
        <v>9</v>
      </c>
      <c r="G345" t="s">
        <v>10</v>
      </c>
      <c r="H345">
        <v>0.8016913</v>
      </c>
      <c r="I345" s="1">
        <v>3.9501170000000004E-6</v>
      </c>
      <c r="J345">
        <v>1.4216321999999999E-4</v>
      </c>
      <c r="K345">
        <f t="shared" si="16"/>
        <v>1</v>
      </c>
      <c r="L345">
        <f t="shared" si="17"/>
        <v>0</v>
      </c>
      <c r="M345">
        <f t="shared" si="18"/>
        <v>0</v>
      </c>
    </row>
    <row r="346" spans="1:13" x14ac:dyDescent="0.2">
      <c r="A346" t="s">
        <v>2180</v>
      </c>
      <c r="B346" t="s">
        <v>2897</v>
      </c>
      <c r="C346" t="s">
        <v>2891</v>
      </c>
      <c r="D346" t="s">
        <v>655</v>
      </c>
      <c r="E346" t="s">
        <v>656</v>
      </c>
      <c r="F346" t="s">
        <v>9</v>
      </c>
      <c r="G346" t="s">
        <v>143</v>
      </c>
      <c r="H346" s="1">
        <v>3.0017666999999999E-5</v>
      </c>
      <c r="I346" s="1">
        <v>2.1175284000000001E-8</v>
      </c>
      <c r="J346">
        <v>3.4550206999999999E-3</v>
      </c>
      <c r="K346">
        <f t="shared" si="16"/>
        <v>0</v>
      </c>
      <c r="L346">
        <f t="shared" si="17"/>
        <v>0</v>
      </c>
      <c r="M346">
        <f t="shared" si="18"/>
        <v>0</v>
      </c>
    </row>
    <row r="347" spans="1:13" x14ac:dyDescent="0.2">
      <c r="A347" t="s">
        <v>2181</v>
      </c>
      <c r="B347" t="s">
        <v>2897</v>
      </c>
      <c r="C347" t="s">
        <v>2891</v>
      </c>
      <c r="D347" t="s">
        <v>657</v>
      </c>
      <c r="E347" t="s">
        <v>658</v>
      </c>
      <c r="F347" t="s">
        <v>9</v>
      </c>
      <c r="G347" t="s">
        <v>10</v>
      </c>
      <c r="H347">
        <v>0.99817425000000004</v>
      </c>
      <c r="I347">
        <v>0.99999994000000003</v>
      </c>
      <c r="J347">
        <v>0.99999970000000005</v>
      </c>
      <c r="K347">
        <f t="shared" si="16"/>
        <v>1</v>
      </c>
      <c r="L347">
        <f t="shared" si="17"/>
        <v>1</v>
      </c>
      <c r="M347">
        <f t="shared" si="18"/>
        <v>1</v>
      </c>
    </row>
    <row r="348" spans="1:13" x14ac:dyDescent="0.2">
      <c r="A348" t="s">
        <v>2182</v>
      </c>
      <c r="B348" t="s">
        <v>2897</v>
      </c>
      <c r="C348" t="s">
        <v>2891</v>
      </c>
      <c r="D348" t="s">
        <v>207</v>
      </c>
      <c r="E348" t="s">
        <v>634</v>
      </c>
      <c r="F348" t="s">
        <v>9</v>
      </c>
      <c r="G348" t="s">
        <v>10</v>
      </c>
      <c r="H348">
        <v>0.8016913</v>
      </c>
      <c r="I348" s="1">
        <v>3.9501170000000004E-6</v>
      </c>
      <c r="J348">
        <v>1.4216321999999999E-4</v>
      </c>
      <c r="K348">
        <f t="shared" si="16"/>
        <v>1</v>
      </c>
      <c r="L348">
        <f t="shared" si="17"/>
        <v>0</v>
      </c>
      <c r="M348">
        <f t="shared" si="18"/>
        <v>0</v>
      </c>
    </row>
    <row r="349" spans="1:13" x14ac:dyDescent="0.2">
      <c r="A349" t="s">
        <v>2183</v>
      </c>
      <c r="B349" t="s">
        <v>2897</v>
      </c>
      <c r="C349" t="s">
        <v>2891</v>
      </c>
      <c r="D349" t="s">
        <v>659</v>
      </c>
      <c r="E349" t="s">
        <v>660</v>
      </c>
      <c r="F349" t="s">
        <v>9</v>
      </c>
      <c r="G349" t="s">
        <v>14</v>
      </c>
      <c r="H349">
        <v>5.3929970000000001E-3</v>
      </c>
      <c r="I349">
        <v>0.99997369999999997</v>
      </c>
      <c r="J349" s="1">
        <v>9.2450739999999995E-5</v>
      </c>
      <c r="K349">
        <f t="shared" si="16"/>
        <v>0</v>
      </c>
      <c r="L349">
        <f t="shared" si="17"/>
        <v>1</v>
      </c>
      <c r="M349">
        <f t="shared" si="18"/>
        <v>0</v>
      </c>
    </row>
    <row r="350" spans="1:13" x14ac:dyDescent="0.2">
      <c r="A350" t="s">
        <v>2184</v>
      </c>
      <c r="B350" t="s">
        <v>2897</v>
      </c>
      <c r="C350" t="s">
        <v>2891</v>
      </c>
      <c r="D350" t="s">
        <v>207</v>
      </c>
      <c r="E350" t="s">
        <v>634</v>
      </c>
      <c r="F350" t="s">
        <v>9</v>
      </c>
      <c r="G350" t="s">
        <v>10</v>
      </c>
      <c r="H350">
        <v>0.8016913</v>
      </c>
      <c r="I350" s="1">
        <v>3.9501170000000004E-6</v>
      </c>
      <c r="J350">
        <v>1.4216321999999999E-4</v>
      </c>
      <c r="K350">
        <f t="shared" si="16"/>
        <v>1</v>
      </c>
      <c r="L350">
        <f t="shared" si="17"/>
        <v>0</v>
      </c>
      <c r="M350">
        <f t="shared" si="18"/>
        <v>0</v>
      </c>
    </row>
    <row r="351" spans="1:13" x14ac:dyDescent="0.2">
      <c r="A351" t="s">
        <v>2185</v>
      </c>
      <c r="B351" t="s">
        <v>2897</v>
      </c>
      <c r="C351" t="s">
        <v>2891</v>
      </c>
      <c r="D351" t="e">
        <f>-VQ-LVQSGA-EVKKPGASVKVSCKASGYTF---------TGYYMH-WVRQ-A-P-G-Q--G-LE-WMGWINPN-----------SGGTNY--A--Q--KF--Q---GRVTMTR-D---T-S--IS----T-AYMELSRLRS-DDTAVYYCARDRHY-------------------------DGYFDIWG-QGTMVTVSS</f>
        <v>#NAME?</v>
      </c>
      <c r="E351" t="s">
        <v>661</v>
      </c>
      <c r="F351" t="s">
        <v>9</v>
      </c>
      <c r="G351" t="s">
        <v>14</v>
      </c>
      <c r="H351">
        <v>0.99999623999999998</v>
      </c>
      <c r="I351">
        <v>0.99999994000000003</v>
      </c>
      <c r="J351">
        <v>0.77285236000000002</v>
      </c>
      <c r="K351">
        <f t="shared" si="16"/>
        <v>1</v>
      </c>
      <c r="L351">
        <f t="shared" si="17"/>
        <v>1</v>
      </c>
      <c r="M351">
        <f t="shared" si="18"/>
        <v>1</v>
      </c>
    </row>
    <row r="352" spans="1:13" x14ac:dyDescent="0.2">
      <c r="A352" t="s">
        <v>2186</v>
      </c>
      <c r="B352" t="s">
        <v>2890</v>
      </c>
      <c r="C352" t="s">
        <v>2898</v>
      </c>
      <c r="D352" t="s">
        <v>662</v>
      </c>
      <c r="E352" t="s">
        <v>128</v>
      </c>
      <c r="F352" t="s">
        <v>13</v>
      </c>
      <c r="G352" t="s">
        <v>14</v>
      </c>
      <c r="H352">
        <v>0.99999994000000003</v>
      </c>
      <c r="I352">
        <v>0.9999903</v>
      </c>
      <c r="J352">
        <v>0.97666730000000002</v>
      </c>
      <c r="K352">
        <f t="shared" si="16"/>
        <v>1</v>
      </c>
      <c r="L352">
        <f t="shared" si="17"/>
        <v>1</v>
      </c>
      <c r="M352">
        <f t="shared" si="18"/>
        <v>1</v>
      </c>
    </row>
    <row r="353" spans="1:13" x14ac:dyDescent="0.2">
      <c r="A353" t="s">
        <v>2187</v>
      </c>
      <c r="B353" t="s">
        <v>2890</v>
      </c>
      <c r="C353" t="s">
        <v>2898</v>
      </c>
      <c r="D353" t="s">
        <v>663</v>
      </c>
      <c r="E353" t="s">
        <v>597</v>
      </c>
      <c r="F353" t="s">
        <v>9</v>
      </c>
      <c r="G353" t="s">
        <v>36</v>
      </c>
      <c r="H353">
        <v>7.20293E-4</v>
      </c>
      <c r="I353" s="1">
        <v>7.3330895E-8</v>
      </c>
      <c r="J353" s="1">
        <v>2.4299029E-12</v>
      </c>
      <c r="K353">
        <f t="shared" si="16"/>
        <v>0</v>
      </c>
      <c r="L353">
        <f t="shared" si="17"/>
        <v>0</v>
      </c>
      <c r="M353">
        <f t="shared" si="18"/>
        <v>0</v>
      </c>
    </row>
    <row r="354" spans="1:13" x14ac:dyDescent="0.2">
      <c r="A354" t="s">
        <v>2188</v>
      </c>
      <c r="B354" t="s">
        <v>2890</v>
      </c>
      <c r="C354" t="s">
        <v>2898</v>
      </c>
      <c r="D354" t="s">
        <v>664</v>
      </c>
      <c r="E354" t="s">
        <v>665</v>
      </c>
      <c r="F354" t="s">
        <v>13</v>
      </c>
      <c r="G354" t="s">
        <v>14</v>
      </c>
      <c r="H354">
        <v>0.99999970000000005</v>
      </c>
      <c r="I354">
        <v>0.99999170000000004</v>
      </c>
      <c r="J354">
        <v>5.4641704999999999E-2</v>
      </c>
      <c r="K354">
        <f t="shared" si="16"/>
        <v>1</v>
      </c>
      <c r="L354">
        <f t="shared" si="17"/>
        <v>1</v>
      </c>
      <c r="M354">
        <f t="shared" si="18"/>
        <v>0</v>
      </c>
    </row>
    <row r="355" spans="1:13" x14ac:dyDescent="0.2">
      <c r="A355" t="s">
        <v>2189</v>
      </c>
      <c r="B355" t="s">
        <v>2890</v>
      </c>
      <c r="C355" t="s">
        <v>2898</v>
      </c>
      <c r="D355" t="s">
        <v>666</v>
      </c>
      <c r="E355" t="s">
        <v>667</v>
      </c>
      <c r="F355" t="s">
        <v>13</v>
      </c>
      <c r="G355" t="s">
        <v>14</v>
      </c>
      <c r="H355">
        <v>0.95138763999999998</v>
      </c>
      <c r="I355">
        <v>0.9999979</v>
      </c>
      <c r="J355">
        <v>0.85717540000000003</v>
      </c>
      <c r="K355">
        <f t="shared" si="16"/>
        <v>1</v>
      </c>
      <c r="L355">
        <f t="shared" si="17"/>
        <v>1</v>
      </c>
      <c r="M355">
        <f t="shared" si="18"/>
        <v>1</v>
      </c>
    </row>
    <row r="356" spans="1:13" x14ac:dyDescent="0.2">
      <c r="A356" t="s">
        <v>2190</v>
      </c>
      <c r="B356" t="s">
        <v>2890</v>
      </c>
      <c r="C356" t="s">
        <v>2898</v>
      </c>
      <c r="D356" t="s">
        <v>668</v>
      </c>
      <c r="E356" t="s">
        <v>669</v>
      </c>
      <c r="F356" t="s">
        <v>13</v>
      </c>
      <c r="G356" t="s">
        <v>14</v>
      </c>
      <c r="H356">
        <v>0.99999934000000001</v>
      </c>
      <c r="I356">
        <v>0.99999802999999998</v>
      </c>
      <c r="J356">
        <v>0.56659269999999995</v>
      </c>
      <c r="K356">
        <f t="shared" si="16"/>
        <v>1</v>
      </c>
      <c r="L356">
        <f t="shared" si="17"/>
        <v>1</v>
      </c>
      <c r="M356">
        <f t="shared" si="18"/>
        <v>1</v>
      </c>
    </row>
    <row r="357" spans="1:13" x14ac:dyDescent="0.2">
      <c r="A357" t="s">
        <v>2191</v>
      </c>
      <c r="B357" t="s">
        <v>2890</v>
      </c>
      <c r="C357" t="s">
        <v>2898</v>
      </c>
      <c r="D357" t="s">
        <v>670</v>
      </c>
      <c r="E357" t="s">
        <v>147</v>
      </c>
      <c r="F357" t="s">
        <v>13</v>
      </c>
      <c r="G357" t="s">
        <v>14</v>
      </c>
      <c r="H357">
        <v>0.99998944999999995</v>
      </c>
      <c r="I357">
        <v>0.99933510000000003</v>
      </c>
      <c r="J357">
        <v>0.99611676000000005</v>
      </c>
      <c r="K357">
        <f t="shared" si="16"/>
        <v>1</v>
      </c>
      <c r="L357">
        <f t="shared" si="17"/>
        <v>1</v>
      </c>
      <c r="M357">
        <f t="shared" si="18"/>
        <v>1</v>
      </c>
    </row>
    <row r="358" spans="1:13" x14ac:dyDescent="0.2">
      <c r="A358" t="s">
        <v>2192</v>
      </c>
      <c r="B358" t="s">
        <v>2890</v>
      </c>
      <c r="C358" t="s">
        <v>2898</v>
      </c>
      <c r="D358" t="s">
        <v>671</v>
      </c>
      <c r="E358" t="s">
        <v>147</v>
      </c>
      <c r="F358" t="s">
        <v>13</v>
      </c>
      <c r="G358" t="s">
        <v>14</v>
      </c>
      <c r="H358">
        <v>0.94801586999999998</v>
      </c>
      <c r="I358">
        <v>0.99933510000000003</v>
      </c>
      <c r="J358">
        <v>3.5896283000000002E-3</v>
      </c>
      <c r="K358">
        <f t="shared" si="16"/>
        <v>1</v>
      </c>
      <c r="L358">
        <f t="shared" si="17"/>
        <v>1</v>
      </c>
      <c r="M358">
        <f t="shared" si="18"/>
        <v>0</v>
      </c>
    </row>
    <row r="359" spans="1:13" x14ac:dyDescent="0.2">
      <c r="A359" t="s">
        <v>2193</v>
      </c>
      <c r="B359" t="s">
        <v>2890</v>
      </c>
      <c r="C359" t="s">
        <v>2898</v>
      </c>
      <c r="D359" t="e">
        <f>-VQ-LVQSGA-EVKKPGASVKVSCKASGYTF---------TGYYMH-WVRQ-A-P-G-Q--G-LE-WMGWINPN-----------SGGTNY--A--Q--KF--Q---GRVTMTR-D---T-S--IS----T-AYMELSRLRS-DDTAVYYCARGWSS-------------------------YYGMDVWG-QGTTVTVSS</f>
        <v>#NAME?</v>
      </c>
      <c r="E359" t="s">
        <v>147</v>
      </c>
      <c r="F359" t="s">
        <v>9</v>
      </c>
      <c r="G359" t="s">
        <v>14</v>
      </c>
      <c r="H359">
        <v>0.99511117000000004</v>
      </c>
      <c r="I359">
        <v>0.99933510000000003</v>
      </c>
      <c r="J359">
        <v>2.1954898000000001E-4</v>
      </c>
      <c r="K359">
        <f t="shared" si="16"/>
        <v>1</v>
      </c>
      <c r="L359">
        <f t="shared" si="17"/>
        <v>1</v>
      </c>
      <c r="M359">
        <f t="shared" si="18"/>
        <v>0</v>
      </c>
    </row>
    <row r="360" spans="1:13" x14ac:dyDescent="0.2">
      <c r="A360" t="s">
        <v>2194</v>
      </c>
      <c r="B360" t="s">
        <v>2890</v>
      </c>
      <c r="C360" t="s">
        <v>2898</v>
      </c>
      <c r="D360" t="s">
        <v>672</v>
      </c>
      <c r="E360" t="s">
        <v>673</v>
      </c>
      <c r="F360" t="s">
        <v>13</v>
      </c>
      <c r="G360" t="s">
        <v>14</v>
      </c>
      <c r="H360">
        <v>0.99999839999999995</v>
      </c>
      <c r="I360">
        <v>0.99993675999999998</v>
      </c>
      <c r="J360">
        <v>0.92331403000000001</v>
      </c>
      <c r="K360">
        <f t="shared" si="16"/>
        <v>1</v>
      </c>
      <c r="L360">
        <f t="shared" si="17"/>
        <v>1</v>
      </c>
      <c r="M360">
        <f t="shared" si="18"/>
        <v>1</v>
      </c>
    </row>
    <row r="361" spans="1:13" x14ac:dyDescent="0.2">
      <c r="A361" t="s">
        <v>2195</v>
      </c>
      <c r="B361" t="s">
        <v>2890</v>
      </c>
      <c r="C361" t="s">
        <v>2898</v>
      </c>
      <c r="D361" t="s">
        <v>674</v>
      </c>
      <c r="E361" t="s">
        <v>42</v>
      </c>
      <c r="F361" t="s">
        <v>17</v>
      </c>
      <c r="G361" t="s">
        <v>10</v>
      </c>
      <c r="H361">
        <v>0.99999660000000001</v>
      </c>
      <c r="I361">
        <v>0.99999994000000003</v>
      </c>
      <c r="J361">
        <v>0.9999979</v>
      </c>
      <c r="K361">
        <f t="shared" si="16"/>
        <v>1</v>
      </c>
      <c r="L361">
        <f t="shared" si="17"/>
        <v>1</v>
      </c>
      <c r="M361">
        <f t="shared" si="18"/>
        <v>1</v>
      </c>
    </row>
    <row r="362" spans="1:13" x14ac:dyDescent="0.2">
      <c r="A362" t="s">
        <v>2196</v>
      </c>
      <c r="B362" t="s">
        <v>2890</v>
      </c>
      <c r="C362" t="s">
        <v>2898</v>
      </c>
      <c r="D362" t="s">
        <v>675</v>
      </c>
      <c r="E362" t="s">
        <v>676</v>
      </c>
      <c r="F362" t="s">
        <v>17</v>
      </c>
      <c r="G362" t="s">
        <v>14</v>
      </c>
      <c r="H362">
        <v>0.99992020000000004</v>
      </c>
      <c r="I362">
        <v>0.99999994000000003</v>
      </c>
      <c r="J362">
        <v>0.99854069999999995</v>
      </c>
      <c r="K362">
        <f t="shared" si="16"/>
        <v>1</v>
      </c>
      <c r="L362">
        <f t="shared" si="17"/>
        <v>1</v>
      </c>
      <c r="M362">
        <f t="shared" si="18"/>
        <v>1</v>
      </c>
    </row>
    <row r="363" spans="1:13" x14ac:dyDescent="0.2">
      <c r="A363" t="s">
        <v>2197</v>
      </c>
      <c r="B363" t="s">
        <v>2890</v>
      </c>
      <c r="C363" t="s">
        <v>2898</v>
      </c>
      <c r="D363" t="s">
        <v>677</v>
      </c>
      <c r="E363" t="s">
        <v>128</v>
      </c>
      <c r="F363" t="s">
        <v>13</v>
      </c>
      <c r="G363" t="s">
        <v>14</v>
      </c>
      <c r="H363">
        <v>0.99999576999999995</v>
      </c>
      <c r="I363">
        <v>0.9999903</v>
      </c>
      <c r="J363">
        <v>0.99866770000000005</v>
      </c>
      <c r="K363">
        <f t="shared" si="16"/>
        <v>1</v>
      </c>
      <c r="L363">
        <f t="shared" si="17"/>
        <v>1</v>
      </c>
      <c r="M363">
        <f t="shared" si="18"/>
        <v>1</v>
      </c>
    </row>
    <row r="364" spans="1:13" x14ac:dyDescent="0.2">
      <c r="A364" t="s">
        <v>2198</v>
      </c>
      <c r="B364" t="s">
        <v>2890</v>
      </c>
      <c r="C364" t="s">
        <v>2898</v>
      </c>
      <c r="D364" t="s">
        <v>678</v>
      </c>
      <c r="E364" t="s">
        <v>679</v>
      </c>
      <c r="F364" t="s">
        <v>13</v>
      </c>
      <c r="G364" t="s">
        <v>14</v>
      </c>
      <c r="H364">
        <v>0.89227973999999999</v>
      </c>
      <c r="I364">
        <v>0.99999150000000003</v>
      </c>
      <c r="J364">
        <v>0.52773844999999997</v>
      </c>
      <c r="K364">
        <f t="shared" si="16"/>
        <v>1</v>
      </c>
      <c r="L364">
        <f t="shared" si="17"/>
        <v>1</v>
      </c>
      <c r="M364">
        <f t="shared" si="18"/>
        <v>1</v>
      </c>
    </row>
    <row r="365" spans="1:13" x14ac:dyDescent="0.2">
      <c r="A365" t="s">
        <v>2199</v>
      </c>
      <c r="B365" t="s">
        <v>2890</v>
      </c>
      <c r="C365" t="s">
        <v>2898</v>
      </c>
      <c r="D365" t="s">
        <v>680</v>
      </c>
      <c r="E365" t="s">
        <v>681</v>
      </c>
      <c r="F365" t="s">
        <v>13</v>
      </c>
      <c r="G365" t="s">
        <v>14</v>
      </c>
      <c r="H365">
        <v>0.99999315</v>
      </c>
      <c r="I365">
        <v>0.99999934000000001</v>
      </c>
      <c r="J365">
        <v>0.98368394000000003</v>
      </c>
      <c r="K365">
        <f t="shared" si="16"/>
        <v>1</v>
      </c>
      <c r="L365">
        <f t="shared" si="17"/>
        <v>1</v>
      </c>
      <c r="M365">
        <f t="shared" si="18"/>
        <v>1</v>
      </c>
    </row>
    <row r="366" spans="1:13" x14ac:dyDescent="0.2">
      <c r="A366" t="s">
        <v>2200</v>
      </c>
      <c r="B366" t="s">
        <v>2890</v>
      </c>
      <c r="C366" t="s">
        <v>2898</v>
      </c>
      <c r="D366" t="s">
        <v>682</v>
      </c>
      <c r="E366" t="s">
        <v>683</v>
      </c>
      <c r="F366" t="s">
        <v>13</v>
      </c>
      <c r="G366" t="s">
        <v>14</v>
      </c>
      <c r="H366">
        <v>0.99999919999999998</v>
      </c>
      <c r="I366">
        <v>0.99999684</v>
      </c>
      <c r="J366">
        <v>0.17105973999999999</v>
      </c>
      <c r="K366">
        <f t="shared" si="16"/>
        <v>1</v>
      </c>
      <c r="L366">
        <f t="shared" si="17"/>
        <v>1</v>
      </c>
      <c r="M366">
        <f t="shared" si="18"/>
        <v>0</v>
      </c>
    </row>
    <row r="367" spans="1:13" x14ac:dyDescent="0.2">
      <c r="A367" t="s">
        <v>2201</v>
      </c>
      <c r="B367" t="s">
        <v>2890</v>
      </c>
      <c r="C367" t="s">
        <v>2898</v>
      </c>
      <c r="D367" t="s">
        <v>684</v>
      </c>
      <c r="E367" t="s">
        <v>128</v>
      </c>
      <c r="F367" t="s">
        <v>60</v>
      </c>
      <c r="G367" t="s">
        <v>14</v>
      </c>
      <c r="H367">
        <v>0.99997190000000002</v>
      </c>
      <c r="I367">
        <v>0.9999903</v>
      </c>
      <c r="J367">
        <v>0.31745064000000001</v>
      </c>
      <c r="K367">
        <f t="shared" si="16"/>
        <v>1</v>
      </c>
      <c r="L367">
        <f t="shared" si="17"/>
        <v>1</v>
      </c>
      <c r="M367">
        <f t="shared" si="18"/>
        <v>0</v>
      </c>
    </row>
    <row r="368" spans="1:13" x14ac:dyDescent="0.2">
      <c r="A368" t="s">
        <v>2202</v>
      </c>
      <c r="B368" t="s">
        <v>2890</v>
      </c>
      <c r="C368" t="s">
        <v>2898</v>
      </c>
      <c r="D368" t="s">
        <v>685</v>
      </c>
      <c r="E368" t="s">
        <v>686</v>
      </c>
      <c r="F368" t="s">
        <v>9</v>
      </c>
      <c r="G368" t="s">
        <v>14</v>
      </c>
      <c r="H368">
        <v>0.99998549999999997</v>
      </c>
      <c r="I368">
        <v>0.99999994000000003</v>
      </c>
      <c r="J368">
        <v>0.99559629999999999</v>
      </c>
      <c r="K368">
        <f t="shared" si="16"/>
        <v>1</v>
      </c>
      <c r="L368">
        <f t="shared" si="17"/>
        <v>1</v>
      </c>
      <c r="M368">
        <f t="shared" si="18"/>
        <v>1</v>
      </c>
    </row>
    <row r="369" spans="1:13" x14ac:dyDescent="0.2">
      <c r="A369" t="s">
        <v>2203</v>
      </c>
      <c r="B369" t="s">
        <v>2890</v>
      </c>
      <c r="C369" t="s">
        <v>2898</v>
      </c>
      <c r="D369" t="s">
        <v>687</v>
      </c>
      <c r="E369" t="s">
        <v>128</v>
      </c>
      <c r="F369" t="s">
        <v>13</v>
      </c>
      <c r="G369" t="s">
        <v>14</v>
      </c>
      <c r="H369">
        <v>0.99999850000000001</v>
      </c>
      <c r="I369">
        <v>0.9999903</v>
      </c>
      <c r="J369">
        <v>0.77812594000000002</v>
      </c>
      <c r="K369">
        <f t="shared" si="16"/>
        <v>1</v>
      </c>
      <c r="L369">
        <f t="shared" si="17"/>
        <v>1</v>
      </c>
      <c r="M369">
        <f t="shared" si="18"/>
        <v>1</v>
      </c>
    </row>
    <row r="370" spans="1:13" x14ac:dyDescent="0.2">
      <c r="A370" t="s">
        <v>2204</v>
      </c>
      <c r="B370" t="s">
        <v>2890</v>
      </c>
      <c r="C370" t="s">
        <v>2898</v>
      </c>
      <c r="D370" t="s">
        <v>688</v>
      </c>
      <c r="E370" t="s">
        <v>689</v>
      </c>
      <c r="F370" t="s">
        <v>9</v>
      </c>
      <c r="G370" t="s">
        <v>65</v>
      </c>
      <c r="H370">
        <v>1.8828012E-3</v>
      </c>
      <c r="I370" s="1">
        <v>4.1866810000000002E-7</v>
      </c>
      <c r="J370" s="1">
        <v>9.6576079999999997E-5</v>
      </c>
      <c r="K370">
        <f t="shared" si="16"/>
        <v>0</v>
      </c>
      <c r="L370">
        <f t="shared" si="17"/>
        <v>0</v>
      </c>
      <c r="M370">
        <f t="shared" si="18"/>
        <v>0</v>
      </c>
    </row>
    <row r="371" spans="1:13" x14ac:dyDescent="0.2">
      <c r="A371" t="s">
        <v>2205</v>
      </c>
      <c r="B371" t="s">
        <v>2890</v>
      </c>
      <c r="C371" t="s">
        <v>2898</v>
      </c>
      <c r="D371" t="s">
        <v>690</v>
      </c>
      <c r="E371" t="s">
        <v>691</v>
      </c>
      <c r="F371" t="s">
        <v>13</v>
      </c>
      <c r="G371" t="s">
        <v>14</v>
      </c>
      <c r="H371">
        <v>0.99999994000000003</v>
      </c>
      <c r="I371">
        <v>0.99706477000000004</v>
      </c>
      <c r="J371">
        <v>0.99919369999999996</v>
      </c>
      <c r="K371">
        <f t="shared" si="16"/>
        <v>1</v>
      </c>
      <c r="L371">
        <f t="shared" si="17"/>
        <v>1</v>
      </c>
      <c r="M371">
        <f t="shared" si="18"/>
        <v>1</v>
      </c>
    </row>
    <row r="372" spans="1:13" x14ac:dyDescent="0.2">
      <c r="A372" t="s">
        <v>2206</v>
      </c>
      <c r="B372" t="s">
        <v>2890</v>
      </c>
      <c r="C372" t="s">
        <v>2898</v>
      </c>
      <c r="D372" t="s">
        <v>692</v>
      </c>
      <c r="E372" t="s">
        <v>693</v>
      </c>
      <c r="F372" t="s">
        <v>9</v>
      </c>
      <c r="G372" t="s">
        <v>10</v>
      </c>
      <c r="H372">
        <v>0.99989265000000005</v>
      </c>
      <c r="I372">
        <v>0.99999994000000003</v>
      </c>
      <c r="J372">
        <v>0.13257688000000001</v>
      </c>
      <c r="K372">
        <f t="shared" si="16"/>
        <v>1</v>
      </c>
      <c r="L372">
        <f t="shared" si="17"/>
        <v>1</v>
      </c>
      <c r="M372">
        <f t="shared" si="18"/>
        <v>0</v>
      </c>
    </row>
    <row r="373" spans="1:13" x14ac:dyDescent="0.2">
      <c r="A373" t="s">
        <v>2207</v>
      </c>
      <c r="B373" t="s">
        <v>2890</v>
      </c>
      <c r="C373" t="s">
        <v>2898</v>
      </c>
      <c r="D373" t="s">
        <v>694</v>
      </c>
      <c r="E373" t="s">
        <v>147</v>
      </c>
      <c r="F373" t="s">
        <v>13</v>
      </c>
      <c r="G373" t="s">
        <v>14</v>
      </c>
      <c r="H373">
        <v>0.99999660000000001</v>
      </c>
      <c r="I373">
        <v>0.99933510000000003</v>
      </c>
      <c r="J373">
        <v>0.99357779999999996</v>
      </c>
      <c r="K373">
        <f t="shared" si="16"/>
        <v>1</v>
      </c>
      <c r="L373">
        <f t="shared" si="17"/>
        <v>1</v>
      </c>
      <c r="M373">
        <f t="shared" si="18"/>
        <v>1</v>
      </c>
    </row>
    <row r="374" spans="1:13" x14ac:dyDescent="0.2">
      <c r="A374" t="s">
        <v>2208</v>
      </c>
      <c r="B374" t="s">
        <v>2890</v>
      </c>
      <c r="C374" t="s">
        <v>2898</v>
      </c>
      <c r="D374" t="s">
        <v>695</v>
      </c>
      <c r="E374" t="s">
        <v>691</v>
      </c>
      <c r="F374" t="s">
        <v>13</v>
      </c>
      <c r="G374" t="s">
        <v>14</v>
      </c>
      <c r="H374">
        <v>0.99999994000000003</v>
      </c>
      <c r="I374">
        <v>0.99706477000000004</v>
      </c>
      <c r="J374">
        <v>0.99013494999999996</v>
      </c>
      <c r="K374">
        <f t="shared" si="16"/>
        <v>1</v>
      </c>
      <c r="L374">
        <f t="shared" si="17"/>
        <v>1</v>
      </c>
      <c r="M374">
        <f t="shared" si="18"/>
        <v>1</v>
      </c>
    </row>
    <row r="375" spans="1:13" x14ac:dyDescent="0.2">
      <c r="A375" t="s">
        <v>2209</v>
      </c>
      <c r="B375" t="s">
        <v>2890</v>
      </c>
      <c r="C375" t="s">
        <v>2898</v>
      </c>
      <c r="D375" t="s">
        <v>696</v>
      </c>
      <c r="E375" t="s">
        <v>697</v>
      </c>
      <c r="F375" t="s">
        <v>9</v>
      </c>
      <c r="G375" t="s">
        <v>14</v>
      </c>
      <c r="H375">
        <v>0.99999744000000002</v>
      </c>
      <c r="I375">
        <v>0.99999994000000003</v>
      </c>
      <c r="J375">
        <v>0.99801134999999996</v>
      </c>
      <c r="K375">
        <f t="shared" si="16"/>
        <v>1</v>
      </c>
      <c r="L375">
        <f t="shared" si="17"/>
        <v>1</v>
      </c>
      <c r="M375">
        <f t="shared" si="18"/>
        <v>1</v>
      </c>
    </row>
    <row r="376" spans="1:13" x14ac:dyDescent="0.2">
      <c r="A376" t="s">
        <v>2210</v>
      </c>
      <c r="B376" t="s">
        <v>2890</v>
      </c>
      <c r="C376" t="s">
        <v>2898</v>
      </c>
      <c r="D376" t="s">
        <v>698</v>
      </c>
      <c r="E376" t="s">
        <v>147</v>
      </c>
      <c r="F376" t="s">
        <v>13</v>
      </c>
      <c r="G376" t="s">
        <v>14</v>
      </c>
      <c r="H376">
        <v>0.99999709999999997</v>
      </c>
      <c r="I376">
        <v>0.99933510000000003</v>
      </c>
      <c r="J376">
        <v>0.96553</v>
      </c>
      <c r="K376">
        <f t="shared" si="16"/>
        <v>1</v>
      </c>
      <c r="L376">
        <f t="shared" si="17"/>
        <v>1</v>
      </c>
      <c r="M376">
        <f t="shared" si="18"/>
        <v>1</v>
      </c>
    </row>
    <row r="377" spans="1:13" x14ac:dyDescent="0.2">
      <c r="A377" t="s">
        <v>2211</v>
      </c>
      <c r="B377" t="s">
        <v>2890</v>
      </c>
      <c r="C377" t="s">
        <v>2898</v>
      </c>
      <c r="D377" t="s">
        <v>699</v>
      </c>
      <c r="E377" t="s">
        <v>700</v>
      </c>
      <c r="F377" t="s">
        <v>9</v>
      </c>
      <c r="G377" t="s">
        <v>14</v>
      </c>
      <c r="H377">
        <v>0.99999254999999998</v>
      </c>
      <c r="I377">
        <v>0.99999994000000003</v>
      </c>
      <c r="J377">
        <v>0.77104497000000005</v>
      </c>
      <c r="K377">
        <f t="shared" si="16"/>
        <v>1</v>
      </c>
      <c r="L377">
        <f t="shared" si="17"/>
        <v>1</v>
      </c>
      <c r="M377">
        <f t="shared" si="18"/>
        <v>1</v>
      </c>
    </row>
    <row r="378" spans="1:13" x14ac:dyDescent="0.2">
      <c r="A378" t="s">
        <v>2212</v>
      </c>
      <c r="B378" t="s">
        <v>2890</v>
      </c>
      <c r="C378" t="s">
        <v>2898</v>
      </c>
      <c r="D378" t="s">
        <v>701</v>
      </c>
      <c r="E378" t="s">
        <v>681</v>
      </c>
      <c r="F378" t="s">
        <v>13</v>
      </c>
      <c r="G378" t="s">
        <v>14</v>
      </c>
      <c r="H378">
        <v>0.99999934000000001</v>
      </c>
      <c r="I378">
        <v>0.99999934000000001</v>
      </c>
      <c r="J378">
        <v>0.98433320000000002</v>
      </c>
      <c r="K378">
        <f t="shared" si="16"/>
        <v>1</v>
      </c>
      <c r="L378">
        <f t="shared" si="17"/>
        <v>1</v>
      </c>
      <c r="M378">
        <f t="shared" si="18"/>
        <v>1</v>
      </c>
    </row>
    <row r="379" spans="1:13" x14ac:dyDescent="0.2">
      <c r="A379" t="s">
        <v>2213</v>
      </c>
      <c r="B379" t="s">
        <v>2890</v>
      </c>
      <c r="C379" t="s">
        <v>2898</v>
      </c>
      <c r="D379" t="s">
        <v>702</v>
      </c>
      <c r="E379" t="s">
        <v>703</v>
      </c>
      <c r="F379" t="s">
        <v>13</v>
      </c>
      <c r="G379" t="s">
        <v>14</v>
      </c>
      <c r="H379">
        <v>0.99014323999999998</v>
      </c>
      <c r="I379">
        <v>0.99995679999999998</v>
      </c>
      <c r="J379" s="1">
        <v>4.3963016999999999E-5</v>
      </c>
      <c r="K379">
        <f t="shared" si="16"/>
        <v>1</v>
      </c>
      <c r="L379">
        <f t="shared" si="17"/>
        <v>1</v>
      </c>
      <c r="M379">
        <f t="shared" si="18"/>
        <v>0</v>
      </c>
    </row>
    <row r="380" spans="1:13" x14ac:dyDescent="0.2">
      <c r="A380" t="s">
        <v>2214</v>
      </c>
      <c r="B380" t="s">
        <v>2890</v>
      </c>
      <c r="C380" t="s">
        <v>2898</v>
      </c>
      <c r="D380" t="s">
        <v>704</v>
      </c>
      <c r="E380" t="s">
        <v>705</v>
      </c>
      <c r="F380" t="s">
        <v>13</v>
      </c>
      <c r="G380" t="s">
        <v>14</v>
      </c>
      <c r="H380">
        <v>0.99998679999999995</v>
      </c>
      <c r="I380">
        <v>0.999193</v>
      </c>
      <c r="J380">
        <v>0.96398430000000002</v>
      </c>
      <c r="K380">
        <f t="shared" si="16"/>
        <v>1</v>
      </c>
      <c r="L380">
        <f t="shared" si="17"/>
        <v>1</v>
      </c>
      <c r="M380">
        <f t="shared" si="18"/>
        <v>1</v>
      </c>
    </row>
    <row r="381" spans="1:13" x14ac:dyDescent="0.2">
      <c r="A381" t="s">
        <v>2215</v>
      </c>
      <c r="B381" t="s">
        <v>2890</v>
      </c>
      <c r="C381" t="s">
        <v>2898</v>
      </c>
      <c r="D381" t="s">
        <v>706</v>
      </c>
      <c r="E381" t="s">
        <v>707</v>
      </c>
      <c r="F381" t="s">
        <v>9</v>
      </c>
      <c r="G381" t="s">
        <v>36</v>
      </c>
      <c r="H381">
        <v>0.76197610000000005</v>
      </c>
      <c r="I381" s="1">
        <v>1.0786826E-8</v>
      </c>
      <c r="J381">
        <v>2.2099393E-4</v>
      </c>
      <c r="K381">
        <f t="shared" si="16"/>
        <v>1</v>
      </c>
      <c r="L381">
        <f t="shared" si="17"/>
        <v>0</v>
      </c>
      <c r="M381">
        <f t="shared" si="18"/>
        <v>0</v>
      </c>
    </row>
    <row r="382" spans="1:13" x14ac:dyDescent="0.2">
      <c r="A382" t="s">
        <v>2216</v>
      </c>
      <c r="B382" t="s">
        <v>2890</v>
      </c>
      <c r="C382" t="s">
        <v>2898</v>
      </c>
      <c r="D382" t="s">
        <v>708</v>
      </c>
      <c r="E382" t="s">
        <v>709</v>
      </c>
      <c r="F382" t="s">
        <v>13</v>
      </c>
      <c r="G382" t="s">
        <v>14</v>
      </c>
      <c r="H382">
        <v>0.99999830000000001</v>
      </c>
      <c r="I382">
        <v>0.99999994000000003</v>
      </c>
      <c r="J382">
        <v>0.16102610000000001</v>
      </c>
      <c r="K382">
        <f t="shared" si="16"/>
        <v>1</v>
      </c>
      <c r="L382">
        <f t="shared" si="17"/>
        <v>1</v>
      </c>
      <c r="M382">
        <f t="shared" si="18"/>
        <v>0</v>
      </c>
    </row>
    <row r="383" spans="1:13" x14ac:dyDescent="0.2">
      <c r="A383" t="s">
        <v>2217</v>
      </c>
      <c r="B383" t="s">
        <v>2890</v>
      </c>
      <c r="C383" t="s">
        <v>2898</v>
      </c>
      <c r="D383" t="s">
        <v>710</v>
      </c>
      <c r="E383" t="s">
        <v>711</v>
      </c>
      <c r="F383" t="s">
        <v>9</v>
      </c>
      <c r="G383" t="s">
        <v>14</v>
      </c>
      <c r="H383">
        <v>0.99999325999999999</v>
      </c>
      <c r="I383">
        <v>0.99801004000000004</v>
      </c>
      <c r="J383">
        <v>0.75958097000000002</v>
      </c>
      <c r="K383">
        <f t="shared" si="16"/>
        <v>1</v>
      </c>
      <c r="L383">
        <f t="shared" si="17"/>
        <v>1</v>
      </c>
      <c r="M383">
        <f t="shared" si="18"/>
        <v>1</v>
      </c>
    </row>
    <row r="384" spans="1:13" x14ac:dyDescent="0.2">
      <c r="A384" t="s">
        <v>2218</v>
      </c>
      <c r="B384" t="s">
        <v>2890</v>
      </c>
      <c r="C384" t="s">
        <v>2898</v>
      </c>
      <c r="D384" t="s">
        <v>712</v>
      </c>
      <c r="E384" t="s">
        <v>713</v>
      </c>
      <c r="F384" t="s">
        <v>60</v>
      </c>
      <c r="G384" t="s">
        <v>14</v>
      </c>
      <c r="H384">
        <v>0.99744712999999996</v>
      </c>
      <c r="I384">
        <v>0.99999519999999997</v>
      </c>
      <c r="J384">
        <v>9.3305825999999994E-2</v>
      </c>
      <c r="K384">
        <f t="shared" si="16"/>
        <v>1</v>
      </c>
      <c r="L384">
        <f t="shared" si="17"/>
        <v>1</v>
      </c>
      <c r="M384">
        <f t="shared" si="18"/>
        <v>0</v>
      </c>
    </row>
    <row r="385" spans="1:13" x14ac:dyDescent="0.2">
      <c r="A385" t="s">
        <v>2219</v>
      </c>
      <c r="B385" t="s">
        <v>2890</v>
      </c>
      <c r="C385" t="s">
        <v>2898</v>
      </c>
      <c r="D385" t="s">
        <v>714</v>
      </c>
      <c r="E385" t="s">
        <v>715</v>
      </c>
      <c r="F385" t="s">
        <v>13</v>
      </c>
      <c r="G385" t="s">
        <v>14</v>
      </c>
      <c r="H385">
        <v>0.99999994000000003</v>
      </c>
      <c r="I385">
        <v>0.99999875000000005</v>
      </c>
      <c r="J385">
        <v>0.96659539999999999</v>
      </c>
      <c r="K385">
        <f t="shared" si="16"/>
        <v>1</v>
      </c>
      <c r="L385">
        <f t="shared" si="17"/>
        <v>1</v>
      </c>
      <c r="M385">
        <f t="shared" si="18"/>
        <v>1</v>
      </c>
    </row>
    <row r="386" spans="1:13" x14ac:dyDescent="0.2">
      <c r="A386" t="s">
        <v>2220</v>
      </c>
      <c r="B386" t="s">
        <v>2890</v>
      </c>
      <c r="C386" t="s">
        <v>2898</v>
      </c>
      <c r="D386" t="s">
        <v>716</v>
      </c>
      <c r="E386" t="s">
        <v>717</v>
      </c>
      <c r="F386" t="s">
        <v>13</v>
      </c>
      <c r="G386" t="s">
        <v>14</v>
      </c>
      <c r="H386">
        <v>0.99999970000000005</v>
      </c>
      <c r="I386">
        <v>0.99999994000000003</v>
      </c>
      <c r="J386">
        <v>0.99855983000000004</v>
      </c>
      <c r="K386">
        <f t="shared" si="16"/>
        <v>1</v>
      </c>
      <c r="L386">
        <f t="shared" si="17"/>
        <v>1</v>
      </c>
      <c r="M386">
        <f t="shared" si="18"/>
        <v>1</v>
      </c>
    </row>
    <row r="387" spans="1:13" x14ac:dyDescent="0.2">
      <c r="A387" t="s">
        <v>2221</v>
      </c>
      <c r="B387" t="s">
        <v>2890</v>
      </c>
      <c r="C387" t="s">
        <v>2898</v>
      </c>
      <c r="D387" t="s">
        <v>718</v>
      </c>
      <c r="E387" t="s">
        <v>128</v>
      </c>
      <c r="F387" t="s">
        <v>13</v>
      </c>
      <c r="G387" t="s">
        <v>14</v>
      </c>
      <c r="H387">
        <v>0.99999919999999998</v>
      </c>
      <c r="I387">
        <v>0.9999903</v>
      </c>
      <c r="J387">
        <v>0.97652565999999996</v>
      </c>
      <c r="K387">
        <f t="shared" ref="K387:K450" si="19">IF(H387&gt;=0.5,1,0)</f>
        <v>1</v>
      </c>
      <c r="L387">
        <f t="shared" ref="L387:L450" si="20">IF(I387&gt;=0.5,1,0)</f>
        <v>1</v>
      </c>
      <c r="M387">
        <f t="shared" ref="M387:M450" si="21">IF(J387&gt;=0.5,1,0)</f>
        <v>1</v>
      </c>
    </row>
    <row r="388" spans="1:13" x14ac:dyDescent="0.2">
      <c r="A388" t="s">
        <v>2222</v>
      </c>
      <c r="B388" t="s">
        <v>2890</v>
      </c>
      <c r="C388" t="s">
        <v>2898</v>
      </c>
      <c r="D388" t="s">
        <v>719</v>
      </c>
      <c r="E388" t="s">
        <v>720</v>
      </c>
      <c r="F388" t="s">
        <v>9</v>
      </c>
      <c r="G388" t="s">
        <v>45</v>
      </c>
      <c r="H388">
        <v>0.15926731999999999</v>
      </c>
      <c r="I388" s="1">
        <v>1.7688713999999999E-7</v>
      </c>
      <c r="J388" s="1">
        <v>3.6860433999999997E-5</v>
      </c>
      <c r="K388">
        <f t="shared" si="19"/>
        <v>0</v>
      </c>
      <c r="L388">
        <f t="shared" si="20"/>
        <v>0</v>
      </c>
      <c r="M388">
        <f t="shared" si="21"/>
        <v>0</v>
      </c>
    </row>
    <row r="389" spans="1:13" x14ac:dyDescent="0.2">
      <c r="A389" t="s">
        <v>2223</v>
      </c>
      <c r="B389" t="s">
        <v>2890</v>
      </c>
      <c r="C389" t="s">
        <v>2898</v>
      </c>
      <c r="D389" t="s">
        <v>721</v>
      </c>
      <c r="E389" t="s">
        <v>722</v>
      </c>
      <c r="F389" t="s">
        <v>9</v>
      </c>
      <c r="G389" t="s">
        <v>14</v>
      </c>
      <c r="H389">
        <v>0.99999720000000003</v>
      </c>
      <c r="I389">
        <v>0.99998814000000003</v>
      </c>
      <c r="J389">
        <v>0.99999994000000003</v>
      </c>
      <c r="K389">
        <f t="shared" si="19"/>
        <v>1</v>
      </c>
      <c r="L389">
        <f t="shared" si="20"/>
        <v>1</v>
      </c>
      <c r="M389">
        <f t="shared" si="21"/>
        <v>1</v>
      </c>
    </row>
    <row r="390" spans="1:13" x14ac:dyDescent="0.2">
      <c r="A390" t="s">
        <v>2224</v>
      </c>
      <c r="B390" t="s">
        <v>2890</v>
      </c>
      <c r="C390" t="s">
        <v>2898</v>
      </c>
      <c r="D390" t="s">
        <v>723</v>
      </c>
      <c r="E390" t="s">
        <v>32</v>
      </c>
      <c r="F390" t="s">
        <v>9</v>
      </c>
      <c r="G390" t="s">
        <v>10</v>
      </c>
      <c r="H390">
        <v>0.99999994000000003</v>
      </c>
      <c r="I390">
        <v>0.99999994000000003</v>
      </c>
      <c r="J390">
        <v>0.99999859999999996</v>
      </c>
      <c r="K390">
        <f t="shared" si="19"/>
        <v>1</v>
      </c>
      <c r="L390">
        <f t="shared" si="20"/>
        <v>1</v>
      </c>
      <c r="M390">
        <f t="shared" si="21"/>
        <v>1</v>
      </c>
    </row>
    <row r="391" spans="1:13" x14ac:dyDescent="0.2">
      <c r="A391" t="s">
        <v>2225</v>
      </c>
      <c r="B391" t="s">
        <v>2890</v>
      </c>
      <c r="C391" t="s">
        <v>2898</v>
      </c>
      <c r="D391" t="s">
        <v>724</v>
      </c>
      <c r="E391" t="s">
        <v>725</v>
      </c>
      <c r="F391" t="s">
        <v>17</v>
      </c>
      <c r="G391" t="s">
        <v>14</v>
      </c>
      <c r="H391">
        <v>0.99990670000000004</v>
      </c>
      <c r="I391">
        <v>0.99999684</v>
      </c>
      <c r="J391">
        <v>0.99959209999999998</v>
      </c>
      <c r="K391">
        <f t="shared" si="19"/>
        <v>1</v>
      </c>
      <c r="L391">
        <f t="shared" si="20"/>
        <v>1</v>
      </c>
      <c r="M391">
        <f t="shared" si="21"/>
        <v>1</v>
      </c>
    </row>
    <row r="392" spans="1:13" x14ac:dyDescent="0.2">
      <c r="A392" t="s">
        <v>2226</v>
      </c>
      <c r="B392" t="s">
        <v>2890</v>
      </c>
      <c r="C392" t="s">
        <v>2898</v>
      </c>
      <c r="D392" t="s">
        <v>726</v>
      </c>
      <c r="E392" t="s">
        <v>435</v>
      </c>
      <c r="F392" t="s">
        <v>60</v>
      </c>
      <c r="G392" t="s">
        <v>14</v>
      </c>
      <c r="H392">
        <v>0.12628961999999999</v>
      </c>
      <c r="I392">
        <v>0.99999110000000002</v>
      </c>
      <c r="J392">
        <v>1.3170720999999999E-3</v>
      </c>
      <c r="K392">
        <f t="shared" si="19"/>
        <v>0</v>
      </c>
      <c r="L392">
        <f t="shared" si="20"/>
        <v>1</v>
      </c>
      <c r="M392">
        <f t="shared" si="21"/>
        <v>0</v>
      </c>
    </row>
    <row r="393" spans="1:13" x14ac:dyDescent="0.2">
      <c r="A393" t="s">
        <v>2227</v>
      </c>
      <c r="B393" t="s">
        <v>2890</v>
      </c>
      <c r="C393" t="s">
        <v>2898</v>
      </c>
      <c r="D393" t="s">
        <v>727</v>
      </c>
      <c r="E393" t="s">
        <v>728</v>
      </c>
      <c r="F393" t="s">
        <v>13</v>
      </c>
      <c r="G393" t="s">
        <v>14</v>
      </c>
      <c r="H393">
        <v>0.99989779999999995</v>
      </c>
      <c r="I393">
        <v>0.99999970000000005</v>
      </c>
      <c r="J393">
        <v>1.9871194E-3</v>
      </c>
      <c r="K393">
        <f t="shared" si="19"/>
        <v>1</v>
      </c>
      <c r="L393">
        <f t="shared" si="20"/>
        <v>1</v>
      </c>
      <c r="M393">
        <f t="shared" si="21"/>
        <v>0</v>
      </c>
    </row>
    <row r="394" spans="1:13" x14ac:dyDescent="0.2">
      <c r="A394" t="s">
        <v>2228</v>
      </c>
      <c r="B394" t="s">
        <v>2890</v>
      </c>
      <c r="C394" t="s">
        <v>2898</v>
      </c>
      <c r="D394" t="e">
        <f>-VQ-LVQSGA-EVKKPGSSVKVSCKASGGTF---------SSYGIS-WVRQ-A-P-G-Q--G-LE-WMGGIIIF-----------GGTTKY--A--Q--KF--Q---GRVTITA-D---E-S--TS----T-AYMELSSLRS-EDTAVYYCARSEH---------------------------FGGDVWG-QGTLVTVSS</f>
        <v>#NAME?</v>
      </c>
      <c r="E394" t="s">
        <v>729</v>
      </c>
      <c r="F394" t="s">
        <v>9</v>
      </c>
      <c r="G394" t="s">
        <v>14</v>
      </c>
      <c r="H394">
        <v>0.99999979999999999</v>
      </c>
      <c r="I394">
        <v>0.99957220000000002</v>
      </c>
      <c r="J394">
        <v>7.0545340000000003E-3</v>
      </c>
      <c r="K394">
        <f t="shared" si="19"/>
        <v>1</v>
      </c>
      <c r="L394">
        <f t="shared" si="20"/>
        <v>1</v>
      </c>
      <c r="M394">
        <f t="shared" si="21"/>
        <v>0</v>
      </c>
    </row>
    <row r="395" spans="1:13" x14ac:dyDescent="0.2">
      <c r="A395" t="s">
        <v>2229</v>
      </c>
      <c r="B395" t="s">
        <v>2890</v>
      </c>
      <c r="C395" t="s">
        <v>2898</v>
      </c>
      <c r="D395" t="s">
        <v>730</v>
      </c>
      <c r="E395" t="s">
        <v>731</v>
      </c>
      <c r="F395" t="s">
        <v>13</v>
      </c>
      <c r="G395" t="s">
        <v>14</v>
      </c>
      <c r="H395">
        <v>0.99999979999999999</v>
      </c>
      <c r="I395">
        <v>0.99985740000000001</v>
      </c>
      <c r="J395">
        <v>0.98208870000000004</v>
      </c>
      <c r="K395">
        <f t="shared" si="19"/>
        <v>1</v>
      </c>
      <c r="L395">
        <f t="shared" si="20"/>
        <v>1</v>
      </c>
      <c r="M395">
        <f t="shared" si="21"/>
        <v>1</v>
      </c>
    </row>
    <row r="396" spans="1:13" x14ac:dyDescent="0.2">
      <c r="A396" t="s">
        <v>2230</v>
      </c>
      <c r="B396" t="s">
        <v>2890</v>
      </c>
      <c r="C396" t="s">
        <v>2898</v>
      </c>
      <c r="D396" t="s">
        <v>732</v>
      </c>
      <c r="E396" t="s">
        <v>147</v>
      </c>
      <c r="F396" t="s">
        <v>9</v>
      </c>
      <c r="G396" t="s">
        <v>14</v>
      </c>
      <c r="H396" s="1">
        <v>4.0562393000000002E-9</v>
      </c>
      <c r="I396">
        <v>0.99933510000000003</v>
      </c>
      <c r="J396">
        <v>0.97993463000000003</v>
      </c>
      <c r="K396">
        <f t="shared" si="19"/>
        <v>0</v>
      </c>
      <c r="L396">
        <f t="shared" si="20"/>
        <v>1</v>
      </c>
      <c r="M396">
        <f t="shared" si="21"/>
        <v>1</v>
      </c>
    </row>
    <row r="397" spans="1:13" x14ac:dyDescent="0.2">
      <c r="A397" t="s">
        <v>2231</v>
      </c>
      <c r="B397" t="s">
        <v>2890</v>
      </c>
      <c r="C397" t="s">
        <v>2898</v>
      </c>
      <c r="D397" t="s">
        <v>733</v>
      </c>
      <c r="E397" t="s">
        <v>734</v>
      </c>
      <c r="F397" t="s">
        <v>9</v>
      </c>
      <c r="G397" t="s">
        <v>14</v>
      </c>
      <c r="H397">
        <v>0.70951850000000005</v>
      </c>
      <c r="I397" s="1">
        <v>1.7480184000000001E-8</v>
      </c>
      <c r="J397">
        <v>3.5606309999999999E-3</v>
      </c>
      <c r="K397">
        <f t="shared" si="19"/>
        <v>1</v>
      </c>
      <c r="L397">
        <f t="shared" si="20"/>
        <v>0</v>
      </c>
      <c r="M397">
        <f t="shared" si="21"/>
        <v>0</v>
      </c>
    </row>
    <row r="398" spans="1:13" x14ac:dyDescent="0.2">
      <c r="A398" t="s">
        <v>2232</v>
      </c>
      <c r="B398" t="s">
        <v>2890</v>
      </c>
      <c r="C398" t="s">
        <v>2898</v>
      </c>
      <c r="D398" t="s">
        <v>735</v>
      </c>
      <c r="E398" t="s">
        <v>128</v>
      </c>
      <c r="F398" t="s">
        <v>13</v>
      </c>
      <c r="G398" t="s">
        <v>14</v>
      </c>
      <c r="H398">
        <v>0.99999769999999999</v>
      </c>
      <c r="I398">
        <v>0.9999903</v>
      </c>
      <c r="J398">
        <v>0.98848164000000005</v>
      </c>
      <c r="K398">
        <f t="shared" si="19"/>
        <v>1</v>
      </c>
      <c r="L398">
        <f t="shared" si="20"/>
        <v>1</v>
      </c>
      <c r="M398">
        <f t="shared" si="21"/>
        <v>1</v>
      </c>
    </row>
    <row r="399" spans="1:13" x14ac:dyDescent="0.2">
      <c r="A399" t="s">
        <v>2233</v>
      </c>
      <c r="B399" t="s">
        <v>2890</v>
      </c>
      <c r="C399" t="s">
        <v>2898</v>
      </c>
      <c r="D399" t="s">
        <v>736</v>
      </c>
      <c r="E399" t="s">
        <v>737</v>
      </c>
      <c r="F399" t="s">
        <v>9</v>
      </c>
      <c r="G399" t="s">
        <v>65</v>
      </c>
      <c r="H399">
        <v>1.4280339000000001E-4</v>
      </c>
      <c r="I399" s="1">
        <v>1.8477921000000001E-6</v>
      </c>
      <c r="J399">
        <v>3.0620836E-4</v>
      </c>
      <c r="K399">
        <f t="shared" si="19"/>
        <v>0</v>
      </c>
      <c r="L399">
        <f t="shared" si="20"/>
        <v>0</v>
      </c>
      <c r="M399">
        <f t="shared" si="21"/>
        <v>0</v>
      </c>
    </row>
    <row r="400" spans="1:13" x14ac:dyDescent="0.2">
      <c r="A400" t="s">
        <v>2234</v>
      </c>
      <c r="B400" t="s">
        <v>2890</v>
      </c>
      <c r="C400" t="s">
        <v>2898</v>
      </c>
      <c r="D400" t="s">
        <v>738</v>
      </c>
      <c r="E400" t="s">
        <v>739</v>
      </c>
      <c r="F400" t="s">
        <v>13</v>
      </c>
      <c r="G400" t="s">
        <v>14</v>
      </c>
      <c r="H400">
        <v>0.99999210000000005</v>
      </c>
      <c r="I400">
        <v>0.98166310000000001</v>
      </c>
      <c r="J400">
        <v>0.93910740000000004</v>
      </c>
      <c r="K400">
        <f t="shared" si="19"/>
        <v>1</v>
      </c>
      <c r="L400">
        <f t="shared" si="20"/>
        <v>1</v>
      </c>
      <c r="M400">
        <f t="shared" si="21"/>
        <v>1</v>
      </c>
    </row>
    <row r="401" spans="1:13" x14ac:dyDescent="0.2">
      <c r="A401" t="s">
        <v>2235</v>
      </c>
      <c r="B401" t="s">
        <v>2890</v>
      </c>
      <c r="C401" t="s">
        <v>2898</v>
      </c>
      <c r="D401" t="s">
        <v>740</v>
      </c>
      <c r="E401" t="s">
        <v>741</v>
      </c>
      <c r="F401" t="s">
        <v>9</v>
      </c>
      <c r="G401" t="s">
        <v>14</v>
      </c>
      <c r="H401">
        <v>0.99995535999999996</v>
      </c>
      <c r="I401">
        <v>0.99999970000000005</v>
      </c>
      <c r="J401">
        <v>0.47715016999999998</v>
      </c>
      <c r="K401">
        <f t="shared" si="19"/>
        <v>1</v>
      </c>
      <c r="L401">
        <f t="shared" si="20"/>
        <v>1</v>
      </c>
      <c r="M401">
        <f t="shared" si="21"/>
        <v>0</v>
      </c>
    </row>
    <row r="402" spans="1:13" x14ac:dyDescent="0.2">
      <c r="A402" t="s">
        <v>2236</v>
      </c>
      <c r="B402" t="s">
        <v>2892</v>
      </c>
      <c r="C402" t="s">
        <v>2898</v>
      </c>
      <c r="D402" t="s">
        <v>742</v>
      </c>
      <c r="E402" t="s">
        <v>743</v>
      </c>
      <c r="F402" t="s">
        <v>13</v>
      </c>
      <c r="G402" t="s">
        <v>14</v>
      </c>
      <c r="H402">
        <v>0.99999994000000003</v>
      </c>
      <c r="I402">
        <v>0.99999994000000003</v>
      </c>
      <c r="J402">
        <v>0.98734429999999995</v>
      </c>
      <c r="K402">
        <f t="shared" si="19"/>
        <v>1</v>
      </c>
      <c r="L402">
        <f t="shared" si="20"/>
        <v>1</v>
      </c>
      <c r="M402">
        <f t="shared" si="21"/>
        <v>1</v>
      </c>
    </row>
    <row r="403" spans="1:13" x14ac:dyDescent="0.2">
      <c r="A403" t="s">
        <v>2237</v>
      </c>
      <c r="B403" t="s">
        <v>2892</v>
      </c>
      <c r="C403" t="s">
        <v>2898</v>
      </c>
      <c r="D403" t="e">
        <f>-VQ-LVQSGA-EVKKPGASVKVSCKASGYTF---------TGYYMH-WVRQ-A-P-G-Q--G-LE-WMGWINPN-----------SGGTNY--A--Q--KF--Q---GRVTMTR-D---T-S--IS----T-AYMELSRLRS-DDTAVYYCARDLTSRG----------------------SGRYYDVWG-QGTTVTVSS</f>
        <v>#NAME?</v>
      </c>
      <c r="E403" t="s">
        <v>744</v>
      </c>
      <c r="F403" t="s">
        <v>9</v>
      </c>
      <c r="G403" t="s">
        <v>153</v>
      </c>
      <c r="H403">
        <v>0.99999755999999995</v>
      </c>
      <c r="I403">
        <v>0.99999994000000003</v>
      </c>
      <c r="J403">
        <v>0.99999959999999999</v>
      </c>
      <c r="K403">
        <f t="shared" si="19"/>
        <v>1</v>
      </c>
      <c r="L403">
        <f t="shared" si="20"/>
        <v>1</v>
      </c>
      <c r="M403">
        <f t="shared" si="21"/>
        <v>1</v>
      </c>
    </row>
    <row r="404" spans="1:13" x14ac:dyDescent="0.2">
      <c r="A404" t="s">
        <v>2238</v>
      </c>
      <c r="B404" t="s">
        <v>2892</v>
      </c>
      <c r="C404" t="s">
        <v>2898</v>
      </c>
      <c r="D404" t="s">
        <v>745</v>
      </c>
      <c r="E404" t="s">
        <v>142</v>
      </c>
      <c r="F404" t="s">
        <v>9</v>
      </c>
      <c r="G404" t="s">
        <v>143</v>
      </c>
      <c r="H404">
        <v>9.3325459999999999E-2</v>
      </c>
      <c r="I404" s="1">
        <v>1.5476132000000001E-8</v>
      </c>
      <c r="J404" s="1">
        <v>2.8957040999999999E-8</v>
      </c>
      <c r="K404">
        <f t="shared" si="19"/>
        <v>0</v>
      </c>
      <c r="L404">
        <f t="shared" si="20"/>
        <v>0</v>
      </c>
      <c r="M404">
        <f t="shared" si="21"/>
        <v>0</v>
      </c>
    </row>
    <row r="405" spans="1:13" x14ac:dyDescent="0.2">
      <c r="A405" t="s">
        <v>2239</v>
      </c>
      <c r="B405" t="s">
        <v>2892</v>
      </c>
      <c r="C405" t="s">
        <v>2898</v>
      </c>
      <c r="D405" t="s">
        <v>746</v>
      </c>
      <c r="E405" t="s">
        <v>79</v>
      </c>
      <c r="F405" t="s">
        <v>17</v>
      </c>
      <c r="G405" t="s">
        <v>14</v>
      </c>
      <c r="H405">
        <v>0.12473237500000001</v>
      </c>
      <c r="I405">
        <v>0.99999994000000003</v>
      </c>
      <c r="J405">
        <v>0.99999970000000005</v>
      </c>
      <c r="K405">
        <f t="shared" si="19"/>
        <v>0</v>
      </c>
      <c r="L405">
        <f t="shared" si="20"/>
        <v>1</v>
      </c>
      <c r="M405">
        <f t="shared" si="21"/>
        <v>1</v>
      </c>
    </row>
    <row r="406" spans="1:13" x14ac:dyDescent="0.2">
      <c r="A406" t="s">
        <v>2240</v>
      </c>
      <c r="B406" t="s">
        <v>2892</v>
      </c>
      <c r="C406" t="s">
        <v>2898</v>
      </c>
      <c r="D406" t="s">
        <v>747</v>
      </c>
      <c r="E406" t="s">
        <v>748</v>
      </c>
      <c r="F406" t="s">
        <v>9</v>
      </c>
      <c r="G406" t="s">
        <v>14</v>
      </c>
      <c r="H406">
        <v>0.99999696000000005</v>
      </c>
      <c r="I406">
        <v>0.98566823999999997</v>
      </c>
      <c r="J406" s="1">
        <v>7.2968710000000006E-5</v>
      </c>
      <c r="K406">
        <f t="shared" si="19"/>
        <v>1</v>
      </c>
      <c r="L406">
        <f t="shared" si="20"/>
        <v>1</v>
      </c>
      <c r="M406">
        <f t="shared" si="21"/>
        <v>0</v>
      </c>
    </row>
    <row r="407" spans="1:13" x14ac:dyDescent="0.2">
      <c r="A407" t="s">
        <v>2241</v>
      </c>
      <c r="B407" t="s">
        <v>2892</v>
      </c>
      <c r="C407" t="s">
        <v>2898</v>
      </c>
      <c r="D407" t="e">
        <f>-VQ-LVESGG-GLVQPGGSLRLSCAASGFNV---------YSSSIH-WVRQ-A-P-G-K--G-LE-WVASIYSY-----------SGYTSY--A--D--SV--K---GRFTISA-D---T-S--KN----T-AYLQMNSLRA-EDTAVYYCARYVYSGWYY------------------SGFPGGMDYWG-QGTLVTVSS</f>
        <v>#NAME?</v>
      </c>
      <c r="E407" t="s">
        <v>147</v>
      </c>
      <c r="F407" t="s">
        <v>13</v>
      </c>
      <c r="G407" t="s">
        <v>14</v>
      </c>
      <c r="H407">
        <v>0.99999994000000003</v>
      </c>
      <c r="I407">
        <v>0.99933510000000003</v>
      </c>
      <c r="J407">
        <v>0.9918787</v>
      </c>
      <c r="K407">
        <f t="shared" si="19"/>
        <v>1</v>
      </c>
      <c r="L407">
        <f t="shared" si="20"/>
        <v>1</v>
      </c>
      <c r="M407">
        <f t="shared" si="21"/>
        <v>1</v>
      </c>
    </row>
    <row r="408" spans="1:13" x14ac:dyDescent="0.2">
      <c r="A408" t="s">
        <v>2242</v>
      </c>
      <c r="B408" t="s">
        <v>2892</v>
      </c>
      <c r="C408" t="s">
        <v>2898</v>
      </c>
      <c r="D408" t="s">
        <v>749</v>
      </c>
      <c r="E408" t="s">
        <v>106</v>
      </c>
      <c r="F408" t="s">
        <v>13</v>
      </c>
      <c r="G408" t="s">
        <v>14</v>
      </c>
      <c r="H408">
        <v>0.27964066999999998</v>
      </c>
      <c r="I408">
        <v>0.99999994000000003</v>
      </c>
      <c r="J408">
        <v>0.99999994000000003</v>
      </c>
      <c r="K408">
        <f t="shared" si="19"/>
        <v>0</v>
      </c>
      <c r="L408">
        <f t="shared" si="20"/>
        <v>1</v>
      </c>
      <c r="M408">
        <f t="shared" si="21"/>
        <v>1</v>
      </c>
    </row>
    <row r="409" spans="1:13" x14ac:dyDescent="0.2">
      <c r="A409" t="s">
        <v>2243</v>
      </c>
      <c r="B409" t="s">
        <v>2892</v>
      </c>
      <c r="C409" t="s">
        <v>2898</v>
      </c>
      <c r="D409" t="s">
        <v>750</v>
      </c>
      <c r="E409" t="s">
        <v>751</v>
      </c>
      <c r="F409" t="s">
        <v>13</v>
      </c>
      <c r="G409" t="s">
        <v>14</v>
      </c>
      <c r="H409">
        <v>0.99950165000000002</v>
      </c>
      <c r="I409">
        <v>0.99999994000000003</v>
      </c>
      <c r="J409">
        <v>0.85209935999999997</v>
      </c>
      <c r="K409">
        <f t="shared" si="19"/>
        <v>1</v>
      </c>
      <c r="L409">
        <f t="shared" si="20"/>
        <v>1</v>
      </c>
      <c r="M409">
        <f t="shared" si="21"/>
        <v>1</v>
      </c>
    </row>
    <row r="410" spans="1:13" x14ac:dyDescent="0.2">
      <c r="A410" t="s">
        <v>2244</v>
      </c>
      <c r="B410" t="s">
        <v>2892</v>
      </c>
      <c r="C410" t="s">
        <v>2898</v>
      </c>
      <c r="D410" t="s">
        <v>752</v>
      </c>
      <c r="E410" t="s">
        <v>753</v>
      </c>
      <c r="F410" t="s">
        <v>13</v>
      </c>
      <c r="G410" t="s">
        <v>14</v>
      </c>
      <c r="H410">
        <v>0.9996524</v>
      </c>
      <c r="I410">
        <v>0.99999839999999995</v>
      </c>
      <c r="J410">
        <v>0.86336040000000003</v>
      </c>
      <c r="K410">
        <f t="shared" si="19"/>
        <v>1</v>
      </c>
      <c r="L410">
        <f t="shared" si="20"/>
        <v>1</v>
      </c>
      <c r="M410">
        <f t="shared" si="21"/>
        <v>1</v>
      </c>
    </row>
    <row r="411" spans="1:13" x14ac:dyDescent="0.2">
      <c r="A411" t="s">
        <v>2245</v>
      </c>
      <c r="B411" t="s">
        <v>2892</v>
      </c>
      <c r="C411" t="s">
        <v>2898</v>
      </c>
      <c r="D411" t="s">
        <v>754</v>
      </c>
      <c r="E411" t="s">
        <v>755</v>
      </c>
      <c r="F411" t="s">
        <v>9</v>
      </c>
      <c r="G411" t="s">
        <v>143</v>
      </c>
      <c r="H411">
        <v>3.9094469999999999E-2</v>
      </c>
      <c r="I411" s="1">
        <v>2.1295007999999999E-8</v>
      </c>
      <c r="J411" s="1">
        <v>2.4891344E-5</v>
      </c>
      <c r="K411">
        <f t="shared" si="19"/>
        <v>0</v>
      </c>
      <c r="L411">
        <f t="shared" si="20"/>
        <v>0</v>
      </c>
      <c r="M411">
        <f t="shared" si="21"/>
        <v>0</v>
      </c>
    </row>
    <row r="412" spans="1:13" x14ac:dyDescent="0.2">
      <c r="A412" t="s">
        <v>2246</v>
      </c>
      <c r="B412" t="s">
        <v>2892</v>
      </c>
      <c r="C412" t="s">
        <v>2898</v>
      </c>
      <c r="D412" t="s">
        <v>756</v>
      </c>
      <c r="E412" t="s">
        <v>757</v>
      </c>
      <c r="F412" t="s">
        <v>17</v>
      </c>
      <c r="G412" t="s">
        <v>10</v>
      </c>
      <c r="H412">
        <v>0.99399804999999997</v>
      </c>
      <c r="I412">
        <v>0.99999994000000003</v>
      </c>
      <c r="J412">
        <v>0.47386232</v>
      </c>
      <c r="K412">
        <f t="shared" si="19"/>
        <v>1</v>
      </c>
      <c r="L412">
        <f t="shared" si="20"/>
        <v>1</v>
      </c>
      <c r="M412">
        <f t="shared" si="21"/>
        <v>0</v>
      </c>
    </row>
    <row r="413" spans="1:13" x14ac:dyDescent="0.2">
      <c r="A413" t="s">
        <v>2247</v>
      </c>
      <c r="B413" t="s">
        <v>2892</v>
      </c>
      <c r="C413" t="s">
        <v>2898</v>
      </c>
      <c r="D413" t="s">
        <v>758</v>
      </c>
      <c r="E413" t="s">
        <v>759</v>
      </c>
      <c r="F413" t="s">
        <v>9</v>
      </c>
      <c r="G413" t="s">
        <v>10</v>
      </c>
      <c r="H413">
        <v>0.99999994000000003</v>
      </c>
      <c r="I413">
        <v>0.99999994000000003</v>
      </c>
      <c r="J413">
        <v>2.9039180000000001E-2</v>
      </c>
      <c r="K413">
        <f t="shared" si="19"/>
        <v>1</v>
      </c>
      <c r="L413">
        <f t="shared" si="20"/>
        <v>1</v>
      </c>
      <c r="M413">
        <f t="shared" si="21"/>
        <v>0</v>
      </c>
    </row>
    <row r="414" spans="1:13" x14ac:dyDescent="0.2">
      <c r="A414" t="s">
        <v>2248</v>
      </c>
      <c r="B414" t="s">
        <v>2892</v>
      </c>
      <c r="C414" t="s">
        <v>2898</v>
      </c>
      <c r="D414" t="s">
        <v>760</v>
      </c>
      <c r="E414" t="s">
        <v>761</v>
      </c>
      <c r="F414" t="s">
        <v>13</v>
      </c>
      <c r="G414" t="s">
        <v>14</v>
      </c>
      <c r="H414">
        <v>0.99975170000000002</v>
      </c>
      <c r="I414">
        <v>0.99978685</v>
      </c>
      <c r="J414">
        <v>8.8282496000000002E-2</v>
      </c>
      <c r="K414">
        <f t="shared" si="19"/>
        <v>1</v>
      </c>
      <c r="L414">
        <f t="shared" si="20"/>
        <v>1</v>
      </c>
      <c r="M414">
        <f t="shared" si="21"/>
        <v>0</v>
      </c>
    </row>
    <row r="415" spans="1:13" x14ac:dyDescent="0.2">
      <c r="A415" t="s">
        <v>2249</v>
      </c>
      <c r="B415" t="s">
        <v>2892</v>
      </c>
      <c r="C415" t="s">
        <v>2898</v>
      </c>
      <c r="D415" t="s">
        <v>762</v>
      </c>
      <c r="E415" t="s">
        <v>763</v>
      </c>
      <c r="F415" t="s">
        <v>9</v>
      </c>
      <c r="G415" t="s">
        <v>14</v>
      </c>
      <c r="H415">
        <v>0.99999229999999995</v>
      </c>
      <c r="I415">
        <v>0.99999994000000003</v>
      </c>
      <c r="J415">
        <v>0.9927781</v>
      </c>
      <c r="K415">
        <f t="shared" si="19"/>
        <v>1</v>
      </c>
      <c r="L415">
        <f t="shared" si="20"/>
        <v>1</v>
      </c>
      <c r="M415">
        <f t="shared" si="21"/>
        <v>1</v>
      </c>
    </row>
    <row r="416" spans="1:13" x14ac:dyDescent="0.2">
      <c r="A416" t="s">
        <v>2250</v>
      </c>
      <c r="B416" t="s">
        <v>2892</v>
      </c>
      <c r="C416" t="s">
        <v>2898</v>
      </c>
      <c r="D416" t="s">
        <v>764</v>
      </c>
      <c r="E416" t="s">
        <v>142</v>
      </c>
      <c r="F416" t="s">
        <v>9</v>
      </c>
      <c r="G416" t="s">
        <v>143</v>
      </c>
      <c r="H416">
        <v>2.5186648000000002E-3</v>
      </c>
      <c r="I416" s="1">
        <v>1.5476132000000001E-8</v>
      </c>
      <c r="J416">
        <v>0.15592544999999999</v>
      </c>
      <c r="K416">
        <f t="shared" si="19"/>
        <v>0</v>
      </c>
      <c r="L416">
        <f t="shared" si="20"/>
        <v>0</v>
      </c>
      <c r="M416">
        <f t="shared" si="21"/>
        <v>0</v>
      </c>
    </row>
    <row r="417" spans="1:13" x14ac:dyDescent="0.2">
      <c r="A417" t="s">
        <v>2251</v>
      </c>
      <c r="B417" t="s">
        <v>2892</v>
      </c>
      <c r="C417" t="s">
        <v>2898</v>
      </c>
      <c r="D417" t="s">
        <v>765</v>
      </c>
      <c r="E417" t="s">
        <v>79</v>
      </c>
      <c r="F417" t="s">
        <v>9</v>
      </c>
      <c r="G417" t="s">
        <v>14</v>
      </c>
      <c r="H417">
        <v>0.99999850000000001</v>
      </c>
      <c r="I417">
        <v>0.99999994000000003</v>
      </c>
      <c r="J417">
        <v>0.99999994000000003</v>
      </c>
      <c r="K417">
        <f t="shared" si="19"/>
        <v>1</v>
      </c>
      <c r="L417">
        <f t="shared" si="20"/>
        <v>1</v>
      </c>
      <c r="M417">
        <f t="shared" si="21"/>
        <v>1</v>
      </c>
    </row>
    <row r="418" spans="1:13" x14ac:dyDescent="0.2">
      <c r="A418" t="s">
        <v>2252</v>
      </c>
      <c r="B418" t="s">
        <v>2892</v>
      </c>
      <c r="C418" t="s">
        <v>2898</v>
      </c>
      <c r="D418" t="s">
        <v>766</v>
      </c>
      <c r="E418" t="s">
        <v>767</v>
      </c>
      <c r="F418" t="s">
        <v>9</v>
      </c>
      <c r="G418" t="s">
        <v>14</v>
      </c>
      <c r="H418">
        <v>0.99999994000000003</v>
      </c>
      <c r="I418">
        <v>0.99999994000000003</v>
      </c>
      <c r="J418">
        <v>0.85400032999999997</v>
      </c>
      <c r="K418">
        <f t="shared" si="19"/>
        <v>1</v>
      </c>
      <c r="L418">
        <f t="shared" si="20"/>
        <v>1</v>
      </c>
      <c r="M418">
        <f t="shared" si="21"/>
        <v>1</v>
      </c>
    </row>
    <row r="419" spans="1:13" x14ac:dyDescent="0.2">
      <c r="A419" t="s">
        <v>2253</v>
      </c>
      <c r="B419" t="s">
        <v>2892</v>
      </c>
      <c r="C419" t="s">
        <v>2898</v>
      </c>
      <c r="D419" t="s">
        <v>768</v>
      </c>
      <c r="E419" t="s">
        <v>79</v>
      </c>
      <c r="F419" t="s">
        <v>9</v>
      </c>
      <c r="G419" t="s">
        <v>14</v>
      </c>
      <c r="H419">
        <v>8.2644739999999994E-2</v>
      </c>
      <c r="I419">
        <v>0.99999994000000003</v>
      </c>
      <c r="J419" s="1">
        <v>8.2990255000000003E-8</v>
      </c>
      <c r="K419">
        <f t="shared" si="19"/>
        <v>0</v>
      </c>
      <c r="L419">
        <f t="shared" si="20"/>
        <v>1</v>
      </c>
      <c r="M419">
        <f t="shared" si="21"/>
        <v>0</v>
      </c>
    </row>
    <row r="420" spans="1:13" x14ac:dyDescent="0.2">
      <c r="A420" t="s">
        <v>2254</v>
      </c>
      <c r="B420" t="s">
        <v>2892</v>
      </c>
      <c r="C420" t="s">
        <v>2898</v>
      </c>
      <c r="D420" t="s">
        <v>769</v>
      </c>
      <c r="E420" t="s">
        <v>770</v>
      </c>
      <c r="F420" t="s">
        <v>13</v>
      </c>
      <c r="G420" t="s">
        <v>14</v>
      </c>
      <c r="H420">
        <v>0.99999470000000001</v>
      </c>
      <c r="I420">
        <v>0.99999994000000003</v>
      </c>
      <c r="J420">
        <v>0.98917734999999996</v>
      </c>
      <c r="K420">
        <f t="shared" si="19"/>
        <v>1</v>
      </c>
      <c r="L420">
        <f t="shared" si="20"/>
        <v>1</v>
      </c>
      <c r="M420">
        <f t="shared" si="21"/>
        <v>1</v>
      </c>
    </row>
    <row r="421" spans="1:13" x14ac:dyDescent="0.2">
      <c r="A421" t="s">
        <v>2255</v>
      </c>
      <c r="B421" t="s">
        <v>2892</v>
      </c>
      <c r="C421" t="s">
        <v>2898</v>
      </c>
      <c r="D421" t="s">
        <v>771</v>
      </c>
      <c r="E421" t="s">
        <v>79</v>
      </c>
      <c r="F421" t="s">
        <v>13</v>
      </c>
      <c r="G421" t="s">
        <v>14</v>
      </c>
      <c r="H421">
        <v>0.99667850000000002</v>
      </c>
      <c r="I421">
        <v>0.99999994000000003</v>
      </c>
      <c r="J421">
        <v>0.99996680000000004</v>
      </c>
      <c r="K421">
        <f t="shared" si="19"/>
        <v>1</v>
      </c>
      <c r="L421">
        <f t="shared" si="20"/>
        <v>1</v>
      </c>
      <c r="M421">
        <f t="shared" si="21"/>
        <v>1</v>
      </c>
    </row>
    <row r="422" spans="1:13" x14ac:dyDescent="0.2">
      <c r="A422" t="s">
        <v>2256</v>
      </c>
      <c r="B422" t="s">
        <v>2892</v>
      </c>
      <c r="C422" t="s">
        <v>2898</v>
      </c>
      <c r="D422" t="s">
        <v>772</v>
      </c>
      <c r="E422" t="s">
        <v>773</v>
      </c>
      <c r="F422" t="s">
        <v>13</v>
      </c>
      <c r="G422" t="s">
        <v>65</v>
      </c>
      <c r="H422">
        <v>0.99995153999999997</v>
      </c>
      <c r="I422" s="1">
        <v>1.3553220000000001E-7</v>
      </c>
      <c r="J422" s="1">
        <v>2.3938715000000001E-10</v>
      </c>
      <c r="K422">
        <f t="shared" si="19"/>
        <v>1</v>
      </c>
      <c r="L422">
        <f t="shared" si="20"/>
        <v>0</v>
      </c>
      <c r="M422">
        <f t="shared" si="21"/>
        <v>0</v>
      </c>
    </row>
    <row r="423" spans="1:13" x14ac:dyDescent="0.2">
      <c r="A423" t="s">
        <v>2257</v>
      </c>
      <c r="B423" t="s">
        <v>2892</v>
      </c>
      <c r="C423" t="s">
        <v>2898</v>
      </c>
      <c r="D423" t="s">
        <v>774</v>
      </c>
      <c r="E423" t="s">
        <v>775</v>
      </c>
      <c r="F423" t="s">
        <v>13</v>
      </c>
      <c r="G423" t="s">
        <v>14</v>
      </c>
      <c r="H423">
        <v>0.99987172999999996</v>
      </c>
      <c r="I423">
        <v>0.99999994000000003</v>
      </c>
      <c r="J423">
        <v>0.99876489999999996</v>
      </c>
      <c r="K423">
        <f t="shared" si="19"/>
        <v>1</v>
      </c>
      <c r="L423">
        <f t="shared" si="20"/>
        <v>1</v>
      </c>
      <c r="M423">
        <f t="shared" si="21"/>
        <v>1</v>
      </c>
    </row>
    <row r="424" spans="1:13" x14ac:dyDescent="0.2">
      <c r="A424" t="s">
        <v>2258</v>
      </c>
      <c r="B424" t="s">
        <v>2892</v>
      </c>
      <c r="C424" t="s">
        <v>2898</v>
      </c>
      <c r="D424" t="s">
        <v>141</v>
      </c>
      <c r="E424" t="s">
        <v>142</v>
      </c>
      <c r="F424" t="s">
        <v>9</v>
      </c>
      <c r="G424" t="s">
        <v>143</v>
      </c>
      <c r="H424" s="1">
        <v>7.1641316E-6</v>
      </c>
      <c r="I424" s="1">
        <v>1.5476132000000001E-8</v>
      </c>
      <c r="J424">
        <v>0.55569725999999997</v>
      </c>
      <c r="K424">
        <f t="shared" si="19"/>
        <v>0</v>
      </c>
      <c r="L424">
        <f t="shared" si="20"/>
        <v>0</v>
      </c>
      <c r="M424">
        <f t="shared" si="21"/>
        <v>1</v>
      </c>
    </row>
    <row r="425" spans="1:13" x14ac:dyDescent="0.2">
      <c r="A425" t="s">
        <v>2259</v>
      </c>
      <c r="B425" t="s">
        <v>2892</v>
      </c>
      <c r="C425" t="s">
        <v>2898</v>
      </c>
      <c r="D425" t="s">
        <v>776</v>
      </c>
      <c r="E425" t="s">
        <v>777</v>
      </c>
      <c r="F425" t="s">
        <v>9</v>
      </c>
      <c r="G425" t="s">
        <v>40</v>
      </c>
      <c r="H425">
        <v>0.99985933000000005</v>
      </c>
      <c r="I425">
        <v>0.99999994000000003</v>
      </c>
      <c r="J425">
        <v>0.99990469999999998</v>
      </c>
      <c r="K425">
        <f t="shared" si="19"/>
        <v>1</v>
      </c>
      <c r="L425">
        <f t="shared" si="20"/>
        <v>1</v>
      </c>
      <c r="M425">
        <f t="shared" si="21"/>
        <v>1</v>
      </c>
    </row>
    <row r="426" spans="1:13" x14ac:dyDescent="0.2">
      <c r="A426" t="s">
        <v>2260</v>
      </c>
      <c r="B426" t="s">
        <v>2892</v>
      </c>
      <c r="C426" t="s">
        <v>2898</v>
      </c>
      <c r="D426" t="s">
        <v>778</v>
      </c>
      <c r="E426" t="s">
        <v>779</v>
      </c>
      <c r="F426" t="s">
        <v>9</v>
      </c>
      <c r="G426" t="s">
        <v>14</v>
      </c>
      <c r="H426">
        <v>0.99999446000000003</v>
      </c>
      <c r="I426">
        <v>0.99999994000000003</v>
      </c>
      <c r="J426">
        <v>4.4047879999999998E-3</v>
      </c>
      <c r="K426">
        <f t="shared" si="19"/>
        <v>1</v>
      </c>
      <c r="L426">
        <f t="shared" si="20"/>
        <v>1</v>
      </c>
      <c r="M426">
        <f t="shared" si="21"/>
        <v>0</v>
      </c>
    </row>
    <row r="427" spans="1:13" x14ac:dyDescent="0.2">
      <c r="A427" t="s">
        <v>2261</v>
      </c>
      <c r="B427" t="s">
        <v>2892</v>
      </c>
      <c r="C427" t="s">
        <v>2898</v>
      </c>
      <c r="D427" t="s">
        <v>780</v>
      </c>
      <c r="E427" t="s">
        <v>781</v>
      </c>
      <c r="F427" t="s">
        <v>13</v>
      </c>
      <c r="G427" t="s">
        <v>65</v>
      </c>
      <c r="H427">
        <v>0.9835294</v>
      </c>
      <c r="I427">
        <v>0.99999994000000003</v>
      </c>
      <c r="J427">
        <v>2.1473963000000001E-4</v>
      </c>
      <c r="K427">
        <f t="shared" si="19"/>
        <v>1</v>
      </c>
      <c r="L427">
        <f t="shared" si="20"/>
        <v>1</v>
      </c>
      <c r="M427">
        <f t="shared" si="21"/>
        <v>0</v>
      </c>
    </row>
    <row r="428" spans="1:13" x14ac:dyDescent="0.2">
      <c r="A428" t="s">
        <v>2262</v>
      </c>
      <c r="B428" t="s">
        <v>2892</v>
      </c>
      <c r="C428" t="s">
        <v>2898</v>
      </c>
      <c r="D428" t="s">
        <v>782</v>
      </c>
      <c r="E428" t="s">
        <v>783</v>
      </c>
      <c r="F428" t="s">
        <v>9</v>
      </c>
      <c r="G428" t="s">
        <v>14</v>
      </c>
      <c r="H428">
        <v>0.99999910000000003</v>
      </c>
      <c r="I428">
        <v>0.99999994000000003</v>
      </c>
      <c r="J428">
        <v>0.98816245999999996</v>
      </c>
      <c r="K428">
        <f t="shared" si="19"/>
        <v>1</v>
      </c>
      <c r="L428">
        <f t="shared" si="20"/>
        <v>1</v>
      </c>
      <c r="M428">
        <f t="shared" si="21"/>
        <v>1</v>
      </c>
    </row>
    <row r="429" spans="1:13" x14ac:dyDescent="0.2">
      <c r="A429" t="s">
        <v>2263</v>
      </c>
      <c r="B429" t="s">
        <v>2892</v>
      </c>
      <c r="C429" t="s">
        <v>2898</v>
      </c>
      <c r="D429" t="s">
        <v>784</v>
      </c>
      <c r="E429" t="s">
        <v>785</v>
      </c>
      <c r="F429" t="s">
        <v>17</v>
      </c>
      <c r="G429" t="s">
        <v>14</v>
      </c>
      <c r="H429">
        <v>0.78192300000000003</v>
      </c>
      <c r="I429">
        <v>0.99999994000000003</v>
      </c>
      <c r="J429">
        <v>0.40673524</v>
      </c>
      <c r="K429">
        <f t="shared" si="19"/>
        <v>1</v>
      </c>
      <c r="L429">
        <f t="shared" si="20"/>
        <v>1</v>
      </c>
      <c r="M429">
        <f t="shared" si="21"/>
        <v>0</v>
      </c>
    </row>
    <row r="430" spans="1:13" x14ac:dyDescent="0.2">
      <c r="A430" t="s">
        <v>2264</v>
      </c>
      <c r="B430" t="s">
        <v>2892</v>
      </c>
      <c r="C430" t="s">
        <v>2898</v>
      </c>
      <c r="D430" t="s">
        <v>786</v>
      </c>
      <c r="E430" t="s">
        <v>787</v>
      </c>
      <c r="F430" t="s">
        <v>9</v>
      </c>
      <c r="G430" t="s">
        <v>14</v>
      </c>
      <c r="H430">
        <v>0.99999899999999997</v>
      </c>
      <c r="I430">
        <v>0.99999994000000003</v>
      </c>
      <c r="J430">
        <v>0.23406821</v>
      </c>
      <c r="K430">
        <f t="shared" si="19"/>
        <v>1</v>
      </c>
      <c r="L430">
        <f t="shared" si="20"/>
        <v>1</v>
      </c>
      <c r="M430">
        <f t="shared" si="21"/>
        <v>0</v>
      </c>
    </row>
    <row r="431" spans="1:13" x14ac:dyDescent="0.2">
      <c r="A431" t="s">
        <v>2265</v>
      </c>
      <c r="B431" t="s">
        <v>2892</v>
      </c>
      <c r="C431" t="s">
        <v>2898</v>
      </c>
      <c r="D431" t="s">
        <v>788</v>
      </c>
      <c r="E431" t="s">
        <v>106</v>
      </c>
      <c r="F431" t="s">
        <v>13</v>
      </c>
      <c r="G431" t="s">
        <v>14</v>
      </c>
      <c r="H431">
        <v>0.99932580000000004</v>
      </c>
      <c r="I431">
        <v>0.99999994000000003</v>
      </c>
      <c r="J431">
        <v>0.99997230000000004</v>
      </c>
      <c r="K431">
        <f t="shared" si="19"/>
        <v>1</v>
      </c>
      <c r="L431">
        <f t="shared" si="20"/>
        <v>1</v>
      </c>
      <c r="M431">
        <f t="shared" si="21"/>
        <v>1</v>
      </c>
    </row>
    <row r="432" spans="1:13" x14ac:dyDescent="0.2">
      <c r="A432" t="s">
        <v>2266</v>
      </c>
      <c r="B432" t="s">
        <v>2892</v>
      </c>
      <c r="C432" t="s">
        <v>2898</v>
      </c>
      <c r="D432" t="s">
        <v>789</v>
      </c>
      <c r="E432" t="s">
        <v>790</v>
      </c>
      <c r="F432" t="s">
        <v>9</v>
      </c>
      <c r="G432" t="s">
        <v>65</v>
      </c>
      <c r="H432">
        <v>0.99999979999999999</v>
      </c>
      <c r="I432">
        <v>0.48278594000000002</v>
      </c>
      <c r="J432" s="1">
        <v>5.3979364999999998E-5</v>
      </c>
      <c r="K432">
        <f t="shared" si="19"/>
        <v>1</v>
      </c>
      <c r="L432">
        <f t="shared" si="20"/>
        <v>0</v>
      </c>
      <c r="M432">
        <f t="shared" si="21"/>
        <v>0</v>
      </c>
    </row>
    <row r="433" spans="1:13" x14ac:dyDescent="0.2">
      <c r="A433" t="s">
        <v>2267</v>
      </c>
      <c r="B433" t="s">
        <v>2892</v>
      </c>
      <c r="C433" t="s">
        <v>2898</v>
      </c>
      <c r="D433" t="s">
        <v>791</v>
      </c>
      <c r="E433" t="s">
        <v>792</v>
      </c>
      <c r="F433" t="s">
        <v>9</v>
      </c>
      <c r="G433" t="s">
        <v>10</v>
      </c>
      <c r="H433" s="1">
        <v>3.9801010000000001E-5</v>
      </c>
      <c r="I433">
        <v>0.99997776999999999</v>
      </c>
      <c r="J433" s="1">
        <v>1.99699E-5</v>
      </c>
      <c r="K433">
        <f t="shared" si="19"/>
        <v>0</v>
      </c>
      <c r="L433">
        <f t="shared" si="20"/>
        <v>1</v>
      </c>
      <c r="M433">
        <f t="shared" si="21"/>
        <v>0</v>
      </c>
    </row>
    <row r="434" spans="1:13" x14ac:dyDescent="0.2">
      <c r="A434" t="s">
        <v>2268</v>
      </c>
      <c r="B434" t="s">
        <v>2892</v>
      </c>
      <c r="C434" t="s">
        <v>2898</v>
      </c>
      <c r="D434" t="s">
        <v>793</v>
      </c>
      <c r="E434" t="s">
        <v>681</v>
      </c>
      <c r="F434" t="s">
        <v>13</v>
      </c>
      <c r="G434" t="s">
        <v>14</v>
      </c>
      <c r="H434">
        <v>0.99999979999999999</v>
      </c>
      <c r="I434">
        <v>0.99999934000000001</v>
      </c>
      <c r="J434">
        <v>0.99532396000000001</v>
      </c>
      <c r="K434">
        <f t="shared" si="19"/>
        <v>1</v>
      </c>
      <c r="L434">
        <f t="shared" si="20"/>
        <v>1</v>
      </c>
      <c r="M434">
        <f t="shared" si="21"/>
        <v>1</v>
      </c>
    </row>
    <row r="435" spans="1:13" x14ac:dyDescent="0.2">
      <c r="A435" t="s">
        <v>2269</v>
      </c>
      <c r="B435" t="s">
        <v>2892</v>
      </c>
      <c r="C435" t="s">
        <v>2898</v>
      </c>
      <c r="D435" t="e">
        <f>-VQ-LVQSGA-EVKKPGASVKVSCKASGYTF---------TDYYIH-WVRQ-A-P-G-Q--G-LE-WMGWINNS------------GGTNY--A--Q--KF--Q---GRVTMTR-D---T-S--IS----T-AYMEL---RS-EDTAVYYCARDLG---------------------------WFFDYWG-QGTLVTVSS</f>
        <v>#NAME?</v>
      </c>
      <c r="E435" t="s">
        <v>794</v>
      </c>
      <c r="F435" t="s">
        <v>9</v>
      </c>
      <c r="G435" t="s">
        <v>14</v>
      </c>
      <c r="H435">
        <v>0.99987999999999999</v>
      </c>
      <c r="I435">
        <v>0.99999994000000003</v>
      </c>
      <c r="J435">
        <v>0.95200574000000004</v>
      </c>
      <c r="K435">
        <f t="shared" si="19"/>
        <v>1</v>
      </c>
      <c r="L435">
        <f t="shared" si="20"/>
        <v>1</v>
      </c>
      <c r="M435">
        <f t="shared" si="21"/>
        <v>1</v>
      </c>
    </row>
    <row r="436" spans="1:13" x14ac:dyDescent="0.2">
      <c r="A436" t="s">
        <v>2270</v>
      </c>
      <c r="B436" t="s">
        <v>2892</v>
      </c>
      <c r="C436" t="s">
        <v>2898</v>
      </c>
      <c r="D436" t="s">
        <v>795</v>
      </c>
      <c r="E436" t="s">
        <v>79</v>
      </c>
      <c r="F436" t="s">
        <v>13</v>
      </c>
      <c r="G436" t="s">
        <v>14</v>
      </c>
      <c r="H436">
        <v>0.99981713000000005</v>
      </c>
      <c r="I436">
        <v>0.99999994000000003</v>
      </c>
      <c r="J436">
        <v>0.99999910000000003</v>
      </c>
      <c r="K436">
        <f t="shared" si="19"/>
        <v>1</v>
      </c>
      <c r="L436">
        <f t="shared" si="20"/>
        <v>1</v>
      </c>
      <c r="M436">
        <f t="shared" si="21"/>
        <v>1</v>
      </c>
    </row>
    <row r="437" spans="1:13" x14ac:dyDescent="0.2">
      <c r="A437" t="s">
        <v>2271</v>
      </c>
      <c r="B437" t="s">
        <v>2892</v>
      </c>
      <c r="C437" t="s">
        <v>2898</v>
      </c>
      <c r="D437" t="s">
        <v>796</v>
      </c>
      <c r="E437" t="s">
        <v>634</v>
      </c>
      <c r="F437" t="s">
        <v>9</v>
      </c>
      <c r="G437" t="s">
        <v>10</v>
      </c>
      <c r="H437" s="1">
        <v>4.4988854999999999E-7</v>
      </c>
      <c r="I437" s="1">
        <v>3.9501170000000004E-6</v>
      </c>
      <c r="J437" s="1">
        <v>1.9157186E-8</v>
      </c>
      <c r="K437">
        <f t="shared" si="19"/>
        <v>0</v>
      </c>
      <c r="L437">
        <f t="shared" si="20"/>
        <v>0</v>
      </c>
      <c r="M437">
        <f t="shared" si="21"/>
        <v>0</v>
      </c>
    </row>
    <row r="438" spans="1:13" x14ac:dyDescent="0.2">
      <c r="A438" t="s">
        <v>2272</v>
      </c>
      <c r="B438" t="s">
        <v>2892</v>
      </c>
      <c r="C438" t="s">
        <v>2898</v>
      </c>
      <c r="D438" t="s">
        <v>797</v>
      </c>
      <c r="E438" t="s">
        <v>128</v>
      </c>
      <c r="F438" t="s">
        <v>13</v>
      </c>
      <c r="G438" t="s">
        <v>14</v>
      </c>
      <c r="H438">
        <v>0.99999839999999995</v>
      </c>
      <c r="I438">
        <v>0.9999903</v>
      </c>
      <c r="J438" s="1">
        <v>2.2620628000000002E-5</v>
      </c>
      <c r="K438">
        <f t="shared" si="19"/>
        <v>1</v>
      </c>
      <c r="L438">
        <f t="shared" si="20"/>
        <v>1</v>
      </c>
      <c r="M438">
        <f t="shared" si="21"/>
        <v>0</v>
      </c>
    </row>
    <row r="439" spans="1:13" x14ac:dyDescent="0.2">
      <c r="A439" t="s">
        <v>2273</v>
      </c>
      <c r="B439" t="s">
        <v>2892</v>
      </c>
      <c r="C439" t="s">
        <v>2898</v>
      </c>
      <c r="D439" t="e">
        <f>-VQ-LVESGG-GLVQPGGSLRLSCAASGFNV---------YSSSIH-WVRQ-A-P-G-K--G-LE-WVASISSY-----------YGSTSY--A--D--SV--K---GRFTISA-D---T-S--KN----T-AYLQMNSLRA-EDTAVYYCARHGRW-------------------------YYGMDYWG-QGTLVTVSS</f>
        <v>#NAME?</v>
      </c>
      <c r="E439" t="s">
        <v>798</v>
      </c>
      <c r="F439" t="s">
        <v>13</v>
      </c>
      <c r="G439" t="s">
        <v>14</v>
      </c>
      <c r="H439">
        <v>0.99999959999999999</v>
      </c>
      <c r="I439">
        <v>0.99999994000000003</v>
      </c>
      <c r="J439">
        <v>0.86378664000000005</v>
      </c>
      <c r="K439">
        <f t="shared" si="19"/>
        <v>1</v>
      </c>
      <c r="L439">
        <f t="shared" si="20"/>
        <v>1</v>
      </c>
      <c r="M439">
        <f t="shared" si="21"/>
        <v>1</v>
      </c>
    </row>
    <row r="440" spans="1:13" x14ac:dyDescent="0.2">
      <c r="A440" t="s">
        <v>2274</v>
      </c>
      <c r="B440" t="s">
        <v>2892</v>
      </c>
      <c r="C440" t="s">
        <v>2898</v>
      </c>
      <c r="D440" t="s">
        <v>799</v>
      </c>
      <c r="E440" t="s">
        <v>800</v>
      </c>
      <c r="F440" t="s">
        <v>13</v>
      </c>
      <c r="G440" t="s">
        <v>14</v>
      </c>
      <c r="H440">
        <v>0.99999696000000005</v>
      </c>
      <c r="I440">
        <v>0.99999979999999999</v>
      </c>
      <c r="J440">
        <v>0.98730474999999995</v>
      </c>
      <c r="K440">
        <f t="shared" si="19"/>
        <v>1</v>
      </c>
      <c r="L440">
        <f t="shared" si="20"/>
        <v>1</v>
      </c>
      <c r="M440">
        <f t="shared" si="21"/>
        <v>1</v>
      </c>
    </row>
    <row r="441" spans="1:13" x14ac:dyDescent="0.2">
      <c r="A441" t="s">
        <v>2275</v>
      </c>
      <c r="B441" t="s">
        <v>2892</v>
      </c>
      <c r="C441" t="s">
        <v>2898</v>
      </c>
      <c r="D441" t="s">
        <v>801</v>
      </c>
      <c r="E441" t="s">
        <v>802</v>
      </c>
      <c r="F441" t="s">
        <v>13</v>
      </c>
      <c r="G441" t="s">
        <v>14</v>
      </c>
      <c r="H441">
        <v>0.99997336000000003</v>
      </c>
      <c r="I441">
        <v>0.99999959999999999</v>
      </c>
      <c r="J441">
        <v>0.60420172999999999</v>
      </c>
      <c r="K441">
        <f t="shared" si="19"/>
        <v>1</v>
      </c>
      <c r="L441">
        <f t="shared" si="20"/>
        <v>1</v>
      </c>
      <c r="M441">
        <f t="shared" si="21"/>
        <v>1</v>
      </c>
    </row>
    <row r="442" spans="1:13" x14ac:dyDescent="0.2">
      <c r="A442" t="s">
        <v>2276</v>
      </c>
      <c r="B442" t="s">
        <v>2892</v>
      </c>
      <c r="C442" t="s">
        <v>2898</v>
      </c>
      <c r="D442" t="s">
        <v>803</v>
      </c>
      <c r="E442" t="s">
        <v>634</v>
      </c>
      <c r="F442" t="s">
        <v>9</v>
      </c>
      <c r="G442" t="s">
        <v>10</v>
      </c>
      <c r="H442">
        <v>3.4682119999999999E-4</v>
      </c>
      <c r="I442" s="1">
        <v>3.9501170000000004E-6</v>
      </c>
      <c r="J442">
        <v>0.96829659999999995</v>
      </c>
      <c r="K442">
        <f t="shared" si="19"/>
        <v>0</v>
      </c>
      <c r="L442">
        <f t="shared" si="20"/>
        <v>0</v>
      </c>
      <c r="M442">
        <f t="shared" si="21"/>
        <v>1</v>
      </c>
    </row>
    <row r="443" spans="1:13" x14ac:dyDescent="0.2">
      <c r="A443" t="s">
        <v>2277</v>
      </c>
      <c r="B443" t="s">
        <v>2892</v>
      </c>
      <c r="C443" t="s">
        <v>2898</v>
      </c>
      <c r="D443" t="s">
        <v>804</v>
      </c>
      <c r="E443" t="s">
        <v>106</v>
      </c>
      <c r="F443" t="s">
        <v>13</v>
      </c>
      <c r="G443" t="s">
        <v>14</v>
      </c>
      <c r="H443">
        <v>0.66790974000000003</v>
      </c>
      <c r="I443">
        <v>0.99999994000000003</v>
      </c>
      <c r="J443">
        <v>0.99999994000000003</v>
      </c>
      <c r="K443">
        <f t="shared" si="19"/>
        <v>1</v>
      </c>
      <c r="L443">
        <f t="shared" si="20"/>
        <v>1</v>
      </c>
      <c r="M443">
        <f t="shared" si="21"/>
        <v>1</v>
      </c>
    </row>
    <row r="444" spans="1:13" x14ac:dyDescent="0.2">
      <c r="A444" t="s">
        <v>2278</v>
      </c>
      <c r="B444" t="s">
        <v>2892</v>
      </c>
      <c r="C444" t="s">
        <v>2898</v>
      </c>
      <c r="D444" t="s">
        <v>805</v>
      </c>
      <c r="E444" t="s">
        <v>79</v>
      </c>
      <c r="F444" t="s">
        <v>13</v>
      </c>
      <c r="G444" t="s">
        <v>14</v>
      </c>
      <c r="H444">
        <v>0.61495849999999996</v>
      </c>
      <c r="I444">
        <v>0.99999994000000003</v>
      </c>
      <c r="J444">
        <v>0.99999979999999999</v>
      </c>
      <c r="K444">
        <f t="shared" si="19"/>
        <v>1</v>
      </c>
      <c r="L444">
        <f t="shared" si="20"/>
        <v>1</v>
      </c>
      <c r="M444">
        <f t="shared" si="21"/>
        <v>1</v>
      </c>
    </row>
    <row r="445" spans="1:13" x14ac:dyDescent="0.2">
      <c r="A445" t="s">
        <v>2279</v>
      </c>
      <c r="B445" t="s">
        <v>2892</v>
      </c>
      <c r="C445" t="s">
        <v>2898</v>
      </c>
      <c r="D445" t="s">
        <v>806</v>
      </c>
      <c r="E445" t="s">
        <v>807</v>
      </c>
      <c r="F445" t="s">
        <v>13</v>
      </c>
      <c r="G445" t="s">
        <v>212</v>
      </c>
      <c r="H445">
        <v>0.99996050000000003</v>
      </c>
      <c r="I445">
        <v>0.99999970000000005</v>
      </c>
      <c r="J445">
        <v>0.98054909999999995</v>
      </c>
      <c r="K445">
        <f t="shared" si="19"/>
        <v>1</v>
      </c>
      <c r="L445">
        <f t="shared" si="20"/>
        <v>1</v>
      </c>
      <c r="M445">
        <f t="shared" si="21"/>
        <v>1</v>
      </c>
    </row>
    <row r="446" spans="1:13" x14ac:dyDescent="0.2">
      <c r="A446" t="s">
        <v>2280</v>
      </c>
      <c r="B446" t="s">
        <v>2892</v>
      </c>
      <c r="C446" t="s">
        <v>2898</v>
      </c>
      <c r="D446" t="e">
        <f>-VQ-LVQSGA-EVKKPGASVKVSCKASGYTF---------TGYYMH-WVRQ-A-P-G-Q--G-LE-WMGWINPN-----------SGGTNY--A--Q--KF--Q---GRVTMTR-D---T-S--TS----T-VYMELSSLRS-EDTAVYYCARADYGYG---------------------YDYYAMDYWG-QGTLVTVSS</f>
        <v>#NAME?</v>
      </c>
      <c r="E446" t="s">
        <v>808</v>
      </c>
      <c r="F446" t="s">
        <v>9</v>
      </c>
      <c r="G446" t="s">
        <v>14</v>
      </c>
      <c r="H446">
        <v>0.99986410000000003</v>
      </c>
      <c r="I446">
        <v>0.99999994000000003</v>
      </c>
      <c r="J446">
        <v>0.99979233999999995</v>
      </c>
      <c r="K446">
        <f t="shared" si="19"/>
        <v>1</v>
      </c>
      <c r="L446">
        <f t="shared" si="20"/>
        <v>1</v>
      </c>
      <c r="M446">
        <f t="shared" si="21"/>
        <v>1</v>
      </c>
    </row>
    <row r="447" spans="1:13" x14ac:dyDescent="0.2">
      <c r="A447" t="s">
        <v>2281</v>
      </c>
      <c r="B447" t="s">
        <v>2892</v>
      </c>
      <c r="C447" t="s">
        <v>2898</v>
      </c>
      <c r="D447" t="s">
        <v>809</v>
      </c>
      <c r="E447" t="s">
        <v>810</v>
      </c>
      <c r="F447" t="s">
        <v>13</v>
      </c>
      <c r="G447" t="s">
        <v>153</v>
      </c>
      <c r="H447">
        <v>0.99782009999999999</v>
      </c>
      <c r="I447">
        <v>0.99999994000000003</v>
      </c>
      <c r="J447">
        <v>0.99969540000000001</v>
      </c>
      <c r="K447">
        <f t="shared" si="19"/>
        <v>1</v>
      </c>
      <c r="L447">
        <f t="shared" si="20"/>
        <v>1</v>
      </c>
      <c r="M447">
        <f t="shared" si="21"/>
        <v>1</v>
      </c>
    </row>
    <row r="448" spans="1:13" x14ac:dyDescent="0.2">
      <c r="A448" t="s">
        <v>2282</v>
      </c>
      <c r="B448" t="s">
        <v>2892</v>
      </c>
      <c r="C448" t="s">
        <v>2898</v>
      </c>
      <c r="D448" t="s">
        <v>811</v>
      </c>
      <c r="E448" t="s">
        <v>634</v>
      </c>
      <c r="F448" t="s">
        <v>9</v>
      </c>
      <c r="G448" t="s">
        <v>10</v>
      </c>
      <c r="H448">
        <v>0.21298395000000001</v>
      </c>
      <c r="I448" s="1">
        <v>3.9501170000000004E-6</v>
      </c>
      <c r="J448" s="1">
        <v>1.118098E-5</v>
      </c>
      <c r="K448">
        <f t="shared" si="19"/>
        <v>0</v>
      </c>
      <c r="L448">
        <f t="shared" si="20"/>
        <v>0</v>
      </c>
      <c r="M448">
        <f t="shared" si="21"/>
        <v>0</v>
      </c>
    </row>
    <row r="449" spans="1:13" x14ac:dyDescent="0.2">
      <c r="A449" t="s">
        <v>2283</v>
      </c>
      <c r="B449" t="s">
        <v>2892</v>
      </c>
      <c r="C449" t="s">
        <v>2898</v>
      </c>
      <c r="D449" t="s">
        <v>812</v>
      </c>
      <c r="E449" t="s">
        <v>813</v>
      </c>
      <c r="F449" t="s">
        <v>13</v>
      </c>
      <c r="G449" t="s">
        <v>14</v>
      </c>
      <c r="H449">
        <v>0.99999590000000005</v>
      </c>
      <c r="I449">
        <v>0.99999994000000003</v>
      </c>
      <c r="J449">
        <v>0.99791810000000003</v>
      </c>
      <c r="K449">
        <f t="shared" si="19"/>
        <v>1</v>
      </c>
      <c r="L449">
        <f t="shared" si="20"/>
        <v>1</v>
      </c>
      <c r="M449">
        <f t="shared" si="21"/>
        <v>1</v>
      </c>
    </row>
    <row r="450" spans="1:13" x14ac:dyDescent="0.2">
      <c r="A450" t="s">
        <v>2284</v>
      </c>
      <c r="B450" t="s">
        <v>2892</v>
      </c>
      <c r="C450" t="s">
        <v>2898</v>
      </c>
      <c r="D450" t="s">
        <v>814</v>
      </c>
      <c r="E450" t="s">
        <v>147</v>
      </c>
      <c r="F450" t="s">
        <v>13</v>
      </c>
      <c r="G450" t="s">
        <v>14</v>
      </c>
      <c r="H450">
        <v>0.99999994000000003</v>
      </c>
      <c r="I450">
        <v>0.99933510000000003</v>
      </c>
      <c r="J450">
        <v>0.93278205000000003</v>
      </c>
      <c r="K450">
        <f t="shared" si="19"/>
        <v>1</v>
      </c>
      <c r="L450">
        <f t="shared" si="20"/>
        <v>1</v>
      </c>
      <c r="M450">
        <f t="shared" si="21"/>
        <v>1</v>
      </c>
    </row>
    <row r="451" spans="1:13" x14ac:dyDescent="0.2">
      <c r="A451" t="s">
        <v>2285</v>
      </c>
      <c r="B451" t="s">
        <v>2892</v>
      </c>
      <c r="C451" t="s">
        <v>2898</v>
      </c>
      <c r="D451" t="s">
        <v>815</v>
      </c>
      <c r="E451" t="s">
        <v>816</v>
      </c>
      <c r="F451" t="s">
        <v>13</v>
      </c>
      <c r="G451" t="s">
        <v>14</v>
      </c>
      <c r="H451">
        <v>0.89803960000000005</v>
      </c>
      <c r="I451">
        <v>0.99999994000000003</v>
      </c>
      <c r="J451">
        <v>0.99999994000000003</v>
      </c>
      <c r="K451">
        <f t="shared" ref="K451:K514" si="22">IF(H451&gt;=0.5,1,0)</f>
        <v>1</v>
      </c>
      <c r="L451">
        <f t="shared" ref="L451:L514" si="23">IF(I451&gt;=0.5,1,0)</f>
        <v>1</v>
      </c>
      <c r="M451">
        <f t="shared" ref="M451:M514" si="24">IF(J451&gt;=0.5,1,0)</f>
        <v>1</v>
      </c>
    </row>
    <row r="452" spans="1:13" x14ac:dyDescent="0.2">
      <c r="A452" t="s">
        <v>2286</v>
      </c>
      <c r="B452" t="s">
        <v>2893</v>
      </c>
      <c r="C452" t="s">
        <v>2898</v>
      </c>
      <c r="D452" t="s">
        <v>817</v>
      </c>
      <c r="E452" t="s">
        <v>818</v>
      </c>
      <c r="F452" t="s">
        <v>13</v>
      </c>
      <c r="G452" t="s">
        <v>14</v>
      </c>
      <c r="H452">
        <v>0.22891077000000001</v>
      </c>
      <c r="I452">
        <v>0.99999994000000003</v>
      </c>
      <c r="J452">
        <v>0.99998240000000005</v>
      </c>
      <c r="K452">
        <f t="shared" si="22"/>
        <v>0</v>
      </c>
      <c r="L452">
        <f t="shared" si="23"/>
        <v>1</v>
      </c>
      <c r="M452">
        <f t="shared" si="24"/>
        <v>1</v>
      </c>
    </row>
    <row r="453" spans="1:13" x14ac:dyDescent="0.2">
      <c r="A453" t="s">
        <v>2287</v>
      </c>
      <c r="B453" t="s">
        <v>2893</v>
      </c>
      <c r="C453" t="s">
        <v>2898</v>
      </c>
      <c r="D453" t="s">
        <v>819</v>
      </c>
      <c r="E453" t="s">
        <v>820</v>
      </c>
      <c r="F453" t="s">
        <v>13</v>
      </c>
      <c r="G453" t="s">
        <v>212</v>
      </c>
      <c r="H453">
        <v>0.99999669999999996</v>
      </c>
      <c r="I453">
        <v>0.99999994000000003</v>
      </c>
      <c r="J453">
        <v>0.28694057000000001</v>
      </c>
      <c r="K453">
        <f t="shared" si="22"/>
        <v>1</v>
      </c>
      <c r="L453">
        <f t="shared" si="23"/>
        <v>1</v>
      </c>
      <c r="M453">
        <f t="shared" si="24"/>
        <v>0</v>
      </c>
    </row>
    <row r="454" spans="1:13" x14ac:dyDescent="0.2">
      <c r="A454" t="s">
        <v>2288</v>
      </c>
      <c r="B454" t="s">
        <v>2893</v>
      </c>
      <c r="C454" t="s">
        <v>2898</v>
      </c>
      <c r="D454" t="s">
        <v>821</v>
      </c>
      <c r="E454" t="s">
        <v>822</v>
      </c>
      <c r="F454" t="s">
        <v>9</v>
      </c>
      <c r="G454" t="s">
        <v>65</v>
      </c>
      <c r="H454">
        <v>0.99752456</v>
      </c>
      <c r="I454" s="1">
        <v>2.9197348999999999E-8</v>
      </c>
      <c r="J454">
        <v>1.6535866999999999E-2</v>
      </c>
      <c r="K454">
        <f t="shared" si="22"/>
        <v>1</v>
      </c>
      <c r="L454">
        <f t="shared" si="23"/>
        <v>0</v>
      </c>
      <c r="M454">
        <f t="shared" si="24"/>
        <v>0</v>
      </c>
    </row>
    <row r="455" spans="1:13" x14ac:dyDescent="0.2">
      <c r="A455" t="s">
        <v>2289</v>
      </c>
      <c r="B455" t="s">
        <v>2893</v>
      </c>
      <c r="C455" t="s">
        <v>2898</v>
      </c>
      <c r="D455" t="s">
        <v>823</v>
      </c>
      <c r="E455" t="s">
        <v>824</v>
      </c>
      <c r="F455" t="s">
        <v>9</v>
      </c>
      <c r="G455" t="s">
        <v>14</v>
      </c>
      <c r="H455">
        <v>0.99999850000000001</v>
      </c>
      <c r="I455">
        <v>0.99932829999999995</v>
      </c>
      <c r="J455">
        <v>1.7020961E-3</v>
      </c>
      <c r="K455">
        <f t="shared" si="22"/>
        <v>1</v>
      </c>
      <c r="L455">
        <f t="shared" si="23"/>
        <v>1</v>
      </c>
      <c r="M455">
        <f t="shared" si="24"/>
        <v>0</v>
      </c>
    </row>
    <row r="456" spans="1:13" x14ac:dyDescent="0.2">
      <c r="A456" t="s">
        <v>2290</v>
      </c>
      <c r="B456" t="s">
        <v>2893</v>
      </c>
      <c r="C456" t="s">
        <v>2898</v>
      </c>
      <c r="D456" t="s">
        <v>825</v>
      </c>
      <c r="E456" t="s">
        <v>826</v>
      </c>
      <c r="F456" t="s">
        <v>13</v>
      </c>
      <c r="G456" t="s">
        <v>14</v>
      </c>
      <c r="H456">
        <v>0.99999945999999995</v>
      </c>
      <c r="I456">
        <v>0.9987819</v>
      </c>
      <c r="J456">
        <v>0.98296329999999998</v>
      </c>
      <c r="K456">
        <f t="shared" si="22"/>
        <v>1</v>
      </c>
      <c r="L456">
        <f t="shared" si="23"/>
        <v>1</v>
      </c>
      <c r="M456">
        <f t="shared" si="24"/>
        <v>1</v>
      </c>
    </row>
    <row r="457" spans="1:13" x14ac:dyDescent="0.2">
      <c r="A457" t="s">
        <v>2291</v>
      </c>
      <c r="B457" t="s">
        <v>2893</v>
      </c>
      <c r="C457" t="s">
        <v>2898</v>
      </c>
      <c r="D457" t="s">
        <v>827</v>
      </c>
      <c r="E457" t="s">
        <v>755</v>
      </c>
      <c r="F457" t="s">
        <v>9</v>
      </c>
      <c r="G457" t="s">
        <v>143</v>
      </c>
      <c r="H457">
        <v>0.99017226999999997</v>
      </c>
      <c r="I457" s="1">
        <v>2.1295007999999999E-8</v>
      </c>
      <c r="J457" s="1">
        <v>1.4483218000000001E-6</v>
      </c>
      <c r="K457">
        <f t="shared" si="22"/>
        <v>1</v>
      </c>
      <c r="L457">
        <f t="shared" si="23"/>
        <v>0</v>
      </c>
      <c r="M457">
        <f t="shared" si="24"/>
        <v>0</v>
      </c>
    </row>
    <row r="458" spans="1:13" x14ac:dyDescent="0.2">
      <c r="A458" t="s">
        <v>2292</v>
      </c>
      <c r="B458" t="s">
        <v>2893</v>
      </c>
      <c r="C458" t="s">
        <v>2898</v>
      </c>
      <c r="D458" t="s">
        <v>828</v>
      </c>
      <c r="E458" t="s">
        <v>829</v>
      </c>
      <c r="F458" t="s">
        <v>9</v>
      </c>
      <c r="G458" t="s">
        <v>10</v>
      </c>
      <c r="H458">
        <v>0.99999979999999999</v>
      </c>
      <c r="I458">
        <v>0.99999994000000003</v>
      </c>
      <c r="J458">
        <v>0.99999910000000003</v>
      </c>
      <c r="K458">
        <f t="shared" si="22"/>
        <v>1</v>
      </c>
      <c r="L458">
        <f t="shared" si="23"/>
        <v>1</v>
      </c>
      <c r="M458">
        <f t="shared" si="24"/>
        <v>1</v>
      </c>
    </row>
    <row r="459" spans="1:13" x14ac:dyDescent="0.2">
      <c r="A459" t="s">
        <v>2293</v>
      </c>
      <c r="B459" t="s">
        <v>2893</v>
      </c>
      <c r="C459" t="s">
        <v>2898</v>
      </c>
      <c r="D459" t="s">
        <v>830</v>
      </c>
      <c r="E459" t="s">
        <v>831</v>
      </c>
      <c r="F459" t="s">
        <v>13</v>
      </c>
      <c r="G459" t="s">
        <v>212</v>
      </c>
      <c r="H459">
        <v>0.99958689999999994</v>
      </c>
      <c r="I459">
        <v>0.99999994000000003</v>
      </c>
      <c r="J459">
        <v>0.56325970000000003</v>
      </c>
      <c r="K459">
        <f t="shared" si="22"/>
        <v>1</v>
      </c>
      <c r="L459">
        <f t="shared" si="23"/>
        <v>1</v>
      </c>
      <c r="M459">
        <f t="shared" si="24"/>
        <v>1</v>
      </c>
    </row>
    <row r="460" spans="1:13" x14ac:dyDescent="0.2">
      <c r="A460" t="s">
        <v>2294</v>
      </c>
      <c r="B460" t="s">
        <v>2893</v>
      </c>
      <c r="C460" t="s">
        <v>2898</v>
      </c>
      <c r="D460" t="s">
        <v>832</v>
      </c>
      <c r="E460" t="s">
        <v>833</v>
      </c>
      <c r="F460" t="s">
        <v>9</v>
      </c>
      <c r="G460" t="s">
        <v>65</v>
      </c>
      <c r="H460">
        <v>3.3462800000000001E-4</v>
      </c>
      <c r="I460" s="1">
        <v>5.7976996999999999E-8</v>
      </c>
      <c r="J460" s="1">
        <v>6.0123379999999995E-11</v>
      </c>
      <c r="K460">
        <f t="shared" si="22"/>
        <v>0</v>
      </c>
      <c r="L460">
        <f t="shared" si="23"/>
        <v>0</v>
      </c>
      <c r="M460">
        <f t="shared" si="24"/>
        <v>0</v>
      </c>
    </row>
    <row r="461" spans="1:13" x14ac:dyDescent="0.2">
      <c r="A461" t="s">
        <v>2295</v>
      </c>
      <c r="B461" t="s">
        <v>2893</v>
      </c>
      <c r="C461" t="s">
        <v>2898</v>
      </c>
      <c r="D461" t="s">
        <v>834</v>
      </c>
      <c r="E461" t="s">
        <v>835</v>
      </c>
      <c r="F461" t="s">
        <v>9</v>
      </c>
      <c r="G461" t="s">
        <v>14</v>
      </c>
      <c r="H461" s="1">
        <v>2.2267152000000001E-5</v>
      </c>
      <c r="I461" s="1">
        <v>5.9349079999999999E-7</v>
      </c>
      <c r="J461">
        <v>0.13276182</v>
      </c>
      <c r="K461">
        <f t="shared" si="22"/>
        <v>0</v>
      </c>
      <c r="L461">
        <f t="shared" si="23"/>
        <v>0</v>
      </c>
      <c r="M461">
        <f t="shared" si="24"/>
        <v>0</v>
      </c>
    </row>
    <row r="462" spans="1:13" x14ac:dyDescent="0.2">
      <c r="A462" t="s">
        <v>2296</v>
      </c>
      <c r="B462" t="s">
        <v>2893</v>
      </c>
      <c r="C462" t="s">
        <v>2898</v>
      </c>
      <c r="D462" t="s">
        <v>836</v>
      </c>
      <c r="E462" t="s">
        <v>837</v>
      </c>
      <c r="F462" t="s">
        <v>17</v>
      </c>
      <c r="G462" t="s">
        <v>10</v>
      </c>
      <c r="H462">
        <v>0.99999910000000003</v>
      </c>
      <c r="I462">
        <v>0.99999994000000003</v>
      </c>
      <c r="J462">
        <v>0.99948820000000005</v>
      </c>
      <c r="K462">
        <f t="shared" si="22"/>
        <v>1</v>
      </c>
      <c r="L462">
        <f t="shared" si="23"/>
        <v>1</v>
      </c>
      <c r="M462">
        <f t="shared" si="24"/>
        <v>1</v>
      </c>
    </row>
    <row r="463" spans="1:13" x14ac:dyDescent="0.2">
      <c r="A463" t="s">
        <v>2297</v>
      </c>
      <c r="B463" t="s">
        <v>2893</v>
      </c>
      <c r="C463" t="s">
        <v>2898</v>
      </c>
      <c r="D463" t="s">
        <v>838</v>
      </c>
      <c r="E463" t="s">
        <v>839</v>
      </c>
      <c r="F463" t="s">
        <v>13</v>
      </c>
      <c r="G463" t="s">
        <v>14</v>
      </c>
      <c r="H463">
        <v>0.99764704999999998</v>
      </c>
      <c r="I463">
        <v>0.99941550000000001</v>
      </c>
      <c r="J463">
        <v>0.44566729999999999</v>
      </c>
      <c r="K463">
        <f t="shared" si="22"/>
        <v>1</v>
      </c>
      <c r="L463">
        <f t="shared" si="23"/>
        <v>1</v>
      </c>
      <c r="M463">
        <f t="shared" si="24"/>
        <v>0</v>
      </c>
    </row>
    <row r="464" spans="1:13" x14ac:dyDescent="0.2">
      <c r="A464" t="s">
        <v>2298</v>
      </c>
      <c r="B464" t="s">
        <v>2893</v>
      </c>
      <c r="C464" t="s">
        <v>2898</v>
      </c>
      <c r="D464" t="s">
        <v>840</v>
      </c>
      <c r="E464" t="s">
        <v>224</v>
      </c>
      <c r="F464" t="s">
        <v>17</v>
      </c>
      <c r="G464" t="s">
        <v>14</v>
      </c>
      <c r="H464">
        <v>0.99999979999999999</v>
      </c>
      <c r="I464">
        <v>0.99999994000000003</v>
      </c>
      <c r="J464">
        <v>0.999919</v>
      </c>
      <c r="K464">
        <f t="shared" si="22"/>
        <v>1</v>
      </c>
      <c r="L464">
        <f t="shared" si="23"/>
        <v>1</v>
      </c>
      <c r="M464">
        <f t="shared" si="24"/>
        <v>1</v>
      </c>
    </row>
    <row r="465" spans="1:13" x14ac:dyDescent="0.2">
      <c r="A465" t="s">
        <v>2299</v>
      </c>
      <c r="B465" t="s">
        <v>2893</v>
      </c>
      <c r="C465" t="s">
        <v>2898</v>
      </c>
      <c r="D465" t="s">
        <v>841</v>
      </c>
      <c r="E465" t="s">
        <v>691</v>
      </c>
      <c r="F465" t="s">
        <v>13</v>
      </c>
      <c r="G465" t="s">
        <v>14</v>
      </c>
      <c r="H465">
        <v>0.99999830000000001</v>
      </c>
      <c r="I465">
        <v>0.99706477000000004</v>
      </c>
      <c r="J465">
        <v>0.98141270000000003</v>
      </c>
      <c r="K465">
        <f t="shared" si="22"/>
        <v>1</v>
      </c>
      <c r="L465">
        <f t="shared" si="23"/>
        <v>1</v>
      </c>
      <c r="M465">
        <f t="shared" si="24"/>
        <v>1</v>
      </c>
    </row>
    <row r="466" spans="1:13" x14ac:dyDescent="0.2">
      <c r="A466" t="s">
        <v>2300</v>
      </c>
      <c r="B466" t="s">
        <v>2893</v>
      </c>
      <c r="C466" t="s">
        <v>2898</v>
      </c>
      <c r="D466" t="s">
        <v>842</v>
      </c>
      <c r="E466" t="s">
        <v>691</v>
      </c>
      <c r="F466" t="s">
        <v>13</v>
      </c>
      <c r="G466" t="s">
        <v>14</v>
      </c>
      <c r="H466">
        <v>0.99935275000000001</v>
      </c>
      <c r="I466">
        <v>0.99706477000000004</v>
      </c>
      <c r="J466">
        <v>0.10437199</v>
      </c>
      <c r="K466">
        <f t="shared" si="22"/>
        <v>1</v>
      </c>
      <c r="L466">
        <f t="shared" si="23"/>
        <v>1</v>
      </c>
      <c r="M466">
        <f t="shared" si="24"/>
        <v>0</v>
      </c>
    </row>
    <row r="467" spans="1:13" x14ac:dyDescent="0.2">
      <c r="A467" t="s">
        <v>2301</v>
      </c>
      <c r="B467" t="s">
        <v>2893</v>
      </c>
      <c r="C467" t="s">
        <v>2898</v>
      </c>
      <c r="D467" t="s">
        <v>843</v>
      </c>
      <c r="E467" t="s">
        <v>844</v>
      </c>
      <c r="F467" t="s">
        <v>9</v>
      </c>
      <c r="G467" t="s">
        <v>14</v>
      </c>
      <c r="H467">
        <v>8.9527824000000002E-4</v>
      </c>
      <c r="I467">
        <v>0.99999994000000003</v>
      </c>
      <c r="J467" s="1">
        <v>8.3897749999999994E-8</v>
      </c>
      <c r="K467">
        <f t="shared" si="22"/>
        <v>0</v>
      </c>
      <c r="L467">
        <f t="shared" si="23"/>
        <v>1</v>
      </c>
      <c r="M467">
        <f t="shared" si="24"/>
        <v>0</v>
      </c>
    </row>
    <row r="468" spans="1:13" x14ac:dyDescent="0.2">
      <c r="A468" t="s">
        <v>2302</v>
      </c>
      <c r="B468" t="s">
        <v>2893</v>
      </c>
      <c r="C468" t="s">
        <v>2898</v>
      </c>
      <c r="D468" t="s">
        <v>845</v>
      </c>
      <c r="E468" t="s">
        <v>42</v>
      </c>
      <c r="F468" t="s">
        <v>17</v>
      </c>
      <c r="G468" t="s">
        <v>10</v>
      </c>
      <c r="H468">
        <v>0.99998469999999995</v>
      </c>
      <c r="I468">
        <v>0.99999994000000003</v>
      </c>
      <c r="J468">
        <v>0.99721970000000004</v>
      </c>
      <c r="K468">
        <f t="shared" si="22"/>
        <v>1</v>
      </c>
      <c r="L468">
        <f t="shared" si="23"/>
        <v>1</v>
      </c>
      <c r="M468">
        <f t="shared" si="24"/>
        <v>1</v>
      </c>
    </row>
    <row r="469" spans="1:13" x14ac:dyDescent="0.2">
      <c r="A469" t="s">
        <v>2303</v>
      </c>
      <c r="B469" t="s">
        <v>2893</v>
      </c>
      <c r="C469" t="s">
        <v>2898</v>
      </c>
      <c r="D469" t="s">
        <v>846</v>
      </c>
      <c r="E469" t="s">
        <v>847</v>
      </c>
      <c r="F469" t="s">
        <v>17</v>
      </c>
      <c r="G469" t="s">
        <v>10</v>
      </c>
      <c r="H469">
        <v>0.99999994000000003</v>
      </c>
      <c r="I469">
        <v>0.99999994000000003</v>
      </c>
      <c r="J469">
        <v>0.99937719999999997</v>
      </c>
      <c r="K469">
        <f t="shared" si="22"/>
        <v>1</v>
      </c>
      <c r="L469">
        <f t="shared" si="23"/>
        <v>1</v>
      </c>
      <c r="M469">
        <f t="shared" si="24"/>
        <v>1</v>
      </c>
    </row>
    <row r="470" spans="1:13" x14ac:dyDescent="0.2">
      <c r="A470" t="s">
        <v>2304</v>
      </c>
      <c r="B470" t="s">
        <v>2893</v>
      </c>
      <c r="C470" t="s">
        <v>2898</v>
      </c>
      <c r="D470" t="s">
        <v>848</v>
      </c>
      <c r="E470" t="s">
        <v>849</v>
      </c>
      <c r="F470" t="s">
        <v>13</v>
      </c>
      <c r="G470" t="s">
        <v>14</v>
      </c>
      <c r="H470">
        <v>0.99274032999999995</v>
      </c>
      <c r="I470">
        <v>0.99998900000000002</v>
      </c>
      <c r="J470">
        <v>0.11106228</v>
      </c>
      <c r="K470">
        <f t="shared" si="22"/>
        <v>1</v>
      </c>
      <c r="L470">
        <f t="shared" si="23"/>
        <v>1</v>
      </c>
      <c r="M470">
        <f t="shared" si="24"/>
        <v>0</v>
      </c>
    </row>
    <row r="471" spans="1:13" x14ac:dyDescent="0.2">
      <c r="A471" t="s">
        <v>2305</v>
      </c>
      <c r="B471" t="s">
        <v>2893</v>
      </c>
      <c r="C471" t="s">
        <v>2898</v>
      </c>
      <c r="D471" t="s">
        <v>850</v>
      </c>
      <c r="E471" t="s">
        <v>851</v>
      </c>
      <c r="F471" t="s">
        <v>13</v>
      </c>
      <c r="G471" t="s">
        <v>14</v>
      </c>
      <c r="H471">
        <v>0.99999994000000003</v>
      </c>
      <c r="I471">
        <v>0.99873155000000002</v>
      </c>
      <c r="J471">
        <v>0.99795352999999998</v>
      </c>
      <c r="K471">
        <f t="shared" si="22"/>
        <v>1</v>
      </c>
      <c r="L471">
        <f t="shared" si="23"/>
        <v>1</v>
      </c>
      <c r="M471">
        <f t="shared" si="24"/>
        <v>1</v>
      </c>
    </row>
    <row r="472" spans="1:13" x14ac:dyDescent="0.2">
      <c r="A472" t="s">
        <v>2306</v>
      </c>
      <c r="B472" t="s">
        <v>2893</v>
      </c>
      <c r="C472" t="s">
        <v>2898</v>
      </c>
      <c r="D472" t="s">
        <v>852</v>
      </c>
      <c r="E472" t="s">
        <v>128</v>
      </c>
      <c r="F472" t="s">
        <v>9</v>
      </c>
      <c r="G472" t="s">
        <v>14</v>
      </c>
      <c r="H472">
        <v>0.99999859999999996</v>
      </c>
      <c r="I472">
        <v>0.9999903</v>
      </c>
      <c r="J472">
        <v>4.4899257000000003E-3</v>
      </c>
      <c r="K472">
        <f t="shared" si="22"/>
        <v>1</v>
      </c>
      <c r="L472">
        <f t="shared" si="23"/>
        <v>1</v>
      </c>
      <c r="M472">
        <f t="shared" si="24"/>
        <v>0</v>
      </c>
    </row>
    <row r="473" spans="1:13" x14ac:dyDescent="0.2">
      <c r="A473" t="s">
        <v>2307</v>
      </c>
      <c r="B473" t="s">
        <v>2893</v>
      </c>
      <c r="C473" t="s">
        <v>2898</v>
      </c>
      <c r="D473" t="s">
        <v>853</v>
      </c>
      <c r="E473" t="s">
        <v>854</v>
      </c>
      <c r="F473" t="s">
        <v>13</v>
      </c>
      <c r="G473" t="s">
        <v>14</v>
      </c>
      <c r="H473">
        <v>0.99999565000000001</v>
      </c>
      <c r="I473">
        <v>0.9491252</v>
      </c>
      <c r="J473">
        <v>0.99007064</v>
      </c>
      <c r="K473">
        <f t="shared" si="22"/>
        <v>1</v>
      </c>
      <c r="L473">
        <f t="shared" si="23"/>
        <v>1</v>
      </c>
      <c r="M473">
        <f t="shared" si="24"/>
        <v>1</v>
      </c>
    </row>
    <row r="474" spans="1:13" x14ac:dyDescent="0.2">
      <c r="A474" t="s">
        <v>2308</v>
      </c>
      <c r="B474" t="s">
        <v>2893</v>
      </c>
      <c r="C474" t="s">
        <v>2898</v>
      </c>
      <c r="D474" t="s">
        <v>855</v>
      </c>
      <c r="E474" t="s">
        <v>856</v>
      </c>
      <c r="F474" t="s">
        <v>17</v>
      </c>
      <c r="G474" t="s">
        <v>14</v>
      </c>
      <c r="H474">
        <v>0.42069616999999998</v>
      </c>
      <c r="I474">
        <v>0.99999959999999999</v>
      </c>
      <c r="J474">
        <v>1.9943192000000001E-4</v>
      </c>
      <c r="K474">
        <f t="shared" si="22"/>
        <v>0</v>
      </c>
      <c r="L474">
        <f t="shared" si="23"/>
        <v>1</v>
      </c>
      <c r="M474">
        <f t="shared" si="24"/>
        <v>0</v>
      </c>
    </row>
    <row r="475" spans="1:13" x14ac:dyDescent="0.2">
      <c r="A475" t="s">
        <v>2309</v>
      </c>
      <c r="B475" t="s">
        <v>2893</v>
      </c>
      <c r="C475" t="s">
        <v>2898</v>
      </c>
      <c r="D475" t="s">
        <v>857</v>
      </c>
      <c r="E475" t="s">
        <v>128</v>
      </c>
      <c r="F475" t="s">
        <v>13</v>
      </c>
      <c r="G475" t="s">
        <v>14</v>
      </c>
      <c r="H475">
        <v>0.99998600000000004</v>
      </c>
      <c r="I475">
        <v>0.9999903</v>
      </c>
      <c r="J475">
        <v>0.72118910000000003</v>
      </c>
      <c r="K475">
        <f t="shared" si="22"/>
        <v>1</v>
      </c>
      <c r="L475">
        <f t="shared" si="23"/>
        <v>1</v>
      </c>
      <c r="M475">
        <f t="shared" si="24"/>
        <v>1</v>
      </c>
    </row>
    <row r="476" spans="1:13" x14ac:dyDescent="0.2">
      <c r="A476" t="s">
        <v>2310</v>
      </c>
      <c r="B476" t="s">
        <v>2893</v>
      </c>
      <c r="C476" t="s">
        <v>2898</v>
      </c>
      <c r="D476" t="s">
        <v>858</v>
      </c>
      <c r="E476" t="s">
        <v>33</v>
      </c>
      <c r="F476" t="s">
        <v>13</v>
      </c>
      <c r="G476" t="s">
        <v>14</v>
      </c>
      <c r="H476">
        <v>0.99999636000000003</v>
      </c>
      <c r="I476">
        <v>0.9945775</v>
      </c>
      <c r="J476">
        <v>0.16880492999999999</v>
      </c>
      <c r="K476">
        <f t="shared" si="22"/>
        <v>1</v>
      </c>
      <c r="L476">
        <f t="shared" si="23"/>
        <v>1</v>
      </c>
      <c r="M476">
        <f t="shared" si="24"/>
        <v>0</v>
      </c>
    </row>
    <row r="477" spans="1:13" x14ac:dyDescent="0.2">
      <c r="A477" t="s">
        <v>2311</v>
      </c>
      <c r="B477" t="s">
        <v>2893</v>
      </c>
      <c r="C477" t="s">
        <v>2898</v>
      </c>
      <c r="D477" t="s">
        <v>859</v>
      </c>
      <c r="E477" t="s">
        <v>860</v>
      </c>
      <c r="F477" t="s">
        <v>17</v>
      </c>
      <c r="G477" t="s">
        <v>10</v>
      </c>
      <c r="H477">
        <v>0.99992174</v>
      </c>
      <c r="I477">
        <v>0.99999994000000003</v>
      </c>
      <c r="J477">
        <v>3.8691250000000003E-2</v>
      </c>
      <c r="K477">
        <f t="shared" si="22"/>
        <v>1</v>
      </c>
      <c r="L477">
        <f t="shared" si="23"/>
        <v>1</v>
      </c>
      <c r="M477">
        <f t="shared" si="24"/>
        <v>0</v>
      </c>
    </row>
    <row r="478" spans="1:13" x14ac:dyDescent="0.2">
      <c r="A478" t="s">
        <v>2312</v>
      </c>
      <c r="B478" t="s">
        <v>2893</v>
      </c>
      <c r="C478" t="s">
        <v>2898</v>
      </c>
      <c r="D478" t="s">
        <v>861</v>
      </c>
      <c r="E478" t="s">
        <v>862</v>
      </c>
      <c r="F478" t="s">
        <v>9</v>
      </c>
      <c r="G478" t="s">
        <v>10</v>
      </c>
      <c r="H478">
        <v>0.54692430000000003</v>
      </c>
      <c r="I478">
        <v>0.99999994000000003</v>
      </c>
      <c r="J478">
        <v>0.99999649999999995</v>
      </c>
      <c r="K478">
        <f t="shared" si="22"/>
        <v>1</v>
      </c>
      <c r="L478">
        <f t="shared" si="23"/>
        <v>1</v>
      </c>
      <c r="M478">
        <f t="shared" si="24"/>
        <v>1</v>
      </c>
    </row>
    <row r="479" spans="1:13" x14ac:dyDescent="0.2">
      <c r="A479" t="s">
        <v>2313</v>
      </c>
      <c r="B479" t="s">
        <v>2893</v>
      </c>
      <c r="C479" t="s">
        <v>2898</v>
      </c>
      <c r="D479" t="s">
        <v>863</v>
      </c>
      <c r="E479" t="s">
        <v>864</v>
      </c>
      <c r="F479" t="s">
        <v>13</v>
      </c>
      <c r="G479" t="s">
        <v>10</v>
      </c>
      <c r="H479">
        <v>0.99999994000000003</v>
      </c>
      <c r="I479">
        <v>0.99999970000000005</v>
      </c>
      <c r="J479">
        <v>0.9999749</v>
      </c>
      <c r="K479">
        <f t="shared" si="22"/>
        <v>1</v>
      </c>
      <c r="L479">
        <f t="shared" si="23"/>
        <v>1</v>
      </c>
      <c r="M479">
        <f t="shared" si="24"/>
        <v>1</v>
      </c>
    </row>
    <row r="480" spans="1:13" x14ac:dyDescent="0.2">
      <c r="A480" t="s">
        <v>2314</v>
      </c>
      <c r="B480" t="s">
        <v>2893</v>
      </c>
      <c r="C480" t="s">
        <v>2898</v>
      </c>
      <c r="D480" t="s">
        <v>865</v>
      </c>
      <c r="E480" t="s">
        <v>866</v>
      </c>
      <c r="F480" t="s">
        <v>13</v>
      </c>
      <c r="G480" t="s">
        <v>212</v>
      </c>
      <c r="H480">
        <v>0.99256820000000001</v>
      </c>
      <c r="I480">
        <v>0.99999994000000003</v>
      </c>
      <c r="J480">
        <v>0.99999934000000001</v>
      </c>
      <c r="K480">
        <f t="shared" si="22"/>
        <v>1</v>
      </c>
      <c r="L480">
        <f t="shared" si="23"/>
        <v>1</v>
      </c>
      <c r="M480">
        <f t="shared" si="24"/>
        <v>1</v>
      </c>
    </row>
    <row r="481" spans="1:13" x14ac:dyDescent="0.2">
      <c r="A481" t="s">
        <v>2315</v>
      </c>
      <c r="B481" t="s">
        <v>2893</v>
      </c>
      <c r="C481" t="s">
        <v>2898</v>
      </c>
      <c r="D481" t="s">
        <v>867</v>
      </c>
      <c r="E481" t="s">
        <v>868</v>
      </c>
      <c r="F481" t="s">
        <v>13</v>
      </c>
      <c r="G481" t="s">
        <v>14</v>
      </c>
      <c r="H481">
        <v>0.99999780000000005</v>
      </c>
      <c r="I481">
        <v>0.99403319999999995</v>
      </c>
      <c r="J481">
        <v>0.99895906000000001</v>
      </c>
      <c r="K481">
        <f t="shared" si="22"/>
        <v>1</v>
      </c>
      <c r="L481">
        <f t="shared" si="23"/>
        <v>1</v>
      </c>
      <c r="M481">
        <f t="shared" si="24"/>
        <v>1</v>
      </c>
    </row>
    <row r="482" spans="1:13" x14ac:dyDescent="0.2">
      <c r="A482" t="s">
        <v>2316</v>
      </c>
      <c r="B482" t="s">
        <v>2893</v>
      </c>
      <c r="C482" t="s">
        <v>2898</v>
      </c>
      <c r="D482" t="s">
        <v>869</v>
      </c>
      <c r="E482" t="s">
        <v>870</v>
      </c>
      <c r="F482" t="s">
        <v>9</v>
      </c>
      <c r="G482" t="s">
        <v>14</v>
      </c>
      <c r="H482">
        <v>0.99999994000000003</v>
      </c>
      <c r="I482">
        <v>0.99957079999999998</v>
      </c>
      <c r="J482">
        <v>0.99999899999999997</v>
      </c>
      <c r="K482">
        <f t="shared" si="22"/>
        <v>1</v>
      </c>
      <c r="L482">
        <f t="shared" si="23"/>
        <v>1</v>
      </c>
      <c r="M482">
        <f t="shared" si="24"/>
        <v>1</v>
      </c>
    </row>
    <row r="483" spans="1:13" x14ac:dyDescent="0.2">
      <c r="A483" t="s">
        <v>2317</v>
      </c>
      <c r="B483" t="s">
        <v>2893</v>
      </c>
      <c r="C483" t="s">
        <v>2898</v>
      </c>
      <c r="D483" t="s">
        <v>871</v>
      </c>
      <c r="E483" t="s">
        <v>872</v>
      </c>
      <c r="F483" t="s">
        <v>17</v>
      </c>
      <c r="G483" t="s">
        <v>14</v>
      </c>
      <c r="H483">
        <v>0.99775480000000005</v>
      </c>
      <c r="I483">
        <v>0.99999994000000003</v>
      </c>
      <c r="J483">
        <v>0.99993759999999998</v>
      </c>
      <c r="K483">
        <f t="shared" si="22"/>
        <v>1</v>
      </c>
      <c r="L483">
        <f t="shared" si="23"/>
        <v>1</v>
      </c>
      <c r="M483">
        <f t="shared" si="24"/>
        <v>1</v>
      </c>
    </row>
    <row r="484" spans="1:13" x14ac:dyDescent="0.2">
      <c r="A484" t="s">
        <v>2318</v>
      </c>
      <c r="B484" t="s">
        <v>2893</v>
      </c>
      <c r="C484" t="s">
        <v>2898</v>
      </c>
      <c r="D484" t="s">
        <v>873</v>
      </c>
      <c r="E484" t="s">
        <v>874</v>
      </c>
      <c r="F484" t="s">
        <v>13</v>
      </c>
      <c r="G484" t="s">
        <v>14</v>
      </c>
      <c r="H484">
        <v>0.99985075000000001</v>
      </c>
      <c r="I484">
        <v>0.99999349999999998</v>
      </c>
      <c r="J484">
        <v>0.61551493000000002</v>
      </c>
      <c r="K484">
        <f t="shared" si="22"/>
        <v>1</v>
      </c>
      <c r="L484">
        <f t="shared" si="23"/>
        <v>1</v>
      </c>
      <c r="M484">
        <f t="shared" si="24"/>
        <v>1</v>
      </c>
    </row>
    <row r="485" spans="1:13" x14ac:dyDescent="0.2">
      <c r="A485" t="s">
        <v>2319</v>
      </c>
      <c r="B485" t="s">
        <v>2893</v>
      </c>
      <c r="C485" t="s">
        <v>2898</v>
      </c>
      <c r="D485" t="s">
        <v>875</v>
      </c>
      <c r="E485" t="s">
        <v>876</v>
      </c>
      <c r="F485" t="s">
        <v>9</v>
      </c>
      <c r="G485" t="s">
        <v>10</v>
      </c>
      <c r="H485">
        <v>0.99999979999999999</v>
      </c>
      <c r="I485">
        <v>0.99999994000000003</v>
      </c>
      <c r="J485">
        <v>0.99999830000000001</v>
      </c>
      <c r="K485">
        <f t="shared" si="22"/>
        <v>1</v>
      </c>
      <c r="L485">
        <f t="shared" si="23"/>
        <v>1</v>
      </c>
      <c r="M485">
        <f t="shared" si="24"/>
        <v>1</v>
      </c>
    </row>
    <row r="486" spans="1:13" x14ac:dyDescent="0.2">
      <c r="A486" t="s">
        <v>2320</v>
      </c>
      <c r="B486" t="s">
        <v>2893</v>
      </c>
      <c r="C486" t="s">
        <v>2898</v>
      </c>
      <c r="D486" t="s">
        <v>877</v>
      </c>
      <c r="E486" t="s">
        <v>878</v>
      </c>
      <c r="F486" t="s">
        <v>9</v>
      </c>
      <c r="G486" t="s">
        <v>14</v>
      </c>
      <c r="H486">
        <v>0.99998456000000002</v>
      </c>
      <c r="I486">
        <v>0.99999959999999999</v>
      </c>
      <c r="J486">
        <v>6.6865000000000002E-4</v>
      </c>
      <c r="K486">
        <f t="shared" si="22"/>
        <v>1</v>
      </c>
      <c r="L486">
        <f t="shared" si="23"/>
        <v>1</v>
      </c>
      <c r="M486">
        <f t="shared" si="24"/>
        <v>0</v>
      </c>
    </row>
    <row r="487" spans="1:13" x14ac:dyDescent="0.2">
      <c r="A487" t="s">
        <v>2321</v>
      </c>
      <c r="B487" t="s">
        <v>2893</v>
      </c>
      <c r="C487" t="s">
        <v>2898</v>
      </c>
      <c r="D487" t="s">
        <v>879</v>
      </c>
      <c r="E487" t="s">
        <v>691</v>
      </c>
      <c r="F487" t="s">
        <v>13</v>
      </c>
      <c r="G487" t="s">
        <v>14</v>
      </c>
      <c r="H487">
        <v>0.99999970000000005</v>
      </c>
      <c r="I487">
        <v>0.99706477000000004</v>
      </c>
      <c r="J487">
        <v>0.99025415999999999</v>
      </c>
      <c r="K487">
        <f t="shared" si="22"/>
        <v>1</v>
      </c>
      <c r="L487">
        <f t="shared" si="23"/>
        <v>1</v>
      </c>
      <c r="M487">
        <f t="shared" si="24"/>
        <v>1</v>
      </c>
    </row>
    <row r="488" spans="1:13" x14ac:dyDescent="0.2">
      <c r="A488" t="s">
        <v>2322</v>
      </c>
      <c r="B488" t="s">
        <v>2893</v>
      </c>
      <c r="C488" t="s">
        <v>2898</v>
      </c>
      <c r="D488" t="s">
        <v>880</v>
      </c>
      <c r="E488" t="s">
        <v>881</v>
      </c>
      <c r="F488" t="s">
        <v>9</v>
      </c>
      <c r="G488" t="s">
        <v>10</v>
      </c>
      <c r="H488">
        <v>0.99999959999999999</v>
      </c>
      <c r="I488">
        <v>0.99999994000000003</v>
      </c>
      <c r="J488">
        <v>2.8728373000000001E-2</v>
      </c>
      <c r="K488">
        <f t="shared" si="22"/>
        <v>1</v>
      </c>
      <c r="L488">
        <f t="shared" si="23"/>
        <v>1</v>
      </c>
      <c r="M488">
        <f t="shared" si="24"/>
        <v>0</v>
      </c>
    </row>
    <row r="489" spans="1:13" x14ac:dyDescent="0.2">
      <c r="A489" t="s">
        <v>2323</v>
      </c>
      <c r="B489" t="s">
        <v>2893</v>
      </c>
      <c r="C489" t="s">
        <v>2898</v>
      </c>
      <c r="D489" t="s">
        <v>882</v>
      </c>
      <c r="E489" t="s">
        <v>266</v>
      </c>
      <c r="F489" t="s">
        <v>13</v>
      </c>
      <c r="G489" t="s">
        <v>14</v>
      </c>
      <c r="H489">
        <v>0.87548369999999998</v>
      </c>
      <c r="I489">
        <v>0.99977919999999998</v>
      </c>
      <c r="J489">
        <v>5.5061453000000002E-3</v>
      </c>
      <c r="K489">
        <f t="shared" si="22"/>
        <v>1</v>
      </c>
      <c r="L489">
        <f t="shared" si="23"/>
        <v>1</v>
      </c>
      <c r="M489">
        <f t="shared" si="24"/>
        <v>0</v>
      </c>
    </row>
    <row r="490" spans="1:13" x14ac:dyDescent="0.2">
      <c r="A490" t="s">
        <v>2324</v>
      </c>
      <c r="B490" t="s">
        <v>2893</v>
      </c>
      <c r="C490" t="s">
        <v>2898</v>
      </c>
      <c r="D490" t="s">
        <v>883</v>
      </c>
      <c r="E490" t="s">
        <v>884</v>
      </c>
      <c r="F490" t="s">
        <v>17</v>
      </c>
      <c r="G490" t="s">
        <v>14</v>
      </c>
      <c r="H490">
        <v>0.99829219999999996</v>
      </c>
      <c r="I490">
        <v>0.99865170000000003</v>
      </c>
      <c r="J490">
        <v>0.99999994000000003</v>
      </c>
      <c r="K490">
        <f t="shared" si="22"/>
        <v>1</v>
      </c>
      <c r="L490">
        <f t="shared" si="23"/>
        <v>1</v>
      </c>
      <c r="M490">
        <f t="shared" si="24"/>
        <v>1</v>
      </c>
    </row>
    <row r="491" spans="1:13" x14ac:dyDescent="0.2">
      <c r="A491" t="s">
        <v>2325</v>
      </c>
      <c r="B491" t="s">
        <v>2893</v>
      </c>
      <c r="C491" t="s">
        <v>2898</v>
      </c>
      <c r="D491" t="s">
        <v>885</v>
      </c>
      <c r="E491" t="s">
        <v>147</v>
      </c>
      <c r="F491" t="s">
        <v>13</v>
      </c>
      <c r="G491" t="s">
        <v>14</v>
      </c>
      <c r="H491">
        <v>0.99999970000000005</v>
      </c>
      <c r="I491">
        <v>0.99933510000000003</v>
      </c>
      <c r="J491">
        <v>0.99158424000000001</v>
      </c>
      <c r="K491">
        <f t="shared" si="22"/>
        <v>1</v>
      </c>
      <c r="L491">
        <f t="shared" si="23"/>
        <v>1</v>
      </c>
      <c r="M491">
        <f t="shared" si="24"/>
        <v>1</v>
      </c>
    </row>
    <row r="492" spans="1:13" x14ac:dyDescent="0.2">
      <c r="A492" t="s">
        <v>2326</v>
      </c>
      <c r="B492" t="s">
        <v>2893</v>
      </c>
      <c r="C492" t="s">
        <v>2898</v>
      </c>
      <c r="D492" t="s">
        <v>886</v>
      </c>
      <c r="E492" t="s">
        <v>887</v>
      </c>
      <c r="F492" t="s">
        <v>17</v>
      </c>
      <c r="G492" t="s">
        <v>10</v>
      </c>
      <c r="H492">
        <v>0.83150179999999996</v>
      </c>
      <c r="I492">
        <v>0.99999994000000003</v>
      </c>
      <c r="J492">
        <v>0.99999830000000001</v>
      </c>
      <c r="K492">
        <f t="shared" si="22"/>
        <v>1</v>
      </c>
      <c r="L492">
        <f t="shared" si="23"/>
        <v>1</v>
      </c>
      <c r="M492">
        <f t="shared" si="24"/>
        <v>1</v>
      </c>
    </row>
    <row r="493" spans="1:13" x14ac:dyDescent="0.2">
      <c r="A493" t="s">
        <v>2327</v>
      </c>
      <c r="B493" t="s">
        <v>2893</v>
      </c>
      <c r="C493" t="s">
        <v>2898</v>
      </c>
      <c r="D493" t="s">
        <v>888</v>
      </c>
      <c r="E493" t="s">
        <v>889</v>
      </c>
      <c r="F493" t="s">
        <v>13</v>
      </c>
      <c r="G493" t="s">
        <v>14</v>
      </c>
      <c r="H493">
        <v>0.99989740000000005</v>
      </c>
      <c r="I493">
        <v>0.99999945999999995</v>
      </c>
      <c r="J493">
        <v>0.99767715000000001</v>
      </c>
      <c r="K493">
        <f t="shared" si="22"/>
        <v>1</v>
      </c>
      <c r="L493">
        <f t="shared" si="23"/>
        <v>1</v>
      </c>
      <c r="M493">
        <f t="shared" si="24"/>
        <v>1</v>
      </c>
    </row>
    <row r="494" spans="1:13" x14ac:dyDescent="0.2">
      <c r="A494" t="s">
        <v>2328</v>
      </c>
      <c r="B494" t="s">
        <v>2893</v>
      </c>
      <c r="C494" t="s">
        <v>2898</v>
      </c>
      <c r="D494" t="s">
        <v>890</v>
      </c>
      <c r="E494" t="s">
        <v>634</v>
      </c>
      <c r="F494" t="s">
        <v>9</v>
      </c>
      <c r="G494" t="s">
        <v>10</v>
      </c>
      <c r="H494">
        <v>2.2780627000000001E-2</v>
      </c>
      <c r="I494" s="1">
        <v>3.9501170000000004E-6</v>
      </c>
      <c r="J494">
        <v>1.3494308E-4</v>
      </c>
      <c r="K494">
        <f t="shared" si="22"/>
        <v>0</v>
      </c>
      <c r="L494">
        <f t="shared" si="23"/>
        <v>0</v>
      </c>
      <c r="M494">
        <f t="shared" si="24"/>
        <v>0</v>
      </c>
    </row>
    <row r="495" spans="1:13" x14ac:dyDescent="0.2">
      <c r="A495" t="s">
        <v>2329</v>
      </c>
      <c r="B495" t="s">
        <v>2893</v>
      </c>
      <c r="C495" t="s">
        <v>2898</v>
      </c>
      <c r="D495" t="s">
        <v>891</v>
      </c>
      <c r="E495" t="s">
        <v>892</v>
      </c>
      <c r="F495" t="s">
        <v>9</v>
      </c>
      <c r="G495" t="s">
        <v>45</v>
      </c>
      <c r="H495">
        <v>0.75337635999999997</v>
      </c>
      <c r="I495" s="1">
        <v>7.2599790000000002E-7</v>
      </c>
      <c r="J495" s="1">
        <v>1.4740492E-6</v>
      </c>
      <c r="K495">
        <f t="shared" si="22"/>
        <v>1</v>
      </c>
      <c r="L495">
        <f t="shared" si="23"/>
        <v>0</v>
      </c>
      <c r="M495">
        <f t="shared" si="24"/>
        <v>0</v>
      </c>
    </row>
    <row r="496" spans="1:13" x14ac:dyDescent="0.2">
      <c r="A496" t="s">
        <v>2330</v>
      </c>
      <c r="B496" t="s">
        <v>2893</v>
      </c>
      <c r="C496" t="s">
        <v>2898</v>
      </c>
      <c r="D496" t="s">
        <v>893</v>
      </c>
      <c r="E496" t="s">
        <v>894</v>
      </c>
      <c r="F496" t="s">
        <v>13</v>
      </c>
      <c r="G496" t="s">
        <v>14</v>
      </c>
      <c r="H496">
        <v>0.99999780000000005</v>
      </c>
      <c r="I496">
        <v>0.99999919999999998</v>
      </c>
      <c r="J496">
        <v>0.98947936000000003</v>
      </c>
      <c r="K496">
        <f t="shared" si="22"/>
        <v>1</v>
      </c>
      <c r="L496">
        <f t="shared" si="23"/>
        <v>1</v>
      </c>
      <c r="M496">
        <f t="shared" si="24"/>
        <v>1</v>
      </c>
    </row>
    <row r="497" spans="1:13" x14ac:dyDescent="0.2">
      <c r="A497" t="s">
        <v>2331</v>
      </c>
      <c r="B497" t="s">
        <v>2893</v>
      </c>
      <c r="C497" t="s">
        <v>2898</v>
      </c>
      <c r="D497" t="s">
        <v>895</v>
      </c>
      <c r="E497" t="s">
        <v>896</v>
      </c>
      <c r="F497" t="s">
        <v>13</v>
      </c>
      <c r="G497" t="s">
        <v>14</v>
      </c>
      <c r="H497">
        <v>0.82387469999999996</v>
      </c>
      <c r="I497">
        <v>0.99945795999999998</v>
      </c>
      <c r="J497">
        <v>0.45687</v>
      </c>
      <c r="K497">
        <f t="shared" si="22"/>
        <v>1</v>
      </c>
      <c r="L497">
        <f t="shared" si="23"/>
        <v>1</v>
      </c>
      <c r="M497">
        <f t="shared" si="24"/>
        <v>0</v>
      </c>
    </row>
    <row r="498" spans="1:13" x14ac:dyDescent="0.2">
      <c r="A498" t="s">
        <v>2332</v>
      </c>
      <c r="B498" t="s">
        <v>2893</v>
      </c>
      <c r="C498" t="s">
        <v>2898</v>
      </c>
      <c r="D498" t="s">
        <v>897</v>
      </c>
      <c r="E498" t="s">
        <v>898</v>
      </c>
      <c r="F498" t="s">
        <v>9</v>
      </c>
      <c r="G498" t="s">
        <v>14</v>
      </c>
      <c r="H498">
        <v>0.99999979999999999</v>
      </c>
      <c r="I498">
        <v>0.99923720000000005</v>
      </c>
      <c r="J498">
        <v>0.20272461999999999</v>
      </c>
      <c r="K498">
        <f t="shared" si="22"/>
        <v>1</v>
      </c>
      <c r="L498">
        <f t="shared" si="23"/>
        <v>1</v>
      </c>
      <c r="M498">
        <f t="shared" si="24"/>
        <v>0</v>
      </c>
    </row>
    <row r="499" spans="1:13" x14ac:dyDescent="0.2">
      <c r="A499" t="s">
        <v>2333</v>
      </c>
      <c r="B499" t="s">
        <v>2893</v>
      </c>
      <c r="C499" t="s">
        <v>2898</v>
      </c>
      <c r="D499" t="s">
        <v>899</v>
      </c>
      <c r="E499" t="s">
        <v>900</v>
      </c>
      <c r="F499" t="s">
        <v>13</v>
      </c>
      <c r="G499" t="s">
        <v>10</v>
      </c>
      <c r="H499">
        <v>0.87568336999999996</v>
      </c>
      <c r="I499">
        <v>0.99999994000000003</v>
      </c>
      <c r="J499">
        <v>0.99999994000000003</v>
      </c>
      <c r="K499">
        <f t="shared" si="22"/>
        <v>1</v>
      </c>
      <c r="L499">
        <f t="shared" si="23"/>
        <v>1</v>
      </c>
      <c r="M499">
        <f t="shared" si="24"/>
        <v>1</v>
      </c>
    </row>
    <row r="500" spans="1:13" x14ac:dyDescent="0.2">
      <c r="A500" t="s">
        <v>2334</v>
      </c>
      <c r="B500" t="s">
        <v>2893</v>
      </c>
      <c r="C500" t="s">
        <v>2898</v>
      </c>
      <c r="D500" t="s">
        <v>901</v>
      </c>
      <c r="E500" t="s">
        <v>902</v>
      </c>
      <c r="F500" t="s">
        <v>9</v>
      </c>
      <c r="G500" t="s">
        <v>14</v>
      </c>
      <c r="H500">
        <v>0.8088632</v>
      </c>
      <c r="I500">
        <v>0.99586600000000003</v>
      </c>
      <c r="J500">
        <v>0.87020284000000003</v>
      </c>
      <c r="K500">
        <f t="shared" si="22"/>
        <v>1</v>
      </c>
      <c r="L500">
        <f t="shared" si="23"/>
        <v>1</v>
      </c>
      <c r="M500">
        <f t="shared" si="24"/>
        <v>1</v>
      </c>
    </row>
    <row r="501" spans="1:13" x14ac:dyDescent="0.2">
      <c r="A501" t="s">
        <v>2335</v>
      </c>
      <c r="B501" t="s">
        <v>2893</v>
      </c>
      <c r="C501" t="s">
        <v>2898</v>
      </c>
      <c r="D501" t="s">
        <v>903</v>
      </c>
      <c r="E501" t="s">
        <v>904</v>
      </c>
      <c r="F501" t="s">
        <v>13</v>
      </c>
      <c r="G501" t="s">
        <v>65</v>
      </c>
      <c r="H501">
        <v>0.86976624000000002</v>
      </c>
      <c r="I501" s="1">
        <v>8.5865510000000002E-9</v>
      </c>
      <c r="J501">
        <v>6.7224909999999999E-2</v>
      </c>
      <c r="K501">
        <f t="shared" si="22"/>
        <v>1</v>
      </c>
      <c r="L501">
        <f t="shared" si="23"/>
        <v>0</v>
      </c>
      <c r="M501">
        <f t="shared" si="24"/>
        <v>0</v>
      </c>
    </row>
    <row r="502" spans="1:13" x14ac:dyDescent="0.2">
      <c r="A502" t="s">
        <v>2336</v>
      </c>
      <c r="B502" t="s">
        <v>2894</v>
      </c>
      <c r="C502" t="s">
        <v>2898</v>
      </c>
      <c r="D502" t="s">
        <v>905</v>
      </c>
      <c r="E502" t="s">
        <v>906</v>
      </c>
      <c r="F502" t="s">
        <v>17</v>
      </c>
      <c r="G502" t="s">
        <v>14</v>
      </c>
      <c r="H502">
        <v>0.99999979999999999</v>
      </c>
      <c r="I502">
        <v>0.99999994000000003</v>
      </c>
      <c r="J502">
        <v>0.99991363</v>
      </c>
      <c r="K502">
        <f t="shared" si="22"/>
        <v>1</v>
      </c>
      <c r="L502">
        <f t="shared" si="23"/>
        <v>1</v>
      </c>
      <c r="M502">
        <f t="shared" si="24"/>
        <v>1</v>
      </c>
    </row>
    <row r="503" spans="1:13" x14ac:dyDescent="0.2">
      <c r="A503" t="s">
        <v>2337</v>
      </c>
      <c r="B503" t="s">
        <v>2894</v>
      </c>
      <c r="C503" t="s">
        <v>2898</v>
      </c>
      <c r="D503" t="e">
        <f>-VQ-LVESGG-GLVKPGGSLRLSCAASGFTF---------SNYAMS-WVRQ-A-P-G-K--G-LE-WVSVIYSG------------GSTYY--A--D--SV--K---GRFTISR-D---N-S--KN----T-LYLQMNSLRA-EDTAVYYCARDLDGYG----------------------DLWFFDPWG-QGTLVTVSS</f>
        <v>#NAME?</v>
      </c>
      <c r="E503" t="s">
        <v>907</v>
      </c>
      <c r="F503" t="s">
        <v>13</v>
      </c>
      <c r="G503" t="s">
        <v>14</v>
      </c>
      <c r="H503">
        <v>0.99999340000000003</v>
      </c>
      <c r="I503">
        <v>0.99999970000000005</v>
      </c>
      <c r="J503">
        <v>3.2564590000000002E-3</v>
      </c>
      <c r="K503">
        <f t="shared" si="22"/>
        <v>1</v>
      </c>
      <c r="L503">
        <f t="shared" si="23"/>
        <v>1</v>
      </c>
      <c r="M503">
        <f t="shared" si="24"/>
        <v>0</v>
      </c>
    </row>
    <row r="504" spans="1:13" x14ac:dyDescent="0.2">
      <c r="A504" t="s">
        <v>2338</v>
      </c>
      <c r="B504" t="s">
        <v>2894</v>
      </c>
      <c r="C504" t="s">
        <v>2898</v>
      </c>
      <c r="D504" t="s">
        <v>908</v>
      </c>
      <c r="E504" t="s">
        <v>909</v>
      </c>
      <c r="F504" t="s">
        <v>9</v>
      </c>
      <c r="G504" t="s">
        <v>212</v>
      </c>
      <c r="H504" s="1">
        <v>5.2406813E-6</v>
      </c>
      <c r="I504">
        <v>2.2154793E-4</v>
      </c>
      <c r="J504">
        <v>0.1381802</v>
      </c>
      <c r="K504">
        <f t="shared" si="22"/>
        <v>0</v>
      </c>
      <c r="L504">
        <f t="shared" si="23"/>
        <v>0</v>
      </c>
      <c r="M504">
        <f t="shared" si="24"/>
        <v>0</v>
      </c>
    </row>
    <row r="505" spans="1:13" x14ac:dyDescent="0.2">
      <c r="A505" t="s">
        <v>2339</v>
      </c>
      <c r="B505" t="s">
        <v>2894</v>
      </c>
      <c r="C505" t="s">
        <v>2898</v>
      </c>
      <c r="D505" t="s">
        <v>910</v>
      </c>
      <c r="E505" t="s">
        <v>911</v>
      </c>
      <c r="F505" t="s">
        <v>9</v>
      </c>
      <c r="G505" t="s">
        <v>10</v>
      </c>
      <c r="H505">
        <v>0.99654549999999997</v>
      </c>
      <c r="I505">
        <v>0.99999994000000003</v>
      </c>
      <c r="J505">
        <v>0.99991149999999995</v>
      </c>
      <c r="K505">
        <f t="shared" si="22"/>
        <v>1</v>
      </c>
      <c r="L505">
        <f t="shared" si="23"/>
        <v>1</v>
      </c>
      <c r="M505">
        <f t="shared" si="24"/>
        <v>1</v>
      </c>
    </row>
    <row r="506" spans="1:13" x14ac:dyDescent="0.2">
      <c r="A506" t="s">
        <v>2340</v>
      </c>
      <c r="B506" t="s">
        <v>2894</v>
      </c>
      <c r="C506" t="s">
        <v>2898</v>
      </c>
      <c r="D506" t="s">
        <v>912</v>
      </c>
      <c r="E506" t="s">
        <v>913</v>
      </c>
      <c r="F506" t="s">
        <v>9</v>
      </c>
      <c r="G506" t="s">
        <v>14</v>
      </c>
      <c r="H506">
        <v>0.91621655000000002</v>
      </c>
      <c r="I506">
        <v>0.99999994000000003</v>
      </c>
      <c r="J506">
        <v>3.1055892000000002E-2</v>
      </c>
      <c r="K506">
        <f t="shared" si="22"/>
        <v>1</v>
      </c>
      <c r="L506">
        <f t="shared" si="23"/>
        <v>1</v>
      </c>
      <c r="M506">
        <f t="shared" si="24"/>
        <v>0</v>
      </c>
    </row>
    <row r="507" spans="1:13" x14ac:dyDescent="0.2">
      <c r="A507" t="s">
        <v>2341</v>
      </c>
      <c r="B507" t="s">
        <v>2894</v>
      </c>
      <c r="C507" t="s">
        <v>2898</v>
      </c>
      <c r="D507" t="s">
        <v>914</v>
      </c>
      <c r="E507" t="s">
        <v>915</v>
      </c>
      <c r="F507" t="s">
        <v>13</v>
      </c>
      <c r="G507" t="s">
        <v>14</v>
      </c>
      <c r="H507">
        <v>0.9999979</v>
      </c>
      <c r="I507">
        <v>0.99947580000000003</v>
      </c>
      <c r="J507">
        <v>0.99406570000000005</v>
      </c>
      <c r="K507">
        <f t="shared" si="22"/>
        <v>1</v>
      </c>
      <c r="L507">
        <f t="shared" si="23"/>
        <v>1</v>
      </c>
      <c r="M507">
        <f t="shared" si="24"/>
        <v>1</v>
      </c>
    </row>
    <row r="508" spans="1:13" x14ac:dyDescent="0.2">
      <c r="A508" t="s">
        <v>2342</v>
      </c>
      <c r="B508" t="s">
        <v>2894</v>
      </c>
      <c r="C508" t="s">
        <v>2898</v>
      </c>
      <c r="D508" t="s">
        <v>916</v>
      </c>
      <c r="E508" t="s">
        <v>224</v>
      </c>
      <c r="F508" t="s">
        <v>13</v>
      </c>
      <c r="G508" t="s">
        <v>14</v>
      </c>
      <c r="H508">
        <v>0.99999970000000005</v>
      </c>
      <c r="I508">
        <v>0.99999994000000003</v>
      </c>
      <c r="J508">
        <v>0.99998456000000002</v>
      </c>
      <c r="K508">
        <f t="shared" si="22"/>
        <v>1</v>
      </c>
      <c r="L508">
        <f t="shared" si="23"/>
        <v>1</v>
      </c>
      <c r="M508">
        <f t="shared" si="24"/>
        <v>1</v>
      </c>
    </row>
    <row r="509" spans="1:13" x14ac:dyDescent="0.2">
      <c r="A509" t="s">
        <v>2343</v>
      </c>
      <c r="B509" t="s">
        <v>2894</v>
      </c>
      <c r="C509" t="s">
        <v>2898</v>
      </c>
      <c r="D509" t="s">
        <v>917</v>
      </c>
      <c r="E509" t="s">
        <v>128</v>
      </c>
      <c r="F509" t="s">
        <v>13</v>
      </c>
      <c r="G509" t="s">
        <v>14</v>
      </c>
      <c r="H509">
        <v>0.99999910000000003</v>
      </c>
      <c r="I509">
        <v>0.9999903</v>
      </c>
      <c r="J509">
        <v>0.99686944</v>
      </c>
      <c r="K509">
        <f t="shared" si="22"/>
        <v>1</v>
      </c>
      <c r="L509">
        <f t="shared" si="23"/>
        <v>1</v>
      </c>
      <c r="M509">
        <f t="shared" si="24"/>
        <v>1</v>
      </c>
    </row>
    <row r="510" spans="1:13" x14ac:dyDescent="0.2">
      <c r="A510" t="s">
        <v>2344</v>
      </c>
      <c r="B510" t="s">
        <v>2894</v>
      </c>
      <c r="C510" t="s">
        <v>2898</v>
      </c>
      <c r="D510" t="s">
        <v>918</v>
      </c>
      <c r="E510" t="s">
        <v>919</v>
      </c>
      <c r="F510" t="s">
        <v>9</v>
      </c>
      <c r="G510" t="s">
        <v>10</v>
      </c>
      <c r="H510">
        <v>0.99996907000000002</v>
      </c>
      <c r="I510">
        <v>0.99999994000000003</v>
      </c>
      <c r="J510">
        <v>0.99991184</v>
      </c>
      <c r="K510">
        <f t="shared" si="22"/>
        <v>1</v>
      </c>
      <c r="L510">
        <f t="shared" si="23"/>
        <v>1</v>
      </c>
      <c r="M510">
        <f t="shared" si="24"/>
        <v>1</v>
      </c>
    </row>
    <row r="511" spans="1:13" x14ac:dyDescent="0.2">
      <c r="A511" t="s">
        <v>2345</v>
      </c>
      <c r="B511" t="s">
        <v>2894</v>
      </c>
      <c r="C511" t="s">
        <v>2898</v>
      </c>
      <c r="D511" t="s">
        <v>920</v>
      </c>
      <c r="E511" t="s">
        <v>128</v>
      </c>
      <c r="F511" t="s">
        <v>13</v>
      </c>
      <c r="G511" t="s">
        <v>14</v>
      </c>
      <c r="H511">
        <v>0.99999945999999995</v>
      </c>
      <c r="I511">
        <v>0.9999903</v>
      </c>
      <c r="J511">
        <v>0.98918019999999995</v>
      </c>
      <c r="K511">
        <f t="shared" si="22"/>
        <v>1</v>
      </c>
      <c r="L511">
        <f t="shared" si="23"/>
        <v>1</v>
      </c>
      <c r="M511">
        <f t="shared" si="24"/>
        <v>1</v>
      </c>
    </row>
    <row r="512" spans="1:13" x14ac:dyDescent="0.2">
      <c r="A512" t="s">
        <v>2346</v>
      </c>
      <c r="B512" t="s">
        <v>2894</v>
      </c>
      <c r="C512" t="s">
        <v>2898</v>
      </c>
      <c r="D512" t="s">
        <v>921</v>
      </c>
      <c r="E512" t="s">
        <v>922</v>
      </c>
      <c r="F512" t="s">
        <v>9</v>
      </c>
      <c r="G512" t="s">
        <v>10</v>
      </c>
      <c r="H512">
        <v>0.99999243000000004</v>
      </c>
      <c r="I512">
        <v>0.99999994000000003</v>
      </c>
      <c r="J512">
        <v>8.0635980000000004E-4</v>
      </c>
      <c r="K512">
        <f t="shared" si="22"/>
        <v>1</v>
      </c>
      <c r="L512">
        <f t="shared" si="23"/>
        <v>1</v>
      </c>
      <c r="M512">
        <f t="shared" si="24"/>
        <v>0</v>
      </c>
    </row>
    <row r="513" spans="1:13" x14ac:dyDescent="0.2">
      <c r="A513" t="s">
        <v>2347</v>
      </c>
      <c r="B513" t="s">
        <v>2894</v>
      </c>
      <c r="C513" t="s">
        <v>2898</v>
      </c>
      <c r="D513" t="s">
        <v>923</v>
      </c>
      <c r="E513" t="s">
        <v>924</v>
      </c>
      <c r="F513" t="s">
        <v>13</v>
      </c>
      <c r="G513" t="s">
        <v>14</v>
      </c>
      <c r="H513">
        <v>0.99950176000000002</v>
      </c>
      <c r="I513">
        <v>0.99999994000000003</v>
      </c>
      <c r="J513">
        <v>0.99930596000000005</v>
      </c>
      <c r="K513">
        <f t="shared" si="22"/>
        <v>1</v>
      </c>
      <c r="L513">
        <f t="shared" si="23"/>
        <v>1</v>
      </c>
      <c r="M513">
        <f t="shared" si="24"/>
        <v>1</v>
      </c>
    </row>
    <row r="514" spans="1:13" x14ac:dyDescent="0.2">
      <c r="A514" t="s">
        <v>2348</v>
      </c>
      <c r="B514" t="s">
        <v>2894</v>
      </c>
      <c r="C514" t="s">
        <v>2898</v>
      </c>
      <c r="D514" t="s">
        <v>925</v>
      </c>
      <c r="E514" t="s">
        <v>360</v>
      </c>
      <c r="F514" t="s">
        <v>9</v>
      </c>
      <c r="G514" t="s">
        <v>65</v>
      </c>
      <c r="H514">
        <v>3.363043E-3</v>
      </c>
      <c r="I514">
        <v>0.99999994000000003</v>
      </c>
      <c r="J514" s="1">
        <v>1.0630782E-7</v>
      </c>
      <c r="K514">
        <f t="shared" si="22"/>
        <v>0</v>
      </c>
      <c r="L514">
        <f t="shared" si="23"/>
        <v>1</v>
      </c>
      <c r="M514">
        <f t="shared" si="24"/>
        <v>0</v>
      </c>
    </row>
    <row r="515" spans="1:13" x14ac:dyDescent="0.2">
      <c r="A515" t="s">
        <v>2349</v>
      </c>
      <c r="B515" t="s">
        <v>2894</v>
      </c>
      <c r="C515" t="s">
        <v>2898</v>
      </c>
      <c r="D515" t="s">
        <v>926</v>
      </c>
      <c r="E515" t="s">
        <v>304</v>
      </c>
      <c r="F515" t="s">
        <v>13</v>
      </c>
      <c r="G515" t="s">
        <v>14</v>
      </c>
      <c r="H515">
        <v>0.99998575000000001</v>
      </c>
      <c r="I515">
        <v>0.99999875000000005</v>
      </c>
      <c r="J515">
        <v>0.97496859999999996</v>
      </c>
      <c r="K515">
        <f t="shared" ref="K515:K578" si="25">IF(H515&gt;=0.5,1,0)</f>
        <v>1</v>
      </c>
      <c r="L515">
        <f t="shared" ref="L515:L578" si="26">IF(I515&gt;=0.5,1,0)</f>
        <v>1</v>
      </c>
      <c r="M515">
        <f t="shared" ref="M515:M578" si="27">IF(J515&gt;=0.5,1,0)</f>
        <v>1</v>
      </c>
    </row>
    <row r="516" spans="1:13" x14ac:dyDescent="0.2">
      <c r="A516" t="s">
        <v>2350</v>
      </c>
      <c r="B516" t="s">
        <v>2894</v>
      </c>
      <c r="C516" t="s">
        <v>2898</v>
      </c>
      <c r="D516" t="s">
        <v>927</v>
      </c>
      <c r="E516" t="s">
        <v>928</v>
      </c>
      <c r="F516" t="s">
        <v>9</v>
      </c>
      <c r="G516" t="s">
        <v>65</v>
      </c>
      <c r="H516">
        <v>0.50943470000000002</v>
      </c>
      <c r="I516" s="1">
        <v>3.5014269999999998E-7</v>
      </c>
      <c r="J516" s="1">
        <v>1.4512824999999999E-8</v>
      </c>
      <c r="K516">
        <f t="shared" si="25"/>
        <v>1</v>
      </c>
      <c r="L516">
        <f t="shared" si="26"/>
        <v>0</v>
      </c>
      <c r="M516">
        <f t="shared" si="27"/>
        <v>0</v>
      </c>
    </row>
    <row r="517" spans="1:13" x14ac:dyDescent="0.2">
      <c r="A517" t="s">
        <v>2351</v>
      </c>
      <c r="B517" t="s">
        <v>2894</v>
      </c>
      <c r="C517" t="s">
        <v>2898</v>
      </c>
      <c r="D517" t="s">
        <v>929</v>
      </c>
      <c r="E517" t="s">
        <v>930</v>
      </c>
      <c r="F517" t="s">
        <v>9</v>
      </c>
      <c r="G517" t="s">
        <v>65</v>
      </c>
      <c r="H517">
        <v>0.99563880000000005</v>
      </c>
      <c r="I517" s="1">
        <v>3.0813180000000001E-7</v>
      </c>
      <c r="J517" s="1">
        <v>1.2238972E-10</v>
      </c>
      <c r="K517">
        <f t="shared" si="25"/>
        <v>1</v>
      </c>
      <c r="L517">
        <f t="shared" si="26"/>
        <v>0</v>
      </c>
      <c r="M517">
        <f t="shared" si="27"/>
        <v>0</v>
      </c>
    </row>
    <row r="518" spans="1:13" x14ac:dyDescent="0.2">
      <c r="A518" t="s">
        <v>2352</v>
      </c>
      <c r="B518" t="s">
        <v>2894</v>
      </c>
      <c r="C518" t="s">
        <v>2898</v>
      </c>
      <c r="D518" t="s">
        <v>931</v>
      </c>
      <c r="E518" t="s">
        <v>932</v>
      </c>
      <c r="F518" t="s">
        <v>17</v>
      </c>
      <c r="G518" t="s">
        <v>10</v>
      </c>
      <c r="H518">
        <v>0.6659699</v>
      </c>
      <c r="I518">
        <v>0.99999994000000003</v>
      </c>
      <c r="J518">
        <v>0.82800335000000003</v>
      </c>
      <c r="K518">
        <f t="shared" si="25"/>
        <v>1</v>
      </c>
      <c r="L518">
        <f t="shared" si="26"/>
        <v>1</v>
      </c>
      <c r="M518">
        <f t="shared" si="27"/>
        <v>1</v>
      </c>
    </row>
    <row r="519" spans="1:13" x14ac:dyDescent="0.2">
      <c r="A519" t="s">
        <v>2353</v>
      </c>
      <c r="B519" t="s">
        <v>2894</v>
      </c>
      <c r="C519" t="s">
        <v>2898</v>
      </c>
      <c r="D519" t="s">
        <v>933</v>
      </c>
      <c r="E519" t="s">
        <v>934</v>
      </c>
      <c r="F519" t="s">
        <v>9</v>
      </c>
      <c r="G519" t="s">
        <v>14</v>
      </c>
      <c r="H519">
        <v>0.99998430000000005</v>
      </c>
      <c r="I519">
        <v>0.99999994000000003</v>
      </c>
      <c r="J519">
        <v>0.27802680000000002</v>
      </c>
      <c r="K519">
        <f t="shared" si="25"/>
        <v>1</v>
      </c>
      <c r="L519">
        <f t="shared" si="26"/>
        <v>1</v>
      </c>
      <c r="M519">
        <f t="shared" si="27"/>
        <v>0</v>
      </c>
    </row>
    <row r="520" spans="1:13" x14ac:dyDescent="0.2">
      <c r="A520" t="s">
        <v>2354</v>
      </c>
      <c r="B520" t="s">
        <v>2894</v>
      </c>
      <c r="C520" t="s">
        <v>2898</v>
      </c>
      <c r="D520" t="s">
        <v>935</v>
      </c>
      <c r="E520" t="s">
        <v>936</v>
      </c>
      <c r="F520" t="s">
        <v>13</v>
      </c>
      <c r="G520" t="s">
        <v>14</v>
      </c>
      <c r="H520">
        <v>0.99988670000000002</v>
      </c>
      <c r="I520">
        <v>0.99999859999999996</v>
      </c>
      <c r="J520">
        <v>1.8143075E-3</v>
      </c>
      <c r="K520">
        <f t="shared" si="25"/>
        <v>1</v>
      </c>
      <c r="L520">
        <f t="shared" si="26"/>
        <v>1</v>
      </c>
      <c r="M520">
        <f t="shared" si="27"/>
        <v>0</v>
      </c>
    </row>
    <row r="521" spans="1:13" x14ac:dyDescent="0.2">
      <c r="A521" t="s">
        <v>2355</v>
      </c>
      <c r="B521" t="s">
        <v>2894</v>
      </c>
      <c r="C521" t="s">
        <v>2898</v>
      </c>
      <c r="D521" t="s">
        <v>937</v>
      </c>
      <c r="E521" t="s">
        <v>634</v>
      </c>
      <c r="F521" t="s">
        <v>9</v>
      </c>
      <c r="G521" t="s">
        <v>10</v>
      </c>
      <c r="H521">
        <v>5.261216E-3</v>
      </c>
      <c r="I521" s="1">
        <v>3.9501170000000004E-6</v>
      </c>
      <c r="J521">
        <v>0.97680736000000001</v>
      </c>
      <c r="K521">
        <f t="shared" si="25"/>
        <v>0</v>
      </c>
      <c r="L521">
        <f t="shared" si="26"/>
        <v>0</v>
      </c>
      <c r="M521">
        <f t="shared" si="27"/>
        <v>1</v>
      </c>
    </row>
    <row r="522" spans="1:13" x14ac:dyDescent="0.2">
      <c r="A522" t="s">
        <v>2356</v>
      </c>
      <c r="B522" t="s">
        <v>2894</v>
      </c>
      <c r="C522" t="s">
        <v>2898</v>
      </c>
      <c r="D522" t="s">
        <v>938</v>
      </c>
      <c r="E522" t="s">
        <v>939</v>
      </c>
      <c r="F522" t="s">
        <v>13</v>
      </c>
      <c r="G522" t="s">
        <v>14</v>
      </c>
      <c r="H522">
        <v>0.99999934000000001</v>
      </c>
      <c r="I522">
        <v>0.9999787</v>
      </c>
      <c r="J522">
        <v>0.93476652999999998</v>
      </c>
      <c r="K522">
        <f t="shared" si="25"/>
        <v>1</v>
      </c>
      <c r="L522">
        <f t="shared" si="26"/>
        <v>1</v>
      </c>
      <c r="M522">
        <f t="shared" si="27"/>
        <v>1</v>
      </c>
    </row>
    <row r="523" spans="1:13" x14ac:dyDescent="0.2">
      <c r="A523" t="s">
        <v>2357</v>
      </c>
      <c r="B523" t="s">
        <v>2894</v>
      </c>
      <c r="C523" t="s">
        <v>2898</v>
      </c>
      <c r="D523" t="s">
        <v>940</v>
      </c>
      <c r="E523" t="s">
        <v>941</v>
      </c>
      <c r="F523" t="s">
        <v>17</v>
      </c>
      <c r="G523" t="s">
        <v>14</v>
      </c>
      <c r="H523">
        <v>0.99994713000000002</v>
      </c>
      <c r="I523">
        <v>0.99999994000000003</v>
      </c>
      <c r="J523">
        <v>0.99976489999999996</v>
      </c>
      <c r="K523">
        <f t="shared" si="25"/>
        <v>1</v>
      </c>
      <c r="L523">
        <f t="shared" si="26"/>
        <v>1</v>
      </c>
      <c r="M523">
        <f t="shared" si="27"/>
        <v>1</v>
      </c>
    </row>
    <row r="524" spans="1:13" x14ac:dyDescent="0.2">
      <c r="A524" t="s">
        <v>2358</v>
      </c>
      <c r="B524" t="s">
        <v>2894</v>
      </c>
      <c r="C524" t="s">
        <v>2898</v>
      </c>
      <c r="D524" t="s">
        <v>942</v>
      </c>
      <c r="E524" t="s">
        <v>128</v>
      </c>
      <c r="F524" t="s">
        <v>13</v>
      </c>
      <c r="G524" t="s">
        <v>14</v>
      </c>
      <c r="H524">
        <v>0.99833209999999994</v>
      </c>
      <c r="I524">
        <v>0.9999903</v>
      </c>
      <c r="J524">
        <v>0.98787429999999998</v>
      </c>
      <c r="K524">
        <f t="shared" si="25"/>
        <v>1</v>
      </c>
      <c r="L524">
        <f t="shared" si="26"/>
        <v>1</v>
      </c>
      <c r="M524">
        <f t="shared" si="27"/>
        <v>1</v>
      </c>
    </row>
    <row r="525" spans="1:13" x14ac:dyDescent="0.2">
      <c r="A525" t="s">
        <v>2359</v>
      </c>
      <c r="B525" t="s">
        <v>2894</v>
      </c>
      <c r="C525" t="s">
        <v>2898</v>
      </c>
      <c r="D525" t="s">
        <v>943</v>
      </c>
      <c r="E525" t="s">
        <v>944</v>
      </c>
      <c r="F525" t="s">
        <v>9</v>
      </c>
      <c r="G525" t="s">
        <v>14</v>
      </c>
      <c r="H525">
        <v>0.99999959999999999</v>
      </c>
      <c r="I525">
        <v>0.99999994000000003</v>
      </c>
      <c r="J525">
        <v>0.99908719999999995</v>
      </c>
      <c r="K525">
        <f t="shared" si="25"/>
        <v>1</v>
      </c>
      <c r="L525">
        <f t="shared" si="26"/>
        <v>1</v>
      </c>
      <c r="M525">
        <f t="shared" si="27"/>
        <v>1</v>
      </c>
    </row>
    <row r="526" spans="1:13" x14ac:dyDescent="0.2">
      <c r="A526" t="s">
        <v>2360</v>
      </c>
      <c r="B526" t="s">
        <v>2894</v>
      </c>
      <c r="C526" t="s">
        <v>2898</v>
      </c>
      <c r="D526" t="s">
        <v>945</v>
      </c>
      <c r="E526" t="s">
        <v>946</v>
      </c>
      <c r="F526" t="s">
        <v>9</v>
      </c>
      <c r="G526" t="s">
        <v>65</v>
      </c>
      <c r="H526" s="1">
        <v>8.1934610000000004E-6</v>
      </c>
      <c r="I526" s="1">
        <v>1.0363546499999999E-7</v>
      </c>
      <c r="J526">
        <v>0.90971729999999995</v>
      </c>
      <c r="K526">
        <f t="shared" si="25"/>
        <v>0</v>
      </c>
      <c r="L526">
        <f t="shared" si="26"/>
        <v>0</v>
      </c>
      <c r="M526">
        <f t="shared" si="27"/>
        <v>1</v>
      </c>
    </row>
    <row r="527" spans="1:13" x14ac:dyDescent="0.2">
      <c r="A527" t="s">
        <v>2361</v>
      </c>
      <c r="B527" t="s">
        <v>2894</v>
      </c>
      <c r="C527" t="s">
        <v>2898</v>
      </c>
      <c r="D527" t="s">
        <v>947</v>
      </c>
      <c r="E527" t="s">
        <v>948</v>
      </c>
      <c r="F527" t="s">
        <v>9</v>
      </c>
      <c r="G527" t="s">
        <v>14</v>
      </c>
      <c r="H527">
        <v>0.99999780000000005</v>
      </c>
      <c r="I527">
        <v>0.99999994000000003</v>
      </c>
      <c r="J527">
        <v>0.98366796999999995</v>
      </c>
      <c r="K527">
        <f t="shared" si="25"/>
        <v>1</v>
      </c>
      <c r="L527">
        <f t="shared" si="26"/>
        <v>1</v>
      </c>
      <c r="M527">
        <f t="shared" si="27"/>
        <v>1</v>
      </c>
    </row>
    <row r="528" spans="1:13" x14ac:dyDescent="0.2">
      <c r="A528" t="s">
        <v>2362</v>
      </c>
      <c r="B528" t="s">
        <v>2894</v>
      </c>
      <c r="C528" t="s">
        <v>2898</v>
      </c>
      <c r="D528" t="s">
        <v>949</v>
      </c>
      <c r="E528" t="s">
        <v>950</v>
      </c>
      <c r="F528" t="s">
        <v>9</v>
      </c>
      <c r="G528" t="s">
        <v>14</v>
      </c>
      <c r="H528">
        <v>0.99999994000000003</v>
      </c>
      <c r="I528">
        <v>0.99999859999999996</v>
      </c>
      <c r="J528">
        <v>0.19013938</v>
      </c>
      <c r="K528">
        <f t="shared" si="25"/>
        <v>1</v>
      </c>
      <c r="L528">
        <f t="shared" si="26"/>
        <v>1</v>
      </c>
      <c r="M528">
        <f t="shared" si="27"/>
        <v>0</v>
      </c>
    </row>
    <row r="529" spans="1:13" x14ac:dyDescent="0.2">
      <c r="A529" t="s">
        <v>2363</v>
      </c>
      <c r="B529" t="s">
        <v>2894</v>
      </c>
      <c r="C529" t="s">
        <v>2898</v>
      </c>
      <c r="D529" t="s">
        <v>951</v>
      </c>
      <c r="E529" t="s">
        <v>147</v>
      </c>
      <c r="F529" t="s">
        <v>13</v>
      </c>
      <c r="G529" t="s">
        <v>14</v>
      </c>
      <c r="H529">
        <v>0.99995809999999996</v>
      </c>
      <c r="I529">
        <v>0.99933510000000003</v>
      </c>
      <c r="J529">
        <v>0.98197299999999998</v>
      </c>
      <c r="K529">
        <f t="shared" si="25"/>
        <v>1</v>
      </c>
      <c r="L529">
        <f t="shared" si="26"/>
        <v>1</v>
      </c>
      <c r="M529">
        <f t="shared" si="27"/>
        <v>1</v>
      </c>
    </row>
    <row r="530" spans="1:13" x14ac:dyDescent="0.2">
      <c r="A530" t="s">
        <v>2364</v>
      </c>
      <c r="B530" t="s">
        <v>2894</v>
      </c>
      <c r="C530" t="s">
        <v>2898</v>
      </c>
      <c r="D530" t="s">
        <v>952</v>
      </c>
      <c r="E530" t="s">
        <v>953</v>
      </c>
      <c r="F530" t="s">
        <v>9</v>
      </c>
      <c r="G530" t="s">
        <v>10</v>
      </c>
      <c r="H530">
        <v>0.96064775999999996</v>
      </c>
      <c r="I530">
        <v>0.99999994000000003</v>
      </c>
      <c r="J530">
        <v>0.52676153000000003</v>
      </c>
      <c r="K530">
        <f t="shared" si="25"/>
        <v>1</v>
      </c>
      <c r="L530">
        <f t="shared" si="26"/>
        <v>1</v>
      </c>
      <c r="M530">
        <f t="shared" si="27"/>
        <v>1</v>
      </c>
    </row>
    <row r="531" spans="1:13" x14ac:dyDescent="0.2">
      <c r="A531" t="s">
        <v>2365</v>
      </c>
      <c r="B531" t="s">
        <v>2894</v>
      </c>
      <c r="C531" t="s">
        <v>2898</v>
      </c>
      <c r="D531" t="s">
        <v>954</v>
      </c>
      <c r="E531" t="s">
        <v>128</v>
      </c>
      <c r="F531" t="s">
        <v>13</v>
      </c>
      <c r="G531" t="s">
        <v>14</v>
      </c>
      <c r="H531">
        <v>0.98123956000000001</v>
      </c>
      <c r="I531">
        <v>0.9999903</v>
      </c>
      <c r="J531">
        <v>0.80385655</v>
      </c>
      <c r="K531">
        <f t="shared" si="25"/>
        <v>1</v>
      </c>
      <c r="L531">
        <f t="shared" si="26"/>
        <v>1</v>
      </c>
      <c r="M531">
        <f t="shared" si="27"/>
        <v>1</v>
      </c>
    </row>
    <row r="532" spans="1:13" x14ac:dyDescent="0.2">
      <c r="A532" t="s">
        <v>2366</v>
      </c>
      <c r="B532" t="s">
        <v>2894</v>
      </c>
      <c r="C532" t="s">
        <v>2898</v>
      </c>
      <c r="D532" t="s">
        <v>955</v>
      </c>
      <c r="E532" t="s">
        <v>956</v>
      </c>
      <c r="F532" t="s">
        <v>9</v>
      </c>
      <c r="G532" t="s">
        <v>14</v>
      </c>
      <c r="H532" s="1">
        <v>1.2558383E-9</v>
      </c>
      <c r="I532">
        <v>0.99999994000000003</v>
      </c>
      <c r="J532">
        <v>1.6300900000000001E-3</v>
      </c>
      <c r="K532">
        <f t="shared" si="25"/>
        <v>0</v>
      </c>
      <c r="L532">
        <f t="shared" si="26"/>
        <v>1</v>
      </c>
      <c r="M532">
        <f t="shared" si="27"/>
        <v>0</v>
      </c>
    </row>
    <row r="533" spans="1:13" x14ac:dyDescent="0.2">
      <c r="A533" t="s">
        <v>2367</v>
      </c>
      <c r="B533" t="s">
        <v>2894</v>
      </c>
      <c r="C533" t="s">
        <v>2898</v>
      </c>
      <c r="D533" t="s">
        <v>957</v>
      </c>
      <c r="E533" t="s">
        <v>958</v>
      </c>
      <c r="F533" t="s">
        <v>9</v>
      </c>
      <c r="G533" t="s">
        <v>14</v>
      </c>
      <c r="H533">
        <v>0.99526733000000001</v>
      </c>
      <c r="I533">
        <v>0.98461739999999998</v>
      </c>
      <c r="J533">
        <v>0.1542154</v>
      </c>
      <c r="K533">
        <f t="shared" si="25"/>
        <v>1</v>
      </c>
      <c r="L533">
        <f t="shared" si="26"/>
        <v>1</v>
      </c>
      <c r="M533">
        <f t="shared" si="27"/>
        <v>0</v>
      </c>
    </row>
    <row r="534" spans="1:13" x14ac:dyDescent="0.2">
      <c r="A534" t="s">
        <v>2368</v>
      </c>
      <c r="B534" t="s">
        <v>2894</v>
      </c>
      <c r="C534" t="s">
        <v>2898</v>
      </c>
      <c r="D534" t="s">
        <v>959</v>
      </c>
      <c r="E534" t="s">
        <v>892</v>
      </c>
      <c r="F534" t="s">
        <v>9</v>
      </c>
      <c r="G534" t="s">
        <v>45</v>
      </c>
      <c r="H534">
        <v>6.0663284000000003E-3</v>
      </c>
      <c r="I534" s="1">
        <v>7.2599790000000002E-7</v>
      </c>
      <c r="J534">
        <v>2.7017145999999998E-3</v>
      </c>
      <c r="K534">
        <f t="shared" si="25"/>
        <v>0</v>
      </c>
      <c r="L534">
        <f t="shared" si="26"/>
        <v>0</v>
      </c>
      <c r="M534">
        <f t="shared" si="27"/>
        <v>0</v>
      </c>
    </row>
    <row r="535" spans="1:13" x14ac:dyDescent="0.2">
      <c r="A535" t="s">
        <v>2369</v>
      </c>
      <c r="B535" t="s">
        <v>2894</v>
      </c>
      <c r="C535" t="s">
        <v>2898</v>
      </c>
      <c r="D535" t="s">
        <v>960</v>
      </c>
      <c r="E535" t="s">
        <v>961</v>
      </c>
      <c r="F535" t="s">
        <v>9</v>
      </c>
      <c r="G535" t="s">
        <v>14</v>
      </c>
      <c r="H535">
        <v>0.99997466999999995</v>
      </c>
      <c r="I535">
        <v>0.99999994000000003</v>
      </c>
      <c r="J535">
        <v>0.99999839999999995</v>
      </c>
      <c r="K535">
        <f t="shared" si="25"/>
        <v>1</v>
      </c>
      <c r="L535">
        <f t="shared" si="26"/>
        <v>1</v>
      </c>
      <c r="M535">
        <f t="shared" si="27"/>
        <v>1</v>
      </c>
    </row>
    <row r="536" spans="1:13" x14ac:dyDescent="0.2">
      <c r="A536" t="s">
        <v>2370</v>
      </c>
      <c r="B536" t="s">
        <v>2894</v>
      </c>
      <c r="C536" t="s">
        <v>2898</v>
      </c>
      <c r="D536" t="s">
        <v>962</v>
      </c>
      <c r="E536" t="s">
        <v>963</v>
      </c>
      <c r="F536" t="s">
        <v>13</v>
      </c>
      <c r="G536" t="s">
        <v>14</v>
      </c>
      <c r="H536">
        <v>0.99999994000000003</v>
      </c>
      <c r="I536">
        <v>0.99999970000000005</v>
      </c>
      <c r="J536">
        <v>0.99972830000000001</v>
      </c>
      <c r="K536">
        <f t="shared" si="25"/>
        <v>1</v>
      </c>
      <c r="L536">
        <f t="shared" si="26"/>
        <v>1</v>
      </c>
      <c r="M536">
        <f t="shared" si="27"/>
        <v>1</v>
      </c>
    </row>
    <row r="537" spans="1:13" x14ac:dyDescent="0.2">
      <c r="A537" t="s">
        <v>2371</v>
      </c>
      <c r="B537" t="s">
        <v>2894</v>
      </c>
      <c r="C537" t="s">
        <v>2898</v>
      </c>
      <c r="D537" t="s">
        <v>964</v>
      </c>
      <c r="E537" t="s">
        <v>128</v>
      </c>
      <c r="F537" t="s">
        <v>13</v>
      </c>
      <c r="G537" t="s">
        <v>14</v>
      </c>
      <c r="H537">
        <v>0.99998313000000005</v>
      </c>
      <c r="I537">
        <v>0.9999903</v>
      </c>
      <c r="J537">
        <v>0.93868620000000003</v>
      </c>
      <c r="K537">
        <f t="shared" si="25"/>
        <v>1</v>
      </c>
      <c r="L537">
        <f t="shared" si="26"/>
        <v>1</v>
      </c>
      <c r="M537">
        <f t="shared" si="27"/>
        <v>1</v>
      </c>
    </row>
    <row r="538" spans="1:13" x14ac:dyDescent="0.2">
      <c r="A538" t="s">
        <v>2372</v>
      </c>
      <c r="B538" t="s">
        <v>2894</v>
      </c>
      <c r="C538" t="s">
        <v>2898</v>
      </c>
      <c r="D538" t="s">
        <v>965</v>
      </c>
      <c r="E538" t="s">
        <v>966</v>
      </c>
      <c r="F538" t="s">
        <v>9</v>
      </c>
      <c r="G538" t="s">
        <v>65</v>
      </c>
      <c r="H538">
        <v>0.95123296999999996</v>
      </c>
      <c r="I538">
        <v>0.99999994000000003</v>
      </c>
      <c r="J538">
        <v>1.3138863E-4</v>
      </c>
      <c r="K538">
        <f t="shared" si="25"/>
        <v>1</v>
      </c>
      <c r="L538">
        <f t="shared" si="26"/>
        <v>1</v>
      </c>
      <c r="M538">
        <f t="shared" si="27"/>
        <v>0</v>
      </c>
    </row>
    <row r="539" spans="1:13" x14ac:dyDescent="0.2">
      <c r="A539" t="s">
        <v>2373</v>
      </c>
      <c r="B539" t="s">
        <v>2894</v>
      </c>
      <c r="C539" t="s">
        <v>2898</v>
      </c>
      <c r="D539" t="s">
        <v>967</v>
      </c>
      <c r="E539" t="s">
        <v>968</v>
      </c>
      <c r="F539" t="s">
        <v>9</v>
      </c>
      <c r="G539" t="s">
        <v>10</v>
      </c>
      <c r="H539">
        <v>0.99999945999999995</v>
      </c>
      <c r="I539">
        <v>0.99999994000000003</v>
      </c>
      <c r="J539">
        <v>0.99999400000000005</v>
      </c>
      <c r="K539">
        <f t="shared" si="25"/>
        <v>1</v>
      </c>
      <c r="L539">
        <f t="shared" si="26"/>
        <v>1</v>
      </c>
      <c r="M539">
        <f t="shared" si="27"/>
        <v>1</v>
      </c>
    </row>
    <row r="540" spans="1:13" x14ac:dyDescent="0.2">
      <c r="A540" t="s">
        <v>2374</v>
      </c>
      <c r="B540" t="s">
        <v>2894</v>
      </c>
      <c r="C540" t="s">
        <v>2898</v>
      </c>
      <c r="D540" t="s">
        <v>969</v>
      </c>
      <c r="E540" t="s">
        <v>970</v>
      </c>
      <c r="F540" t="s">
        <v>9</v>
      </c>
      <c r="G540" t="s">
        <v>40</v>
      </c>
      <c r="H540">
        <v>0.99999994000000003</v>
      </c>
      <c r="I540">
        <v>0.99999994000000003</v>
      </c>
      <c r="J540">
        <v>0.89677673999999996</v>
      </c>
      <c r="K540">
        <f t="shared" si="25"/>
        <v>1</v>
      </c>
      <c r="L540">
        <f t="shared" si="26"/>
        <v>1</v>
      </c>
      <c r="M540">
        <f t="shared" si="27"/>
        <v>1</v>
      </c>
    </row>
    <row r="541" spans="1:13" x14ac:dyDescent="0.2">
      <c r="A541" t="s">
        <v>2375</v>
      </c>
      <c r="B541" t="s">
        <v>2894</v>
      </c>
      <c r="C541" t="s">
        <v>2898</v>
      </c>
      <c r="D541" t="s">
        <v>971</v>
      </c>
      <c r="E541" t="s">
        <v>972</v>
      </c>
      <c r="F541" t="s">
        <v>9</v>
      </c>
      <c r="G541" t="s">
        <v>14</v>
      </c>
      <c r="H541">
        <v>0.99999945999999995</v>
      </c>
      <c r="I541">
        <v>0.99999994000000003</v>
      </c>
      <c r="J541">
        <v>0.99609583999999995</v>
      </c>
      <c r="K541">
        <f t="shared" si="25"/>
        <v>1</v>
      </c>
      <c r="L541">
        <f t="shared" si="26"/>
        <v>1</v>
      </c>
      <c r="M541">
        <f t="shared" si="27"/>
        <v>1</v>
      </c>
    </row>
    <row r="542" spans="1:13" x14ac:dyDescent="0.2">
      <c r="A542" t="s">
        <v>2376</v>
      </c>
      <c r="B542" t="s">
        <v>2894</v>
      </c>
      <c r="C542" t="s">
        <v>2898</v>
      </c>
      <c r="D542" t="s">
        <v>973</v>
      </c>
      <c r="E542" t="s">
        <v>974</v>
      </c>
      <c r="F542" t="s">
        <v>9</v>
      </c>
      <c r="G542" t="s">
        <v>65</v>
      </c>
      <c r="H542">
        <v>6.3319889999999997E-3</v>
      </c>
      <c r="I542" s="1">
        <v>3.7179281999999998E-6</v>
      </c>
      <c r="J542">
        <v>1.5269157E-3</v>
      </c>
      <c r="K542">
        <f t="shared" si="25"/>
        <v>0</v>
      </c>
      <c r="L542">
        <f t="shared" si="26"/>
        <v>0</v>
      </c>
      <c r="M542">
        <f t="shared" si="27"/>
        <v>0</v>
      </c>
    </row>
    <row r="543" spans="1:13" x14ac:dyDescent="0.2">
      <c r="A543" t="s">
        <v>2377</v>
      </c>
      <c r="B543" t="s">
        <v>2894</v>
      </c>
      <c r="C543" t="s">
        <v>2898</v>
      </c>
      <c r="D543" t="s">
        <v>975</v>
      </c>
      <c r="E543" t="s">
        <v>976</v>
      </c>
      <c r="F543" t="s">
        <v>9</v>
      </c>
      <c r="G543" t="s">
        <v>10</v>
      </c>
      <c r="H543">
        <v>0.99999979999999999</v>
      </c>
      <c r="I543">
        <v>0.99999994000000003</v>
      </c>
      <c r="J543" s="1">
        <v>6.9430476E-5</v>
      </c>
      <c r="K543">
        <f t="shared" si="25"/>
        <v>1</v>
      </c>
      <c r="L543">
        <f t="shared" si="26"/>
        <v>1</v>
      </c>
      <c r="M543">
        <f t="shared" si="27"/>
        <v>0</v>
      </c>
    </row>
    <row r="544" spans="1:13" x14ac:dyDescent="0.2">
      <c r="A544" t="s">
        <v>2378</v>
      </c>
      <c r="B544" t="s">
        <v>2894</v>
      </c>
      <c r="C544" t="s">
        <v>2898</v>
      </c>
      <c r="D544" t="s">
        <v>977</v>
      </c>
      <c r="E544" t="s">
        <v>79</v>
      </c>
      <c r="F544" t="s">
        <v>9</v>
      </c>
      <c r="G544" t="s">
        <v>14</v>
      </c>
      <c r="H544">
        <v>0.84413700000000003</v>
      </c>
      <c r="I544">
        <v>0.99999994000000003</v>
      </c>
      <c r="J544" s="1">
        <v>5.2469463000000001E-11</v>
      </c>
      <c r="K544">
        <f t="shared" si="25"/>
        <v>1</v>
      </c>
      <c r="L544">
        <f t="shared" si="26"/>
        <v>1</v>
      </c>
      <c r="M544">
        <f t="shared" si="27"/>
        <v>0</v>
      </c>
    </row>
    <row r="545" spans="1:13" x14ac:dyDescent="0.2">
      <c r="A545" t="s">
        <v>2379</v>
      </c>
      <c r="B545" t="s">
        <v>2894</v>
      </c>
      <c r="C545" t="s">
        <v>2898</v>
      </c>
      <c r="D545" t="e">
        <f>-VQ-LVESGG-GLVQPGGSLRLSCAASGFNV---------YSSSIH-WVRQ-A-P-G-K--G-LE-WVASISSY-----------YYSTSY--A--D--SV--K---GRFTISA-D---T-S--KN----T-AYLQMNSLRA-EDTAVYYCARSRQFW------------------------YSGLDYWG-QGTLVTVSS</f>
        <v>#NAME?</v>
      </c>
      <c r="E545" t="s">
        <v>978</v>
      </c>
      <c r="F545" t="s">
        <v>13</v>
      </c>
      <c r="G545" t="s">
        <v>14</v>
      </c>
      <c r="H545">
        <v>0.99999970000000005</v>
      </c>
      <c r="I545">
        <v>0.99999899999999997</v>
      </c>
      <c r="J545">
        <v>0.98157030000000001</v>
      </c>
      <c r="K545">
        <f t="shared" si="25"/>
        <v>1</v>
      </c>
      <c r="L545">
        <f t="shared" si="26"/>
        <v>1</v>
      </c>
      <c r="M545">
        <f t="shared" si="27"/>
        <v>1</v>
      </c>
    </row>
    <row r="546" spans="1:13" x14ac:dyDescent="0.2">
      <c r="A546" t="s">
        <v>2380</v>
      </c>
      <c r="B546" t="s">
        <v>2894</v>
      </c>
      <c r="C546" t="s">
        <v>2898</v>
      </c>
      <c r="D546" t="s">
        <v>979</v>
      </c>
      <c r="E546" t="s">
        <v>953</v>
      </c>
      <c r="F546" t="s">
        <v>9</v>
      </c>
      <c r="G546" t="s">
        <v>10</v>
      </c>
      <c r="H546">
        <v>0.45578972000000001</v>
      </c>
      <c r="I546">
        <v>0.99999994000000003</v>
      </c>
      <c r="J546">
        <v>9.0984619999999999E-3</v>
      </c>
      <c r="K546">
        <f t="shared" si="25"/>
        <v>0</v>
      </c>
      <c r="L546">
        <f t="shared" si="26"/>
        <v>1</v>
      </c>
      <c r="M546">
        <f t="shared" si="27"/>
        <v>0</v>
      </c>
    </row>
    <row r="547" spans="1:13" x14ac:dyDescent="0.2">
      <c r="A547" t="s">
        <v>2381</v>
      </c>
      <c r="B547" t="s">
        <v>2894</v>
      </c>
      <c r="C547" t="s">
        <v>2898</v>
      </c>
      <c r="D547" t="s">
        <v>980</v>
      </c>
      <c r="E547" t="s">
        <v>981</v>
      </c>
      <c r="F547" t="s">
        <v>9</v>
      </c>
      <c r="G547" t="s">
        <v>14</v>
      </c>
      <c r="H547" s="1">
        <v>4.6931728999999999E-7</v>
      </c>
      <c r="I547">
        <v>0.99999386000000001</v>
      </c>
      <c r="J547" s="1">
        <v>5.6096595999999998E-6</v>
      </c>
      <c r="K547">
        <f t="shared" si="25"/>
        <v>0</v>
      </c>
      <c r="L547">
        <f t="shared" si="26"/>
        <v>1</v>
      </c>
      <c r="M547">
        <f t="shared" si="27"/>
        <v>0</v>
      </c>
    </row>
    <row r="548" spans="1:13" x14ac:dyDescent="0.2">
      <c r="A548" t="s">
        <v>2382</v>
      </c>
      <c r="B548" t="s">
        <v>2894</v>
      </c>
      <c r="C548" t="s">
        <v>2898</v>
      </c>
      <c r="D548" t="e">
        <f>-VQ-LVESGG-GLVQPGGSLRLSCAASGFNV---------YSSSIH-WVRQ-A-P-G-K--G-LE-WVASISSY-----------YGYTYY--A--D--SV--K---GRFTISA-D---T-S--KN----T-AYLQMNSLRA-EDTAVYYCARSRQFW------------------------YSGLDYWG-QGTLVTVSS</f>
        <v>#NAME?</v>
      </c>
      <c r="E548" t="s">
        <v>147</v>
      </c>
      <c r="F548" t="s">
        <v>13</v>
      </c>
      <c r="G548" t="s">
        <v>14</v>
      </c>
      <c r="H548">
        <v>0.99999802999999998</v>
      </c>
      <c r="I548">
        <v>0.99933510000000003</v>
      </c>
      <c r="J548">
        <v>0.99719329999999995</v>
      </c>
      <c r="K548">
        <f t="shared" si="25"/>
        <v>1</v>
      </c>
      <c r="L548">
        <f t="shared" si="26"/>
        <v>1</v>
      </c>
      <c r="M548">
        <f t="shared" si="27"/>
        <v>1</v>
      </c>
    </row>
    <row r="549" spans="1:13" x14ac:dyDescent="0.2">
      <c r="A549" t="s">
        <v>2383</v>
      </c>
      <c r="B549" t="s">
        <v>2894</v>
      </c>
      <c r="C549" t="s">
        <v>2898</v>
      </c>
      <c r="D549" t="s">
        <v>982</v>
      </c>
      <c r="E549" t="s">
        <v>983</v>
      </c>
      <c r="F549" t="s">
        <v>17</v>
      </c>
      <c r="G549" t="s">
        <v>14</v>
      </c>
      <c r="H549">
        <v>0.99999994000000003</v>
      </c>
      <c r="I549">
        <v>0.99999994000000003</v>
      </c>
      <c r="J549">
        <v>0.99588489999999996</v>
      </c>
      <c r="K549">
        <f t="shared" si="25"/>
        <v>1</v>
      </c>
      <c r="L549">
        <f t="shared" si="26"/>
        <v>1</v>
      </c>
      <c r="M549">
        <f t="shared" si="27"/>
        <v>1</v>
      </c>
    </row>
    <row r="550" spans="1:13" x14ac:dyDescent="0.2">
      <c r="A550" t="s">
        <v>2384</v>
      </c>
      <c r="B550" t="s">
        <v>2894</v>
      </c>
      <c r="C550" t="s">
        <v>2898</v>
      </c>
      <c r="D550" t="s">
        <v>984</v>
      </c>
      <c r="E550" t="s">
        <v>503</v>
      </c>
      <c r="F550" t="s">
        <v>13</v>
      </c>
      <c r="G550" t="s">
        <v>14</v>
      </c>
      <c r="H550">
        <v>0.99997884000000004</v>
      </c>
      <c r="I550">
        <v>0.99999590000000005</v>
      </c>
      <c r="J550" s="1">
        <v>2.2335125000000001E-7</v>
      </c>
      <c r="K550">
        <f t="shared" si="25"/>
        <v>1</v>
      </c>
      <c r="L550">
        <f t="shared" si="26"/>
        <v>1</v>
      </c>
      <c r="M550">
        <f t="shared" si="27"/>
        <v>0</v>
      </c>
    </row>
    <row r="551" spans="1:13" x14ac:dyDescent="0.2">
      <c r="A551" t="s">
        <v>2385</v>
      </c>
      <c r="B551" t="s">
        <v>2894</v>
      </c>
      <c r="C551" t="s">
        <v>2898</v>
      </c>
      <c r="D551" t="s">
        <v>985</v>
      </c>
      <c r="E551" t="s">
        <v>986</v>
      </c>
      <c r="F551" t="s">
        <v>17</v>
      </c>
      <c r="G551" t="s">
        <v>40</v>
      </c>
      <c r="H551">
        <v>0.99999979999999999</v>
      </c>
      <c r="I551">
        <v>0.99999994000000003</v>
      </c>
      <c r="J551">
        <v>0.17056799</v>
      </c>
      <c r="K551">
        <f t="shared" si="25"/>
        <v>1</v>
      </c>
      <c r="L551">
        <f t="shared" si="26"/>
        <v>1</v>
      </c>
      <c r="M551">
        <f t="shared" si="27"/>
        <v>0</v>
      </c>
    </row>
    <row r="552" spans="1:13" x14ac:dyDescent="0.2">
      <c r="A552" t="s">
        <v>2386</v>
      </c>
      <c r="B552" t="s">
        <v>2895</v>
      </c>
      <c r="C552" t="s">
        <v>2898</v>
      </c>
      <c r="D552" t="s">
        <v>987</v>
      </c>
      <c r="E552" t="s">
        <v>988</v>
      </c>
      <c r="F552" t="s">
        <v>9</v>
      </c>
      <c r="G552" t="s">
        <v>65</v>
      </c>
      <c r="H552">
        <v>0.80073700000000003</v>
      </c>
      <c r="I552" s="1">
        <v>1.6166158000000001E-8</v>
      </c>
      <c r="J552" s="1">
        <v>5.1370429999999996E-9</v>
      </c>
      <c r="K552">
        <f t="shared" si="25"/>
        <v>1</v>
      </c>
      <c r="L552">
        <f t="shared" si="26"/>
        <v>0</v>
      </c>
      <c r="M552">
        <f t="shared" si="27"/>
        <v>0</v>
      </c>
    </row>
    <row r="553" spans="1:13" x14ac:dyDescent="0.2">
      <c r="A553" t="s">
        <v>2387</v>
      </c>
      <c r="B553" t="s">
        <v>2895</v>
      </c>
      <c r="C553" t="s">
        <v>2898</v>
      </c>
      <c r="D553" t="s">
        <v>989</v>
      </c>
      <c r="E553" t="s">
        <v>990</v>
      </c>
      <c r="F553" t="s">
        <v>13</v>
      </c>
      <c r="G553" t="s">
        <v>40</v>
      </c>
      <c r="H553">
        <v>0.99995785999999998</v>
      </c>
      <c r="I553" s="1">
        <v>4.5987240000000001E-9</v>
      </c>
      <c r="J553" s="1">
        <v>1.0681981999999999E-11</v>
      </c>
      <c r="K553">
        <f t="shared" si="25"/>
        <v>1</v>
      </c>
      <c r="L553">
        <f t="shared" si="26"/>
        <v>0</v>
      </c>
      <c r="M553">
        <f t="shared" si="27"/>
        <v>0</v>
      </c>
    </row>
    <row r="554" spans="1:13" x14ac:dyDescent="0.2">
      <c r="A554" t="s">
        <v>2388</v>
      </c>
      <c r="B554" t="s">
        <v>2895</v>
      </c>
      <c r="C554" t="s">
        <v>2898</v>
      </c>
      <c r="D554" t="s">
        <v>991</v>
      </c>
      <c r="E554" t="s">
        <v>992</v>
      </c>
      <c r="F554" t="s">
        <v>9</v>
      </c>
      <c r="G554" t="s">
        <v>14</v>
      </c>
      <c r="H554">
        <v>0.96180449999999995</v>
      </c>
      <c r="I554">
        <v>0.99999994000000003</v>
      </c>
      <c r="J554">
        <v>0.99999945999999995</v>
      </c>
      <c r="K554">
        <f t="shared" si="25"/>
        <v>1</v>
      </c>
      <c r="L554">
        <f t="shared" si="26"/>
        <v>1</v>
      </c>
      <c r="M554">
        <f t="shared" si="27"/>
        <v>1</v>
      </c>
    </row>
    <row r="555" spans="1:13" x14ac:dyDescent="0.2">
      <c r="A555" t="s">
        <v>2389</v>
      </c>
      <c r="B555" t="s">
        <v>2895</v>
      </c>
      <c r="C555" t="s">
        <v>2898</v>
      </c>
      <c r="D555" t="s">
        <v>993</v>
      </c>
      <c r="E555" t="s">
        <v>128</v>
      </c>
      <c r="F555" t="s">
        <v>13</v>
      </c>
      <c r="G555" t="s">
        <v>14</v>
      </c>
      <c r="H555">
        <v>0.99995345000000002</v>
      </c>
      <c r="I555">
        <v>0.9999903</v>
      </c>
      <c r="J555">
        <v>6.1161050000000002E-4</v>
      </c>
      <c r="K555">
        <f t="shared" si="25"/>
        <v>1</v>
      </c>
      <c r="L555">
        <f t="shared" si="26"/>
        <v>1</v>
      </c>
      <c r="M555">
        <f t="shared" si="27"/>
        <v>0</v>
      </c>
    </row>
    <row r="556" spans="1:13" x14ac:dyDescent="0.2">
      <c r="A556" t="s">
        <v>2390</v>
      </c>
      <c r="B556" t="s">
        <v>2895</v>
      </c>
      <c r="C556" t="s">
        <v>2898</v>
      </c>
      <c r="D556" t="s">
        <v>994</v>
      </c>
      <c r="E556" t="s">
        <v>128</v>
      </c>
      <c r="F556" t="s">
        <v>13</v>
      </c>
      <c r="G556" t="s">
        <v>14</v>
      </c>
      <c r="H556">
        <v>0.99988189999999999</v>
      </c>
      <c r="I556">
        <v>0.9999903</v>
      </c>
      <c r="J556">
        <v>0.91808175999999997</v>
      </c>
      <c r="K556">
        <f t="shared" si="25"/>
        <v>1</v>
      </c>
      <c r="L556">
        <f t="shared" si="26"/>
        <v>1</v>
      </c>
      <c r="M556">
        <f t="shared" si="27"/>
        <v>1</v>
      </c>
    </row>
    <row r="557" spans="1:13" x14ac:dyDescent="0.2">
      <c r="A557" t="s">
        <v>2391</v>
      </c>
      <c r="B557" t="s">
        <v>2895</v>
      </c>
      <c r="C557" t="s">
        <v>2898</v>
      </c>
      <c r="D557" t="s">
        <v>995</v>
      </c>
      <c r="E557" t="s">
        <v>996</v>
      </c>
      <c r="F557" t="s">
        <v>9</v>
      </c>
      <c r="G557" t="s">
        <v>14</v>
      </c>
      <c r="H557" s="1">
        <v>1.9549528999999999E-5</v>
      </c>
      <c r="I557">
        <v>0.82465710000000003</v>
      </c>
      <c r="J557">
        <v>8.3097179999999996E-4</v>
      </c>
      <c r="K557">
        <f t="shared" si="25"/>
        <v>0</v>
      </c>
      <c r="L557">
        <f t="shared" si="26"/>
        <v>1</v>
      </c>
      <c r="M557">
        <f t="shared" si="27"/>
        <v>0</v>
      </c>
    </row>
    <row r="558" spans="1:13" x14ac:dyDescent="0.2">
      <c r="A558" t="s">
        <v>2392</v>
      </c>
      <c r="B558" t="s">
        <v>2895</v>
      </c>
      <c r="C558" t="s">
        <v>2898</v>
      </c>
      <c r="D558" t="s">
        <v>997</v>
      </c>
      <c r="E558" t="s">
        <v>128</v>
      </c>
      <c r="F558" t="s">
        <v>13</v>
      </c>
      <c r="G558" t="s">
        <v>14</v>
      </c>
      <c r="H558">
        <v>0.99999623999999998</v>
      </c>
      <c r="I558">
        <v>0.9999903</v>
      </c>
      <c r="J558">
        <v>0.9581769</v>
      </c>
      <c r="K558">
        <f t="shared" si="25"/>
        <v>1</v>
      </c>
      <c r="L558">
        <f t="shared" si="26"/>
        <v>1</v>
      </c>
      <c r="M558">
        <f t="shared" si="27"/>
        <v>1</v>
      </c>
    </row>
    <row r="559" spans="1:13" x14ac:dyDescent="0.2">
      <c r="A559" t="s">
        <v>2393</v>
      </c>
      <c r="B559" t="s">
        <v>2895</v>
      </c>
      <c r="C559" t="s">
        <v>2898</v>
      </c>
      <c r="D559" t="s">
        <v>998</v>
      </c>
      <c r="E559" t="s">
        <v>999</v>
      </c>
      <c r="F559" t="s">
        <v>13</v>
      </c>
      <c r="G559" t="s">
        <v>40</v>
      </c>
      <c r="H559">
        <v>0.99923943999999998</v>
      </c>
      <c r="I559">
        <v>0.99999994000000003</v>
      </c>
      <c r="J559">
        <v>0.99631950000000002</v>
      </c>
      <c r="K559">
        <f t="shared" si="25"/>
        <v>1</v>
      </c>
      <c r="L559">
        <f t="shared" si="26"/>
        <v>1</v>
      </c>
      <c r="M559">
        <f t="shared" si="27"/>
        <v>1</v>
      </c>
    </row>
    <row r="560" spans="1:13" x14ac:dyDescent="0.2">
      <c r="A560" t="s">
        <v>2394</v>
      </c>
      <c r="B560" t="s">
        <v>2895</v>
      </c>
      <c r="C560" t="s">
        <v>2898</v>
      </c>
      <c r="D560" t="s">
        <v>1000</v>
      </c>
      <c r="E560" t="s">
        <v>1001</v>
      </c>
      <c r="F560" t="s">
        <v>13</v>
      </c>
      <c r="G560" t="s">
        <v>14</v>
      </c>
      <c r="H560">
        <v>0.99130845000000001</v>
      </c>
      <c r="I560">
        <v>0.99999669999999996</v>
      </c>
      <c r="J560">
        <v>7.0431833000000003E-3</v>
      </c>
      <c r="K560">
        <f t="shared" si="25"/>
        <v>1</v>
      </c>
      <c r="L560">
        <f t="shared" si="26"/>
        <v>1</v>
      </c>
      <c r="M560">
        <f t="shared" si="27"/>
        <v>0</v>
      </c>
    </row>
    <row r="561" spans="1:13" x14ac:dyDescent="0.2">
      <c r="A561" t="s">
        <v>2395</v>
      </c>
      <c r="B561" t="s">
        <v>2895</v>
      </c>
      <c r="C561" t="s">
        <v>2898</v>
      </c>
      <c r="D561" t="s">
        <v>1002</v>
      </c>
      <c r="E561" t="s">
        <v>1003</v>
      </c>
      <c r="F561" t="s">
        <v>13</v>
      </c>
      <c r="G561" t="s">
        <v>40</v>
      </c>
      <c r="H561">
        <v>0.99999325999999999</v>
      </c>
      <c r="I561">
        <v>0.99999994000000003</v>
      </c>
      <c r="J561">
        <v>0.25208174999999999</v>
      </c>
      <c r="K561">
        <f t="shared" si="25"/>
        <v>1</v>
      </c>
      <c r="L561">
        <f t="shared" si="26"/>
        <v>1</v>
      </c>
      <c r="M561">
        <f t="shared" si="27"/>
        <v>0</v>
      </c>
    </row>
    <row r="562" spans="1:13" x14ac:dyDescent="0.2">
      <c r="A562" t="s">
        <v>2396</v>
      </c>
      <c r="B562" t="s">
        <v>2895</v>
      </c>
      <c r="C562" t="s">
        <v>2898</v>
      </c>
      <c r="D562" t="s">
        <v>1004</v>
      </c>
      <c r="E562" t="s">
        <v>128</v>
      </c>
      <c r="F562" t="s">
        <v>13</v>
      </c>
      <c r="G562" t="s">
        <v>14</v>
      </c>
      <c r="H562">
        <v>0.99999994000000003</v>
      </c>
      <c r="I562">
        <v>0.9999903</v>
      </c>
      <c r="J562">
        <v>0.99112593999999998</v>
      </c>
      <c r="K562">
        <f t="shared" si="25"/>
        <v>1</v>
      </c>
      <c r="L562">
        <f t="shared" si="26"/>
        <v>1</v>
      </c>
      <c r="M562">
        <f t="shared" si="27"/>
        <v>1</v>
      </c>
    </row>
    <row r="563" spans="1:13" x14ac:dyDescent="0.2">
      <c r="A563" t="s">
        <v>2397</v>
      </c>
      <c r="B563" t="s">
        <v>2895</v>
      </c>
      <c r="C563" t="s">
        <v>2898</v>
      </c>
      <c r="D563" t="s">
        <v>1005</v>
      </c>
      <c r="E563" t="s">
        <v>1006</v>
      </c>
      <c r="F563" t="s">
        <v>13</v>
      </c>
      <c r="G563" t="s">
        <v>14</v>
      </c>
      <c r="H563">
        <v>0.99996655999999995</v>
      </c>
      <c r="I563">
        <v>0.99999934000000001</v>
      </c>
      <c r="J563">
        <v>1.2212550000000001E-2</v>
      </c>
      <c r="K563">
        <f t="shared" si="25"/>
        <v>1</v>
      </c>
      <c r="L563">
        <f t="shared" si="26"/>
        <v>1</v>
      </c>
      <c r="M563">
        <f t="shared" si="27"/>
        <v>0</v>
      </c>
    </row>
    <row r="564" spans="1:13" x14ac:dyDescent="0.2">
      <c r="A564" t="s">
        <v>2398</v>
      </c>
      <c r="B564" t="s">
        <v>2895</v>
      </c>
      <c r="C564" t="s">
        <v>2898</v>
      </c>
      <c r="D564" t="e">
        <f>-VQ-LVQSGA-EVKKPGSSVKVSCKASGGTF---------SSYAIS-WVRQ-A-P-G-Q--G-LE-WMGRIIPI-----------LGIANY--A--Q--KF--Q---GRVTITA-D---K-S--TS----T-AYMELSSLRS-EDTAVYYCARDLGY-------------------------YGAMDYWG-QGTLVTVSS</f>
        <v>#NAME?</v>
      </c>
      <c r="E564" t="s">
        <v>1007</v>
      </c>
      <c r="F564" t="s">
        <v>9</v>
      </c>
      <c r="G564" t="s">
        <v>14</v>
      </c>
      <c r="H564">
        <v>0.99999979999999999</v>
      </c>
      <c r="I564">
        <v>0.99999229999999995</v>
      </c>
      <c r="J564" s="1">
        <v>1.1903252E-5</v>
      </c>
      <c r="K564">
        <f t="shared" si="25"/>
        <v>1</v>
      </c>
      <c r="L564">
        <f t="shared" si="26"/>
        <v>1</v>
      </c>
      <c r="M564">
        <f t="shared" si="27"/>
        <v>0</v>
      </c>
    </row>
    <row r="565" spans="1:13" x14ac:dyDescent="0.2">
      <c r="A565" t="s">
        <v>2399</v>
      </c>
      <c r="B565" t="s">
        <v>2895</v>
      </c>
      <c r="C565" t="s">
        <v>2898</v>
      </c>
      <c r="D565" t="e">
        <f>-VQ-LVESGG-GLVQPGGSLRLSCAASGFTF---------SSYAMH-WVRQ-A-P-G-K--G-LE-WVSTISVS-----------GGSTYY--A--D--SV--K---GRFTISR-D---N-S--KN----T-LYLQMNSLRA-EDTAVYYCARDLW---------------------------GDLVYWG-QGTLVTVSS</f>
        <v>#NAME?</v>
      </c>
      <c r="E565" t="s">
        <v>1008</v>
      </c>
      <c r="F565" t="s">
        <v>13</v>
      </c>
      <c r="G565" t="s">
        <v>14</v>
      </c>
      <c r="H565">
        <v>0.99997634000000002</v>
      </c>
      <c r="I565">
        <v>0.99999994000000003</v>
      </c>
      <c r="J565">
        <v>0.61751020000000001</v>
      </c>
      <c r="K565">
        <f t="shared" si="25"/>
        <v>1</v>
      </c>
      <c r="L565">
        <f t="shared" si="26"/>
        <v>1</v>
      </c>
      <c r="M565">
        <f t="shared" si="27"/>
        <v>1</v>
      </c>
    </row>
    <row r="566" spans="1:13" x14ac:dyDescent="0.2">
      <c r="A566" t="s">
        <v>2400</v>
      </c>
      <c r="B566" t="s">
        <v>2895</v>
      </c>
      <c r="C566" t="s">
        <v>2898</v>
      </c>
      <c r="D566" t="s">
        <v>1009</v>
      </c>
      <c r="E566" t="s">
        <v>953</v>
      </c>
      <c r="F566" t="s">
        <v>9</v>
      </c>
      <c r="G566" t="s">
        <v>10</v>
      </c>
      <c r="H566">
        <v>0.99999994000000003</v>
      </c>
      <c r="I566">
        <v>0.99999994000000003</v>
      </c>
      <c r="J566">
        <v>7.9239160000000003E-2</v>
      </c>
      <c r="K566">
        <f t="shared" si="25"/>
        <v>1</v>
      </c>
      <c r="L566">
        <f t="shared" si="26"/>
        <v>1</v>
      </c>
      <c r="M566">
        <f t="shared" si="27"/>
        <v>0</v>
      </c>
    </row>
    <row r="567" spans="1:13" x14ac:dyDescent="0.2">
      <c r="A567" t="s">
        <v>2401</v>
      </c>
      <c r="B567" t="s">
        <v>2895</v>
      </c>
      <c r="C567" t="s">
        <v>2898</v>
      </c>
      <c r="D567" t="s">
        <v>1010</v>
      </c>
      <c r="E567" t="s">
        <v>1011</v>
      </c>
      <c r="F567" t="s">
        <v>13</v>
      </c>
      <c r="G567" t="s">
        <v>14</v>
      </c>
      <c r="H567">
        <v>0.88148004000000002</v>
      </c>
      <c r="I567">
        <v>0.99999530000000003</v>
      </c>
      <c r="J567">
        <v>2.5426250000000002E-3</v>
      </c>
      <c r="K567">
        <f t="shared" si="25"/>
        <v>1</v>
      </c>
      <c r="L567">
        <f t="shared" si="26"/>
        <v>1</v>
      </c>
      <c r="M567">
        <f t="shared" si="27"/>
        <v>0</v>
      </c>
    </row>
    <row r="568" spans="1:13" x14ac:dyDescent="0.2">
      <c r="A568" t="s">
        <v>2402</v>
      </c>
      <c r="B568" t="s">
        <v>2895</v>
      </c>
      <c r="C568" t="s">
        <v>2898</v>
      </c>
      <c r="D568" t="s">
        <v>1012</v>
      </c>
      <c r="E568" t="s">
        <v>1013</v>
      </c>
      <c r="F568" t="s">
        <v>17</v>
      </c>
      <c r="G568" t="s">
        <v>10</v>
      </c>
      <c r="H568">
        <v>0.99999994000000003</v>
      </c>
      <c r="I568">
        <v>0.99999994000000003</v>
      </c>
      <c r="J568">
        <v>0.9996389</v>
      </c>
      <c r="K568">
        <f t="shared" si="25"/>
        <v>1</v>
      </c>
      <c r="L568">
        <f t="shared" si="26"/>
        <v>1</v>
      </c>
      <c r="M568">
        <f t="shared" si="27"/>
        <v>1</v>
      </c>
    </row>
    <row r="569" spans="1:13" x14ac:dyDescent="0.2">
      <c r="A569" t="s">
        <v>2403</v>
      </c>
      <c r="B569" t="s">
        <v>2895</v>
      </c>
      <c r="C569" t="s">
        <v>2898</v>
      </c>
      <c r="D569" t="s">
        <v>1014</v>
      </c>
      <c r="E569" t="s">
        <v>128</v>
      </c>
      <c r="F569" t="s">
        <v>13</v>
      </c>
      <c r="G569" t="s">
        <v>14</v>
      </c>
      <c r="H569">
        <v>0.99987219999999999</v>
      </c>
      <c r="I569">
        <v>0.9999903</v>
      </c>
      <c r="J569">
        <v>2.4014805E-4</v>
      </c>
      <c r="K569">
        <f t="shared" si="25"/>
        <v>1</v>
      </c>
      <c r="L569">
        <f t="shared" si="26"/>
        <v>1</v>
      </c>
      <c r="M569">
        <f t="shared" si="27"/>
        <v>0</v>
      </c>
    </row>
    <row r="570" spans="1:13" x14ac:dyDescent="0.2">
      <c r="A570" t="s">
        <v>2404</v>
      </c>
      <c r="B570" t="s">
        <v>2895</v>
      </c>
      <c r="C570" t="s">
        <v>2898</v>
      </c>
      <c r="D570" t="s">
        <v>1015</v>
      </c>
      <c r="E570" t="s">
        <v>1016</v>
      </c>
      <c r="F570" t="s">
        <v>9</v>
      </c>
      <c r="G570" t="s">
        <v>10</v>
      </c>
      <c r="H570">
        <v>0.99992913000000005</v>
      </c>
      <c r="I570">
        <v>0.99999994000000003</v>
      </c>
      <c r="J570">
        <v>0.10837366399999999</v>
      </c>
      <c r="K570">
        <f t="shared" si="25"/>
        <v>1</v>
      </c>
      <c r="L570">
        <f t="shared" si="26"/>
        <v>1</v>
      </c>
      <c r="M570">
        <f t="shared" si="27"/>
        <v>0</v>
      </c>
    </row>
    <row r="571" spans="1:13" x14ac:dyDescent="0.2">
      <c r="A571" t="s">
        <v>2405</v>
      </c>
      <c r="B571" t="s">
        <v>2895</v>
      </c>
      <c r="C571" t="s">
        <v>2898</v>
      </c>
      <c r="D571" t="s">
        <v>1017</v>
      </c>
      <c r="E571" t="s">
        <v>1018</v>
      </c>
      <c r="F571" t="s">
        <v>9</v>
      </c>
      <c r="G571" t="s">
        <v>65</v>
      </c>
      <c r="H571">
        <v>0.25071265999999998</v>
      </c>
      <c r="I571">
        <v>0.99999994000000003</v>
      </c>
      <c r="J571" s="1">
        <v>6.9175559999999997E-7</v>
      </c>
      <c r="K571">
        <f t="shared" si="25"/>
        <v>0</v>
      </c>
      <c r="L571">
        <f t="shared" si="26"/>
        <v>1</v>
      </c>
      <c r="M571">
        <f t="shared" si="27"/>
        <v>0</v>
      </c>
    </row>
    <row r="572" spans="1:13" x14ac:dyDescent="0.2">
      <c r="A572" t="s">
        <v>2406</v>
      </c>
      <c r="B572" t="s">
        <v>2895</v>
      </c>
      <c r="C572" t="s">
        <v>2898</v>
      </c>
      <c r="D572" t="s">
        <v>1019</v>
      </c>
      <c r="E572" t="s">
        <v>1020</v>
      </c>
      <c r="F572" t="s">
        <v>13</v>
      </c>
      <c r="G572" t="s">
        <v>14</v>
      </c>
      <c r="H572">
        <v>0.99999729999999998</v>
      </c>
      <c r="I572">
        <v>0.99999979999999999</v>
      </c>
      <c r="J572">
        <v>0.83326255999999999</v>
      </c>
      <c r="K572">
        <f t="shared" si="25"/>
        <v>1</v>
      </c>
      <c r="L572">
        <f t="shared" si="26"/>
        <v>1</v>
      </c>
      <c r="M572">
        <f t="shared" si="27"/>
        <v>1</v>
      </c>
    </row>
    <row r="573" spans="1:13" x14ac:dyDescent="0.2">
      <c r="A573" t="s">
        <v>2407</v>
      </c>
      <c r="B573" t="s">
        <v>2895</v>
      </c>
      <c r="C573" t="s">
        <v>2898</v>
      </c>
      <c r="D573" t="s">
        <v>1021</v>
      </c>
      <c r="E573" t="s">
        <v>1022</v>
      </c>
      <c r="F573" t="s">
        <v>13</v>
      </c>
      <c r="G573" t="s">
        <v>14</v>
      </c>
      <c r="H573">
        <v>0.99999636000000003</v>
      </c>
      <c r="I573">
        <v>0.99999994000000003</v>
      </c>
      <c r="J573">
        <v>0.99956279999999997</v>
      </c>
      <c r="K573">
        <f t="shared" si="25"/>
        <v>1</v>
      </c>
      <c r="L573">
        <f t="shared" si="26"/>
        <v>1</v>
      </c>
      <c r="M573">
        <f t="shared" si="27"/>
        <v>1</v>
      </c>
    </row>
    <row r="574" spans="1:13" x14ac:dyDescent="0.2">
      <c r="A574" t="s">
        <v>2408</v>
      </c>
      <c r="B574" t="s">
        <v>2895</v>
      </c>
      <c r="C574" t="s">
        <v>2898</v>
      </c>
      <c r="D574" t="s">
        <v>1023</v>
      </c>
      <c r="E574" t="s">
        <v>1024</v>
      </c>
      <c r="F574" t="s">
        <v>13</v>
      </c>
      <c r="G574" t="s">
        <v>40</v>
      </c>
      <c r="H574">
        <v>0.88998944000000002</v>
      </c>
      <c r="I574">
        <v>0.99999994000000003</v>
      </c>
      <c r="J574">
        <v>0.37762746000000003</v>
      </c>
      <c r="K574">
        <f t="shared" si="25"/>
        <v>1</v>
      </c>
      <c r="L574">
        <f t="shared" si="26"/>
        <v>1</v>
      </c>
      <c r="M574">
        <f t="shared" si="27"/>
        <v>0</v>
      </c>
    </row>
    <row r="575" spans="1:13" x14ac:dyDescent="0.2">
      <c r="A575" t="s">
        <v>2409</v>
      </c>
      <c r="B575" t="s">
        <v>2895</v>
      </c>
      <c r="C575" t="s">
        <v>2898</v>
      </c>
      <c r="D575" t="s">
        <v>1025</v>
      </c>
      <c r="E575" t="s">
        <v>128</v>
      </c>
      <c r="F575" t="s">
        <v>13</v>
      </c>
      <c r="G575" t="s">
        <v>14</v>
      </c>
      <c r="H575">
        <v>0.99999459999999996</v>
      </c>
      <c r="I575">
        <v>0.9999903</v>
      </c>
      <c r="J575">
        <v>0.95993620000000002</v>
      </c>
      <c r="K575">
        <f t="shared" si="25"/>
        <v>1</v>
      </c>
      <c r="L575">
        <f t="shared" si="26"/>
        <v>1</v>
      </c>
      <c r="M575">
        <f t="shared" si="27"/>
        <v>1</v>
      </c>
    </row>
    <row r="576" spans="1:13" x14ac:dyDescent="0.2">
      <c r="A576" t="s">
        <v>2410</v>
      </c>
      <c r="B576" t="s">
        <v>2895</v>
      </c>
      <c r="C576" t="s">
        <v>2898</v>
      </c>
      <c r="D576" t="s">
        <v>1026</v>
      </c>
      <c r="E576" t="s">
        <v>128</v>
      </c>
      <c r="F576" t="s">
        <v>13</v>
      </c>
      <c r="G576" t="s">
        <v>14</v>
      </c>
      <c r="H576">
        <v>0.99996202999999995</v>
      </c>
      <c r="I576">
        <v>0.9999903</v>
      </c>
      <c r="J576">
        <v>0.98984059999999996</v>
      </c>
      <c r="K576">
        <f t="shared" si="25"/>
        <v>1</v>
      </c>
      <c r="L576">
        <f t="shared" si="26"/>
        <v>1</v>
      </c>
      <c r="M576">
        <f t="shared" si="27"/>
        <v>1</v>
      </c>
    </row>
    <row r="577" spans="1:13" x14ac:dyDescent="0.2">
      <c r="A577" t="s">
        <v>2411</v>
      </c>
      <c r="B577" t="s">
        <v>2895</v>
      </c>
      <c r="C577" t="s">
        <v>2898</v>
      </c>
      <c r="D577" t="s">
        <v>1027</v>
      </c>
      <c r="E577" t="s">
        <v>1028</v>
      </c>
      <c r="F577" t="s">
        <v>9</v>
      </c>
      <c r="G577" t="s">
        <v>14</v>
      </c>
      <c r="H577">
        <v>0.31134932999999998</v>
      </c>
      <c r="I577" s="1">
        <v>9.4003369999999996E-7</v>
      </c>
      <c r="J577" s="1">
        <v>8.1801039999999997E-7</v>
      </c>
      <c r="K577">
        <f t="shared" si="25"/>
        <v>0</v>
      </c>
      <c r="L577">
        <f t="shared" si="26"/>
        <v>0</v>
      </c>
      <c r="M577">
        <f t="shared" si="27"/>
        <v>0</v>
      </c>
    </row>
    <row r="578" spans="1:13" x14ac:dyDescent="0.2">
      <c r="A578" t="s">
        <v>2412</v>
      </c>
      <c r="B578" t="s">
        <v>2895</v>
      </c>
      <c r="C578" t="s">
        <v>2898</v>
      </c>
      <c r="D578" t="s">
        <v>1029</v>
      </c>
      <c r="E578" t="s">
        <v>147</v>
      </c>
      <c r="F578" t="s">
        <v>13</v>
      </c>
      <c r="G578" t="s">
        <v>14</v>
      </c>
      <c r="H578">
        <v>0.99999994000000003</v>
      </c>
      <c r="I578">
        <v>0.99933510000000003</v>
      </c>
      <c r="J578">
        <v>0.99797809999999998</v>
      </c>
      <c r="K578">
        <f t="shared" si="25"/>
        <v>1</v>
      </c>
      <c r="L578">
        <f t="shared" si="26"/>
        <v>1</v>
      </c>
      <c r="M578">
        <f t="shared" si="27"/>
        <v>1</v>
      </c>
    </row>
    <row r="579" spans="1:13" x14ac:dyDescent="0.2">
      <c r="A579" t="s">
        <v>2413</v>
      </c>
      <c r="B579" t="s">
        <v>2895</v>
      </c>
      <c r="C579" t="s">
        <v>2898</v>
      </c>
      <c r="D579" t="s">
        <v>1030</v>
      </c>
      <c r="E579" t="s">
        <v>1031</v>
      </c>
      <c r="F579" t="s">
        <v>17</v>
      </c>
      <c r="G579" t="s">
        <v>10</v>
      </c>
      <c r="H579">
        <v>0.99754816000000002</v>
      </c>
      <c r="I579">
        <v>0.99999994000000003</v>
      </c>
      <c r="J579">
        <v>0.999996</v>
      </c>
      <c r="K579">
        <f t="shared" ref="K579:K642" si="28">IF(H579&gt;=0.5,1,0)</f>
        <v>1</v>
      </c>
      <c r="L579">
        <f t="shared" ref="L579:L642" si="29">IF(I579&gt;=0.5,1,0)</f>
        <v>1</v>
      </c>
      <c r="M579">
        <f t="shared" ref="M579:M642" si="30">IF(J579&gt;=0.5,1,0)</f>
        <v>1</v>
      </c>
    </row>
    <row r="580" spans="1:13" x14ac:dyDescent="0.2">
      <c r="A580" t="s">
        <v>2414</v>
      </c>
      <c r="B580" t="s">
        <v>2895</v>
      </c>
      <c r="C580" t="s">
        <v>2898</v>
      </c>
      <c r="D580" t="s">
        <v>1032</v>
      </c>
      <c r="E580" t="s">
        <v>681</v>
      </c>
      <c r="F580" t="s">
        <v>13</v>
      </c>
      <c r="G580" t="s">
        <v>14</v>
      </c>
      <c r="H580">
        <v>0.99998253999999998</v>
      </c>
      <c r="I580">
        <v>0.99999934000000001</v>
      </c>
      <c r="J580">
        <v>0.90804229999999997</v>
      </c>
      <c r="K580">
        <f t="shared" si="28"/>
        <v>1</v>
      </c>
      <c r="L580">
        <f t="shared" si="29"/>
        <v>1</v>
      </c>
      <c r="M580">
        <f t="shared" si="30"/>
        <v>1</v>
      </c>
    </row>
    <row r="581" spans="1:13" x14ac:dyDescent="0.2">
      <c r="A581" t="s">
        <v>2415</v>
      </c>
      <c r="B581" t="s">
        <v>2895</v>
      </c>
      <c r="C581" t="s">
        <v>2898</v>
      </c>
      <c r="D581" t="s">
        <v>1033</v>
      </c>
      <c r="E581" t="s">
        <v>1034</v>
      </c>
      <c r="F581" t="s">
        <v>9</v>
      </c>
      <c r="G581" t="s">
        <v>36</v>
      </c>
      <c r="H581">
        <v>1.3639319E-3</v>
      </c>
      <c r="I581" s="1">
        <v>8.0834020000000001E-8</v>
      </c>
      <c r="J581" s="1">
        <v>9.9484900000000007E-7</v>
      </c>
      <c r="K581">
        <f t="shared" si="28"/>
        <v>0</v>
      </c>
      <c r="L581">
        <f t="shared" si="29"/>
        <v>0</v>
      </c>
      <c r="M581">
        <f t="shared" si="30"/>
        <v>0</v>
      </c>
    </row>
    <row r="582" spans="1:13" x14ac:dyDescent="0.2">
      <c r="A582" t="s">
        <v>2416</v>
      </c>
      <c r="B582" t="s">
        <v>2895</v>
      </c>
      <c r="C582" t="s">
        <v>2898</v>
      </c>
      <c r="D582" t="s">
        <v>1035</v>
      </c>
      <c r="E582" t="s">
        <v>1036</v>
      </c>
      <c r="F582" t="s">
        <v>13</v>
      </c>
      <c r="G582" t="s">
        <v>14</v>
      </c>
      <c r="H582">
        <v>0.99761133999999996</v>
      </c>
      <c r="I582">
        <v>0.99999994000000003</v>
      </c>
      <c r="J582">
        <v>0.18068339999999999</v>
      </c>
      <c r="K582">
        <f t="shared" si="28"/>
        <v>1</v>
      </c>
      <c r="L582">
        <f t="shared" si="29"/>
        <v>1</v>
      </c>
      <c r="M582">
        <f t="shared" si="30"/>
        <v>0</v>
      </c>
    </row>
    <row r="583" spans="1:13" x14ac:dyDescent="0.2">
      <c r="A583" t="s">
        <v>2417</v>
      </c>
      <c r="B583" t="s">
        <v>2895</v>
      </c>
      <c r="C583" t="s">
        <v>2898</v>
      </c>
      <c r="D583" t="s">
        <v>1037</v>
      </c>
      <c r="E583" t="s">
        <v>1038</v>
      </c>
      <c r="F583" t="s">
        <v>9</v>
      </c>
      <c r="G583" t="s">
        <v>14</v>
      </c>
      <c r="H583">
        <v>2.6450094E-3</v>
      </c>
      <c r="I583">
        <v>0.99996275000000001</v>
      </c>
      <c r="J583">
        <v>0.98929160000000005</v>
      </c>
      <c r="K583">
        <f t="shared" si="28"/>
        <v>0</v>
      </c>
      <c r="L583">
        <f t="shared" si="29"/>
        <v>1</v>
      </c>
      <c r="M583">
        <f t="shared" si="30"/>
        <v>1</v>
      </c>
    </row>
    <row r="584" spans="1:13" x14ac:dyDescent="0.2">
      <c r="A584" t="s">
        <v>2418</v>
      </c>
      <c r="B584" t="s">
        <v>2895</v>
      </c>
      <c r="C584" t="s">
        <v>2898</v>
      </c>
      <c r="D584" t="e">
        <f>-VQ-LVESGG-GLVQPGGSLRLSCAASGFNV---------YSSSIH-WVRQ-A-P-G-K--G-LE-WVASIYSY-----------YGSTYY--A--D--SV--K---GRFTISA-D---T-S--KN----T-AYLQMNSLRA-EDTAVYYCARYYYSYS---------------------SSSYGLDYWG-QGTLVTVSS</f>
        <v>#NAME?</v>
      </c>
      <c r="E584" t="s">
        <v>748</v>
      </c>
      <c r="F584" t="s">
        <v>13</v>
      </c>
      <c r="G584" t="s">
        <v>14</v>
      </c>
      <c r="H584">
        <v>0.99999875000000005</v>
      </c>
      <c r="I584">
        <v>0.98566823999999997</v>
      </c>
      <c r="J584">
        <v>0.99171494999999998</v>
      </c>
      <c r="K584">
        <f t="shared" si="28"/>
        <v>1</v>
      </c>
      <c r="L584">
        <f t="shared" si="29"/>
        <v>1</v>
      </c>
      <c r="M584">
        <f t="shared" si="30"/>
        <v>1</v>
      </c>
    </row>
    <row r="585" spans="1:13" x14ac:dyDescent="0.2">
      <c r="A585" t="s">
        <v>2419</v>
      </c>
      <c r="B585" t="s">
        <v>2895</v>
      </c>
      <c r="C585" t="s">
        <v>2898</v>
      </c>
      <c r="D585" t="s">
        <v>1039</v>
      </c>
      <c r="E585" t="s">
        <v>1040</v>
      </c>
      <c r="F585" t="s">
        <v>17</v>
      </c>
      <c r="G585" t="s">
        <v>10</v>
      </c>
      <c r="H585">
        <v>0.89951959999999997</v>
      </c>
      <c r="I585">
        <v>0.99999994000000003</v>
      </c>
      <c r="J585">
        <v>0.99916357</v>
      </c>
      <c r="K585">
        <f t="shared" si="28"/>
        <v>1</v>
      </c>
      <c r="L585">
        <f t="shared" si="29"/>
        <v>1</v>
      </c>
      <c r="M585">
        <f t="shared" si="30"/>
        <v>1</v>
      </c>
    </row>
    <row r="586" spans="1:13" x14ac:dyDescent="0.2">
      <c r="A586" t="s">
        <v>2420</v>
      </c>
      <c r="B586" t="s">
        <v>2895</v>
      </c>
      <c r="C586" t="s">
        <v>2898</v>
      </c>
      <c r="D586" t="s">
        <v>1041</v>
      </c>
      <c r="E586" t="s">
        <v>128</v>
      </c>
      <c r="F586" t="s">
        <v>13</v>
      </c>
      <c r="G586" t="s">
        <v>14</v>
      </c>
      <c r="H586">
        <v>0.99993926</v>
      </c>
      <c r="I586">
        <v>0.9999903</v>
      </c>
      <c r="J586">
        <v>0.97674364000000002</v>
      </c>
      <c r="K586">
        <f t="shared" si="28"/>
        <v>1</v>
      </c>
      <c r="L586">
        <f t="shared" si="29"/>
        <v>1</v>
      </c>
      <c r="M586">
        <f t="shared" si="30"/>
        <v>1</v>
      </c>
    </row>
    <row r="587" spans="1:13" x14ac:dyDescent="0.2">
      <c r="A587" t="s">
        <v>2421</v>
      </c>
      <c r="B587" t="s">
        <v>2895</v>
      </c>
      <c r="C587" t="s">
        <v>2898</v>
      </c>
      <c r="D587" t="s">
        <v>1042</v>
      </c>
      <c r="E587" t="s">
        <v>128</v>
      </c>
      <c r="F587" t="s">
        <v>13</v>
      </c>
      <c r="G587" t="s">
        <v>14</v>
      </c>
      <c r="H587">
        <v>0.99999970000000005</v>
      </c>
      <c r="I587">
        <v>0.9999903</v>
      </c>
      <c r="J587">
        <v>0.73174435000000004</v>
      </c>
      <c r="K587">
        <f t="shared" si="28"/>
        <v>1</v>
      </c>
      <c r="L587">
        <f t="shared" si="29"/>
        <v>1</v>
      </c>
      <c r="M587">
        <f t="shared" si="30"/>
        <v>1</v>
      </c>
    </row>
    <row r="588" spans="1:13" x14ac:dyDescent="0.2">
      <c r="A588" t="s">
        <v>2422</v>
      </c>
      <c r="B588" t="s">
        <v>2895</v>
      </c>
      <c r="C588" t="s">
        <v>2898</v>
      </c>
      <c r="D588" t="s">
        <v>1043</v>
      </c>
      <c r="E588" t="s">
        <v>1044</v>
      </c>
      <c r="F588" t="s">
        <v>13</v>
      </c>
      <c r="G588" t="s">
        <v>14</v>
      </c>
      <c r="H588">
        <v>0.99995800000000001</v>
      </c>
      <c r="I588">
        <v>0.99999979999999999</v>
      </c>
      <c r="J588">
        <v>0.77793579999999996</v>
      </c>
      <c r="K588">
        <f t="shared" si="28"/>
        <v>1</v>
      </c>
      <c r="L588">
        <f t="shared" si="29"/>
        <v>1</v>
      </c>
      <c r="M588">
        <f t="shared" si="30"/>
        <v>1</v>
      </c>
    </row>
    <row r="589" spans="1:13" x14ac:dyDescent="0.2">
      <c r="A589" t="s">
        <v>2423</v>
      </c>
      <c r="B589" t="s">
        <v>2895</v>
      </c>
      <c r="C589" t="s">
        <v>2898</v>
      </c>
      <c r="D589" t="s">
        <v>1045</v>
      </c>
      <c r="E589" t="s">
        <v>42</v>
      </c>
      <c r="F589" t="s">
        <v>17</v>
      </c>
      <c r="G589" t="s">
        <v>10</v>
      </c>
      <c r="H589">
        <v>0.99999839999999995</v>
      </c>
      <c r="I589">
        <v>0.99999994000000003</v>
      </c>
      <c r="J589">
        <v>0.99999899999999997</v>
      </c>
      <c r="K589">
        <f t="shared" si="28"/>
        <v>1</v>
      </c>
      <c r="L589">
        <f t="shared" si="29"/>
        <v>1</v>
      </c>
      <c r="M589">
        <f t="shared" si="30"/>
        <v>1</v>
      </c>
    </row>
    <row r="590" spans="1:13" x14ac:dyDescent="0.2">
      <c r="A590" t="s">
        <v>2424</v>
      </c>
      <c r="B590" t="s">
        <v>2895</v>
      </c>
      <c r="C590" t="s">
        <v>2898</v>
      </c>
      <c r="D590" t="s">
        <v>1046</v>
      </c>
      <c r="E590" t="s">
        <v>42</v>
      </c>
      <c r="F590" t="s">
        <v>17</v>
      </c>
      <c r="G590" t="s">
        <v>10</v>
      </c>
      <c r="H590">
        <v>0.99999994000000003</v>
      </c>
      <c r="I590">
        <v>0.99999994000000003</v>
      </c>
      <c r="J590">
        <v>0.99999979999999999</v>
      </c>
      <c r="K590">
        <f t="shared" si="28"/>
        <v>1</v>
      </c>
      <c r="L590">
        <f t="shared" si="29"/>
        <v>1</v>
      </c>
      <c r="M590">
        <f t="shared" si="30"/>
        <v>1</v>
      </c>
    </row>
    <row r="591" spans="1:13" x14ac:dyDescent="0.2">
      <c r="A591" t="s">
        <v>2425</v>
      </c>
      <c r="B591" t="s">
        <v>2895</v>
      </c>
      <c r="C591" t="s">
        <v>2898</v>
      </c>
      <c r="D591" t="s">
        <v>1047</v>
      </c>
      <c r="E591" t="s">
        <v>128</v>
      </c>
      <c r="F591" t="s">
        <v>13</v>
      </c>
      <c r="G591" t="s">
        <v>14</v>
      </c>
      <c r="H591">
        <v>0.99999994000000003</v>
      </c>
      <c r="I591">
        <v>0.9999903</v>
      </c>
      <c r="J591">
        <v>0.99164220000000003</v>
      </c>
      <c r="K591">
        <f t="shared" si="28"/>
        <v>1</v>
      </c>
      <c r="L591">
        <f t="shared" si="29"/>
        <v>1</v>
      </c>
      <c r="M591">
        <f t="shared" si="30"/>
        <v>1</v>
      </c>
    </row>
    <row r="592" spans="1:13" x14ac:dyDescent="0.2">
      <c r="A592" t="s">
        <v>2426</v>
      </c>
      <c r="B592" t="s">
        <v>2895</v>
      </c>
      <c r="C592" t="s">
        <v>2898</v>
      </c>
      <c r="D592" t="s">
        <v>1048</v>
      </c>
      <c r="E592" t="s">
        <v>1049</v>
      </c>
      <c r="F592" t="s">
        <v>13</v>
      </c>
      <c r="G592" t="s">
        <v>14</v>
      </c>
      <c r="H592">
        <v>0.99996879999999999</v>
      </c>
      <c r="I592">
        <v>0.99999994000000003</v>
      </c>
      <c r="J592">
        <v>0.99463380000000001</v>
      </c>
      <c r="K592">
        <f t="shared" si="28"/>
        <v>1</v>
      </c>
      <c r="L592">
        <f t="shared" si="29"/>
        <v>1</v>
      </c>
      <c r="M592">
        <f t="shared" si="30"/>
        <v>1</v>
      </c>
    </row>
    <row r="593" spans="1:13" x14ac:dyDescent="0.2">
      <c r="A593" t="s">
        <v>2427</v>
      </c>
      <c r="B593" t="s">
        <v>2895</v>
      </c>
      <c r="C593" t="s">
        <v>2898</v>
      </c>
      <c r="D593" t="s">
        <v>1050</v>
      </c>
      <c r="E593" t="s">
        <v>1051</v>
      </c>
      <c r="F593" t="s">
        <v>13</v>
      </c>
      <c r="G593" t="s">
        <v>14</v>
      </c>
      <c r="H593">
        <v>0.67200680000000002</v>
      </c>
      <c r="I593">
        <v>0.99999919999999998</v>
      </c>
      <c r="J593" s="1">
        <v>3.3085274000000002E-5</v>
      </c>
      <c r="K593">
        <f t="shared" si="28"/>
        <v>1</v>
      </c>
      <c r="L593">
        <f t="shared" si="29"/>
        <v>1</v>
      </c>
      <c r="M593">
        <f t="shared" si="30"/>
        <v>0</v>
      </c>
    </row>
    <row r="594" spans="1:13" x14ac:dyDescent="0.2">
      <c r="A594" t="s">
        <v>2428</v>
      </c>
      <c r="B594" t="s">
        <v>2895</v>
      </c>
      <c r="C594" t="s">
        <v>2898</v>
      </c>
      <c r="D594" t="s">
        <v>1052</v>
      </c>
      <c r="E594" t="s">
        <v>1053</v>
      </c>
      <c r="F594" t="s">
        <v>9</v>
      </c>
      <c r="G594" t="s">
        <v>36</v>
      </c>
      <c r="H594">
        <v>4.2898335000000003E-2</v>
      </c>
      <c r="I594" s="1">
        <v>2.9129652E-7</v>
      </c>
      <c r="J594" s="1">
        <v>8.1376589999999995E-6</v>
      </c>
      <c r="K594">
        <f t="shared" si="28"/>
        <v>0</v>
      </c>
      <c r="L594">
        <f t="shared" si="29"/>
        <v>0</v>
      </c>
      <c r="M594">
        <f t="shared" si="30"/>
        <v>0</v>
      </c>
    </row>
    <row r="595" spans="1:13" x14ac:dyDescent="0.2">
      <c r="A595" t="s">
        <v>2429</v>
      </c>
      <c r="B595" t="s">
        <v>2895</v>
      </c>
      <c r="C595" t="s">
        <v>2898</v>
      </c>
      <c r="D595" t="s">
        <v>1054</v>
      </c>
      <c r="E595" t="s">
        <v>42</v>
      </c>
      <c r="F595" t="s">
        <v>17</v>
      </c>
      <c r="G595" t="s">
        <v>10</v>
      </c>
      <c r="H595">
        <v>0.99998790000000004</v>
      </c>
      <c r="I595">
        <v>0.99999994000000003</v>
      </c>
      <c r="J595">
        <v>0.99865395000000001</v>
      </c>
      <c r="K595">
        <f t="shared" si="28"/>
        <v>1</v>
      </c>
      <c r="L595">
        <f t="shared" si="29"/>
        <v>1</v>
      </c>
      <c r="M595">
        <f t="shared" si="30"/>
        <v>1</v>
      </c>
    </row>
    <row r="596" spans="1:13" x14ac:dyDescent="0.2">
      <c r="A596" t="s">
        <v>2430</v>
      </c>
      <c r="B596" t="s">
        <v>2895</v>
      </c>
      <c r="C596" t="s">
        <v>2898</v>
      </c>
      <c r="D596" t="s">
        <v>1055</v>
      </c>
      <c r="E596" t="s">
        <v>1056</v>
      </c>
      <c r="F596" t="s">
        <v>9</v>
      </c>
      <c r="G596" t="s">
        <v>65</v>
      </c>
      <c r="H596">
        <v>0.60899579999999998</v>
      </c>
      <c r="I596" s="1">
        <v>3.3338884999999998E-8</v>
      </c>
      <c r="J596">
        <v>4.1447560000000003E-3</v>
      </c>
      <c r="K596">
        <f t="shared" si="28"/>
        <v>1</v>
      </c>
      <c r="L596">
        <f t="shared" si="29"/>
        <v>0</v>
      </c>
      <c r="M596">
        <f t="shared" si="30"/>
        <v>0</v>
      </c>
    </row>
    <row r="597" spans="1:13" x14ac:dyDescent="0.2">
      <c r="A597" t="s">
        <v>2431</v>
      </c>
      <c r="B597" t="s">
        <v>2895</v>
      </c>
      <c r="C597" t="s">
        <v>2898</v>
      </c>
      <c r="D597" t="s">
        <v>1057</v>
      </c>
      <c r="E597" t="s">
        <v>1058</v>
      </c>
      <c r="F597" t="s">
        <v>9</v>
      </c>
      <c r="G597" t="s">
        <v>14</v>
      </c>
      <c r="H597">
        <v>0.99999945999999995</v>
      </c>
      <c r="I597">
        <v>0.99999994000000003</v>
      </c>
      <c r="J597">
        <v>0.99998980000000004</v>
      </c>
      <c r="K597">
        <f t="shared" si="28"/>
        <v>1</v>
      </c>
      <c r="L597">
        <f t="shared" si="29"/>
        <v>1</v>
      </c>
      <c r="M597">
        <f t="shared" si="30"/>
        <v>1</v>
      </c>
    </row>
    <row r="598" spans="1:13" x14ac:dyDescent="0.2">
      <c r="A598" t="s">
        <v>2432</v>
      </c>
      <c r="B598" t="s">
        <v>2895</v>
      </c>
      <c r="C598" t="s">
        <v>2898</v>
      </c>
      <c r="D598" t="s">
        <v>1059</v>
      </c>
      <c r="E598" t="s">
        <v>1060</v>
      </c>
      <c r="F598" t="s">
        <v>9</v>
      </c>
      <c r="G598" t="s">
        <v>65</v>
      </c>
      <c r="H598" s="1">
        <v>5.3808380000000003E-5</v>
      </c>
      <c r="I598" s="1">
        <v>6.1669859999999996E-7</v>
      </c>
      <c r="J598">
        <v>6.3262385999999999E-3</v>
      </c>
      <c r="K598">
        <f t="shared" si="28"/>
        <v>0</v>
      </c>
      <c r="L598">
        <f t="shared" si="29"/>
        <v>0</v>
      </c>
      <c r="M598">
        <f t="shared" si="30"/>
        <v>0</v>
      </c>
    </row>
    <row r="599" spans="1:13" x14ac:dyDescent="0.2">
      <c r="A599" t="s">
        <v>2433</v>
      </c>
      <c r="B599" t="s">
        <v>2895</v>
      </c>
      <c r="C599" t="s">
        <v>2898</v>
      </c>
      <c r="D599" t="s">
        <v>1061</v>
      </c>
      <c r="E599" t="s">
        <v>147</v>
      </c>
      <c r="F599" t="s">
        <v>13</v>
      </c>
      <c r="G599" t="s">
        <v>14</v>
      </c>
      <c r="H599">
        <v>0.99999636000000003</v>
      </c>
      <c r="I599">
        <v>0.99933510000000003</v>
      </c>
      <c r="J599">
        <v>0.99688595999999996</v>
      </c>
      <c r="K599">
        <f t="shared" si="28"/>
        <v>1</v>
      </c>
      <c r="L599">
        <f t="shared" si="29"/>
        <v>1</v>
      </c>
      <c r="M599">
        <f t="shared" si="30"/>
        <v>1</v>
      </c>
    </row>
    <row r="600" spans="1:13" x14ac:dyDescent="0.2">
      <c r="A600" t="s">
        <v>2434</v>
      </c>
      <c r="B600" t="s">
        <v>2895</v>
      </c>
      <c r="C600" t="s">
        <v>2898</v>
      </c>
      <c r="D600" t="s">
        <v>1062</v>
      </c>
      <c r="E600" t="s">
        <v>1063</v>
      </c>
      <c r="F600" t="s">
        <v>13</v>
      </c>
      <c r="G600" t="s">
        <v>40</v>
      </c>
      <c r="H600">
        <v>0.99999979999999999</v>
      </c>
      <c r="I600">
        <v>0.99999994000000003</v>
      </c>
      <c r="J600">
        <v>0.99887382999999996</v>
      </c>
      <c r="K600">
        <f t="shared" si="28"/>
        <v>1</v>
      </c>
      <c r="L600">
        <f t="shared" si="29"/>
        <v>1</v>
      </c>
      <c r="M600">
        <f t="shared" si="30"/>
        <v>1</v>
      </c>
    </row>
    <row r="601" spans="1:13" x14ac:dyDescent="0.2">
      <c r="A601" t="s">
        <v>2435</v>
      </c>
      <c r="B601" t="s">
        <v>2895</v>
      </c>
      <c r="C601" t="s">
        <v>2898</v>
      </c>
      <c r="D601" t="s">
        <v>1064</v>
      </c>
      <c r="E601" t="s">
        <v>128</v>
      </c>
      <c r="F601" t="s">
        <v>13</v>
      </c>
      <c r="G601" t="s">
        <v>14</v>
      </c>
      <c r="H601">
        <v>0.99999610000000005</v>
      </c>
      <c r="I601">
        <v>0.9999903</v>
      </c>
      <c r="J601">
        <v>0.93242769999999997</v>
      </c>
      <c r="K601">
        <f t="shared" si="28"/>
        <v>1</v>
      </c>
      <c r="L601">
        <f t="shared" si="29"/>
        <v>1</v>
      </c>
      <c r="M601">
        <f t="shared" si="30"/>
        <v>1</v>
      </c>
    </row>
    <row r="602" spans="1:13" x14ac:dyDescent="0.2">
      <c r="A602" t="s">
        <v>2436</v>
      </c>
      <c r="B602" t="s">
        <v>2896</v>
      </c>
      <c r="C602" t="s">
        <v>2898</v>
      </c>
      <c r="D602" t="s">
        <v>1065</v>
      </c>
      <c r="E602" t="s">
        <v>1066</v>
      </c>
      <c r="F602" t="s">
        <v>9</v>
      </c>
      <c r="G602" t="s">
        <v>14</v>
      </c>
      <c r="H602">
        <v>0.97069320000000003</v>
      </c>
      <c r="I602">
        <v>0.99997835999999996</v>
      </c>
      <c r="J602">
        <v>0.35853200000000002</v>
      </c>
      <c r="K602">
        <f t="shared" si="28"/>
        <v>1</v>
      </c>
      <c r="L602">
        <f t="shared" si="29"/>
        <v>1</v>
      </c>
      <c r="M602">
        <f t="shared" si="30"/>
        <v>0</v>
      </c>
    </row>
    <row r="603" spans="1:13" x14ac:dyDescent="0.2">
      <c r="A603" t="s">
        <v>2437</v>
      </c>
      <c r="B603" t="s">
        <v>2896</v>
      </c>
      <c r="C603" t="s">
        <v>2898</v>
      </c>
      <c r="D603" t="s">
        <v>1067</v>
      </c>
      <c r="E603" t="s">
        <v>147</v>
      </c>
      <c r="F603" t="s">
        <v>13</v>
      </c>
      <c r="G603" t="s">
        <v>14</v>
      </c>
      <c r="H603">
        <v>0.95797670000000001</v>
      </c>
      <c r="I603">
        <v>0.99933510000000003</v>
      </c>
      <c r="J603">
        <v>1.2765790000000001E-2</v>
      </c>
      <c r="K603">
        <f t="shared" si="28"/>
        <v>1</v>
      </c>
      <c r="L603">
        <f t="shared" si="29"/>
        <v>1</v>
      </c>
      <c r="M603">
        <f t="shared" si="30"/>
        <v>0</v>
      </c>
    </row>
    <row r="604" spans="1:13" x14ac:dyDescent="0.2">
      <c r="A604" t="s">
        <v>2438</v>
      </c>
      <c r="B604" t="s">
        <v>2896</v>
      </c>
      <c r="C604" t="s">
        <v>2898</v>
      </c>
      <c r="D604" t="s">
        <v>1068</v>
      </c>
      <c r="E604" t="s">
        <v>1069</v>
      </c>
      <c r="F604" t="s">
        <v>13</v>
      </c>
      <c r="G604" t="s">
        <v>65</v>
      </c>
      <c r="H604">
        <v>0.99999945999999995</v>
      </c>
      <c r="I604" s="1">
        <v>1.8075932000000001E-7</v>
      </c>
      <c r="J604">
        <v>2.7645074E-3</v>
      </c>
      <c r="K604">
        <f t="shared" si="28"/>
        <v>1</v>
      </c>
      <c r="L604">
        <f t="shared" si="29"/>
        <v>0</v>
      </c>
      <c r="M604">
        <f t="shared" si="30"/>
        <v>0</v>
      </c>
    </row>
    <row r="605" spans="1:13" x14ac:dyDescent="0.2">
      <c r="A605" t="s">
        <v>2439</v>
      </c>
      <c r="B605" t="s">
        <v>2896</v>
      </c>
      <c r="C605" t="s">
        <v>2898</v>
      </c>
      <c r="D605" t="s">
        <v>1070</v>
      </c>
      <c r="E605" t="s">
        <v>1071</v>
      </c>
      <c r="F605" t="s">
        <v>13</v>
      </c>
      <c r="G605" t="s">
        <v>14</v>
      </c>
      <c r="H605">
        <v>0.99999959999999999</v>
      </c>
      <c r="I605">
        <v>0.99996569999999996</v>
      </c>
      <c r="J605">
        <v>0.99475659999999999</v>
      </c>
      <c r="K605">
        <f t="shared" si="28"/>
        <v>1</v>
      </c>
      <c r="L605">
        <f t="shared" si="29"/>
        <v>1</v>
      </c>
      <c r="M605">
        <f t="shared" si="30"/>
        <v>1</v>
      </c>
    </row>
    <row r="606" spans="1:13" x14ac:dyDescent="0.2">
      <c r="A606" t="s">
        <v>2440</v>
      </c>
      <c r="B606" t="s">
        <v>2896</v>
      </c>
      <c r="C606" t="s">
        <v>2898</v>
      </c>
      <c r="D606" t="s">
        <v>1072</v>
      </c>
      <c r="E606" t="s">
        <v>128</v>
      </c>
      <c r="F606" t="s">
        <v>13</v>
      </c>
      <c r="G606" t="s">
        <v>14</v>
      </c>
      <c r="H606">
        <v>0.99999433999999998</v>
      </c>
      <c r="I606">
        <v>0.9999903</v>
      </c>
      <c r="J606">
        <v>0.71731800000000001</v>
      </c>
      <c r="K606">
        <f t="shared" si="28"/>
        <v>1</v>
      </c>
      <c r="L606">
        <f t="shared" si="29"/>
        <v>1</v>
      </c>
      <c r="M606">
        <f t="shared" si="30"/>
        <v>1</v>
      </c>
    </row>
    <row r="607" spans="1:13" x14ac:dyDescent="0.2">
      <c r="A607" t="s">
        <v>2441</v>
      </c>
      <c r="B607" t="s">
        <v>2896</v>
      </c>
      <c r="C607" t="s">
        <v>2898</v>
      </c>
      <c r="D607" t="s">
        <v>1073</v>
      </c>
      <c r="E607" t="s">
        <v>1074</v>
      </c>
      <c r="F607" t="s">
        <v>9</v>
      </c>
      <c r="G607" t="s">
        <v>14</v>
      </c>
      <c r="H607">
        <v>0.99999373999999996</v>
      </c>
      <c r="I607">
        <v>0.99999994000000003</v>
      </c>
      <c r="J607">
        <v>0.99999919999999998</v>
      </c>
      <c r="K607">
        <f t="shared" si="28"/>
        <v>1</v>
      </c>
      <c r="L607">
        <f t="shared" si="29"/>
        <v>1</v>
      </c>
      <c r="M607">
        <f t="shared" si="30"/>
        <v>1</v>
      </c>
    </row>
    <row r="608" spans="1:13" x14ac:dyDescent="0.2">
      <c r="A608" t="s">
        <v>2442</v>
      </c>
      <c r="B608" t="s">
        <v>2896</v>
      </c>
      <c r="C608" t="s">
        <v>2898</v>
      </c>
      <c r="D608" t="s">
        <v>1075</v>
      </c>
      <c r="E608" t="s">
        <v>1076</v>
      </c>
      <c r="F608" t="s">
        <v>9</v>
      </c>
      <c r="G608" t="s">
        <v>10</v>
      </c>
      <c r="H608">
        <v>0.999973</v>
      </c>
      <c r="I608">
        <v>0.99999994000000003</v>
      </c>
      <c r="J608">
        <v>0.28609266999999999</v>
      </c>
      <c r="K608">
        <f t="shared" si="28"/>
        <v>1</v>
      </c>
      <c r="L608">
        <f t="shared" si="29"/>
        <v>1</v>
      </c>
      <c r="M608">
        <f t="shared" si="30"/>
        <v>0</v>
      </c>
    </row>
    <row r="609" spans="1:13" x14ac:dyDescent="0.2">
      <c r="A609" t="s">
        <v>2443</v>
      </c>
      <c r="B609" t="s">
        <v>2896</v>
      </c>
      <c r="C609" t="s">
        <v>2898</v>
      </c>
      <c r="D609" t="s">
        <v>1077</v>
      </c>
      <c r="E609" t="s">
        <v>1078</v>
      </c>
      <c r="F609" t="s">
        <v>9</v>
      </c>
      <c r="G609" t="s">
        <v>10</v>
      </c>
      <c r="H609">
        <v>0.99999839999999995</v>
      </c>
      <c r="I609">
        <v>0.99999994000000003</v>
      </c>
      <c r="J609">
        <v>0.99999576999999995</v>
      </c>
      <c r="K609">
        <f t="shared" si="28"/>
        <v>1</v>
      </c>
      <c r="L609">
        <f t="shared" si="29"/>
        <v>1</v>
      </c>
      <c r="M609">
        <f t="shared" si="30"/>
        <v>1</v>
      </c>
    </row>
    <row r="610" spans="1:13" x14ac:dyDescent="0.2">
      <c r="A610" t="s">
        <v>2444</v>
      </c>
      <c r="B610" t="s">
        <v>2896</v>
      </c>
      <c r="C610" t="s">
        <v>2898</v>
      </c>
      <c r="D610" t="e">
        <f>-VQ-LVQSGA-EVKKPGASVKVSCKASGYTF---------TSYAIS-WVRQ-A-P-G-Q--G-LE-WMGWINYI------------GNTNY--A--Q--KF--Q---GRVTMTR-D---T-S--TS----T-VYMELRSLRS-DDTAVYYCAREGNY-------------------------GSSLDVWG-QGTTVTVSS</f>
        <v>#NAME?</v>
      </c>
      <c r="E610" t="s">
        <v>1079</v>
      </c>
      <c r="F610" t="s">
        <v>9</v>
      </c>
      <c r="G610" t="s">
        <v>14</v>
      </c>
      <c r="H610">
        <v>0.97308899999999998</v>
      </c>
      <c r="I610">
        <v>0.99999979999999999</v>
      </c>
      <c r="J610">
        <v>0.68828814999999999</v>
      </c>
      <c r="K610">
        <f t="shared" si="28"/>
        <v>1</v>
      </c>
      <c r="L610">
        <f t="shared" si="29"/>
        <v>1</v>
      </c>
      <c r="M610">
        <f t="shared" si="30"/>
        <v>1</v>
      </c>
    </row>
    <row r="611" spans="1:13" x14ac:dyDescent="0.2">
      <c r="A611" t="s">
        <v>2445</v>
      </c>
      <c r="B611" t="s">
        <v>2896</v>
      </c>
      <c r="C611" t="s">
        <v>2898</v>
      </c>
      <c r="D611" t="s">
        <v>1080</v>
      </c>
      <c r="E611" t="s">
        <v>1081</v>
      </c>
      <c r="F611" t="s">
        <v>9</v>
      </c>
      <c r="G611" t="s">
        <v>14</v>
      </c>
      <c r="H611">
        <v>0.99999875000000005</v>
      </c>
      <c r="I611">
        <v>0.99999994000000003</v>
      </c>
      <c r="J611">
        <v>6.0427270000000001E-4</v>
      </c>
      <c r="K611">
        <f t="shared" si="28"/>
        <v>1</v>
      </c>
      <c r="L611">
        <f t="shared" si="29"/>
        <v>1</v>
      </c>
      <c r="M611">
        <f t="shared" si="30"/>
        <v>0</v>
      </c>
    </row>
    <row r="612" spans="1:13" x14ac:dyDescent="0.2">
      <c r="A612" t="s">
        <v>2446</v>
      </c>
      <c r="B612" t="s">
        <v>2896</v>
      </c>
      <c r="C612" t="s">
        <v>2898</v>
      </c>
      <c r="D612" t="s">
        <v>1082</v>
      </c>
      <c r="E612" t="s">
        <v>304</v>
      </c>
      <c r="F612" t="s">
        <v>13</v>
      </c>
      <c r="G612" t="s">
        <v>14</v>
      </c>
      <c r="H612">
        <v>0.99999919999999998</v>
      </c>
      <c r="I612">
        <v>0.99999875000000005</v>
      </c>
      <c r="J612" s="1">
        <v>4.6925255E-5</v>
      </c>
      <c r="K612">
        <f t="shared" si="28"/>
        <v>1</v>
      </c>
      <c r="L612">
        <f t="shared" si="29"/>
        <v>1</v>
      </c>
      <c r="M612">
        <f t="shared" si="30"/>
        <v>0</v>
      </c>
    </row>
    <row r="613" spans="1:13" x14ac:dyDescent="0.2">
      <c r="A613" t="s">
        <v>2447</v>
      </c>
      <c r="B613" t="s">
        <v>2896</v>
      </c>
      <c r="C613" t="s">
        <v>2898</v>
      </c>
      <c r="D613" t="s">
        <v>1083</v>
      </c>
      <c r="E613" t="s">
        <v>1084</v>
      </c>
      <c r="F613" t="s">
        <v>9</v>
      </c>
      <c r="G613" t="s">
        <v>18</v>
      </c>
      <c r="H613">
        <v>0.10178924</v>
      </c>
      <c r="I613" s="1">
        <v>1.4855740000000001E-8</v>
      </c>
      <c r="J613" s="1">
        <v>1.5215425999999999E-5</v>
      </c>
      <c r="K613">
        <f t="shared" si="28"/>
        <v>0</v>
      </c>
      <c r="L613">
        <f t="shared" si="29"/>
        <v>0</v>
      </c>
      <c r="M613">
        <f t="shared" si="30"/>
        <v>0</v>
      </c>
    </row>
    <row r="614" spans="1:13" x14ac:dyDescent="0.2">
      <c r="A614" t="s">
        <v>2448</v>
      </c>
      <c r="B614" t="s">
        <v>2896</v>
      </c>
      <c r="C614" t="s">
        <v>2898</v>
      </c>
      <c r="D614" t="s">
        <v>1085</v>
      </c>
      <c r="E614" t="s">
        <v>1086</v>
      </c>
      <c r="F614" t="s">
        <v>13</v>
      </c>
      <c r="G614" t="s">
        <v>14</v>
      </c>
      <c r="H614">
        <v>0.99999934000000001</v>
      </c>
      <c r="I614">
        <v>0.99999289999999996</v>
      </c>
      <c r="J614">
        <v>0.98841100000000004</v>
      </c>
      <c r="K614">
        <f t="shared" si="28"/>
        <v>1</v>
      </c>
      <c r="L614">
        <f t="shared" si="29"/>
        <v>1</v>
      </c>
      <c r="M614">
        <f t="shared" si="30"/>
        <v>1</v>
      </c>
    </row>
    <row r="615" spans="1:13" x14ac:dyDescent="0.2">
      <c r="A615" t="s">
        <v>2449</v>
      </c>
      <c r="B615" t="s">
        <v>2896</v>
      </c>
      <c r="C615" t="s">
        <v>2898</v>
      </c>
      <c r="D615" t="s">
        <v>1087</v>
      </c>
      <c r="E615" t="s">
        <v>1088</v>
      </c>
      <c r="F615" t="s">
        <v>13</v>
      </c>
      <c r="G615" t="s">
        <v>14</v>
      </c>
      <c r="H615">
        <v>0.98541254</v>
      </c>
      <c r="I615">
        <v>0.99997250000000004</v>
      </c>
      <c r="J615">
        <v>2.3320806E-3</v>
      </c>
      <c r="K615">
        <f t="shared" si="28"/>
        <v>1</v>
      </c>
      <c r="L615">
        <f t="shared" si="29"/>
        <v>1</v>
      </c>
      <c r="M615">
        <f t="shared" si="30"/>
        <v>0</v>
      </c>
    </row>
    <row r="616" spans="1:13" x14ac:dyDescent="0.2">
      <c r="A616" t="s">
        <v>2450</v>
      </c>
      <c r="B616" t="s">
        <v>2896</v>
      </c>
      <c r="C616" t="s">
        <v>2898</v>
      </c>
      <c r="D616" t="s">
        <v>1089</v>
      </c>
      <c r="E616" t="s">
        <v>691</v>
      </c>
      <c r="F616" t="s">
        <v>13</v>
      </c>
      <c r="G616" t="s">
        <v>14</v>
      </c>
      <c r="H616">
        <v>0.9999228</v>
      </c>
      <c r="I616">
        <v>0.99706477000000004</v>
      </c>
      <c r="J616">
        <v>0.99866319999999997</v>
      </c>
      <c r="K616">
        <f t="shared" si="28"/>
        <v>1</v>
      </c>
      <c r="L616">
        <f t="shared" si="29"/>
        <v>1</v>
      </c>
      <c r="M616">
        <f t="shared" si="30"/>
        <v>1</v>
      </c>
    </row>
    <row r="617" spans="1:13" x14ac:dyDescent="0.2">
      <c r="A617" t="s">
        <v>2451</v>
      </c>
      <c r="B617" t="s">
        <v>2896</v>
      </c>
      <c r="C617" t="s">
        <v>2898</v>
      </c>
      <c r="D617" t="s">
        <v>1090</v>
      </c>
      <c r="E617" t="s">
        <v>1091</v>
      </c>
      <c r="F617" t="s">
        <v>13</v>
      </c>
      <c r="G617" t="s">
        <v>14</v>
      </c>
      <c r="H617">
        <v>0.83677654999999995</v>
      </c>
      <c r="I617">
        <v>0.9826686</v>
      </c>
      <c r="J617">
        <v>2.1925120000000002E-3</v>
      </c>
      <c r="K617">
        <f t="shared" si="28"/>
        <v>1</v>
      </c>
      <c r="L617">
        <f t="shared" si="29"/>
        <v>1</v>
      </c>
      <c r="M617">
        <f t="shared" si="30"/>
        <v>0</v>
      </c>
    </row>
    <row r="618" spans="1:13" x14ac:dyDescent="0.2">
      <c r="A618" t="s">
        <v>2452</v>
      </c>
      <c r="B618" t="s">
        <v>2896</v>
      </c>
      <c r="C618" t="s">
        <v>2898</v>
      </c>
      <c r="D618" t="s">
        <v>1092</v>
      </c>
      <c r="E618" t="s">
        <v>1093</v>
      </c>
      <c r="F618" t="s">
        <v>13</v>
      </c>
      <c r="G618" t="s">
        <v>65</v>
      </c>
      <c r="H618">
        <v>0.90513765999999996</v>
      </c>
      <c r="I618" s="1">
        <v>3.319068E-7</v>
      </c>
      <c r="J618">
        <v>4.4657645000000001E-4</v>
      </c>
      <c r="K618">
        <f t="shared" si="28"/>
        <v>1</v>
      </c>
      <c r="L618">
        <f t="shared" si="29"/>
        <v>0</v>
      </c>
      <c r="M618">
        <f t="shared" si="30"/>
        <v>0</v>
      </c>
    </row>
    <row r="619" spans="1:13" x14ac:dyDescent="0.2">
      <c r="A619" t="s">
        <v>2453</v>
      </c>
      <c r="B619" t="s">
        <v>2896</v>
      </c>
      <c r="C619" t="s">
        <v>2898</v>
      </c>
      <c r="D619" t="s">
        <v>1094</v>
      </c>
      <c r="E619" t="s">
        <v>1095</v>
      </c>
      <c r="F619" t="s">
        <v>13</v>
      </c>
      <c r="G619" t="s">
        <v>14</v>
      </c>
      <c r="H619">
        <v>0.55960480000000001</v>
      </c>
      <c r="I619">
        <v>0.99999919999999998</v>
      </c>
      <c r="J619">
        <v>1.1937215E-3</v>
      </c>
      <c r="K619">
        <f t="shared" si="28"/>
        <v>1</v>
      </c>
      <c r="L619">
        <f t="shared" si="29"/>
        <v>1</v>
      </c>
      <c r="M619">
        <f t="shared" si="30"/>
        <v>0</v>
      </c>
    </row>
    <row r="620" spans="1:13" x14ac:dyDescent="0.2">
      <c r="A620" t="s">
        <v>2454</v>
      </c>
      <c r="B620" t="s">
        <v>2896</v>
      </c>
      <c r="C620" t="s">
        <v>2898</v>
      </c>
      <c r="D620" t="s">
        <v>1096</v>
      </c>
      <c r="E620" t="s">
        <v>1097</v>
      </c>
      <c r="F620" t="s">
        <v>9</v>
      </c>
      <c r="G620" t="s">
        <v>14</v>
      </c>
      <c r="H620">
        <v>0.87064355999999998</v>
      </c>
      <c r="I620">
        <v>0.99999744000000002</v>
      </c>
      <c r="J620" s="1">
        <v>2.6033735999999999E-6</v>
      </c>
      <c r="K620">
        <f t="shared" si="28"/>
        <v>1</v>
      </c>
      <c r="L620">
        <f t="shared" si="29"/>
        <v>1</v>
      </c>
      <c r="M620">
        <f t="shared" si="30"/>
        <v>0</v>
      </c>
    </row>
    <row r="621" spans="1:13" x14ac:dyDescent="0.2">
      <c r="A621" t="s">
        <v>2455</v>
      </c>
      <c r="B621" t="s">
        <v>2896</v>
      </c>
      <c r="C621" t="s">
        <v>2898</v>
      </c>
      <c r="D621" t="s">
        <v>1098</v>
      </c>
      <c r="E621" t="s">
        <v>1099</v>
      </c>
      <c r="F621" t="s">
        <v>9</v>
      </c>
      <c r="G621" t="s">
        <v>14</v>
      </c>
      <c r="H621">
        <v>0.99999994000000003</v>
      </c>
      <c r="I621">
        <v>0.99999994000000003</v>
      </c>
      <c r="J621">
        <v>2.9911200999999998E-2</v>
      </c>
      <c r="K621">
        <f t="shared" si="28"/>
        <v>1</v>
      </c>
      <c r="L621">
        <f t="shared" si="29"/>
        <v>1</v>
      </c>
      <c r="M621">
        <f t="shared" si="30"/>
        <v>0</v>
      </c>
    </row>
    <row r="622" spans="1:13" x14ac:dyDescent="0.2">
      <c r="A622" t="s">
        <v>2456</v>
      </c>
      <c r="B622" t="s">
        <v>2896</v>
      </c>
      <c r="C622" t="s">
        <v>2898</v>
      </c>
      <c r="D622" t="e">
        <f>-VQ-LVQSGA-EVKKPGSSVKVSCKASGGTF---------SSYAIT-WVRQ-A-P-G-Q--G-LE-WMGGIIIF------------GTANY--A--Q--KF--Q---GRVTITA-D---K-S--TS----T-AYMELSSLRS-EDTAVYYCARFYSY-------------------------GLWFDYWG-QGTLVTVSS</f>
        <v>#NAME?</v>
      </c>
      <c r="E622" t="s">
        <v>1007</v>
      </c>
      <c r="F622" t="s">
        <v>9</v>
      </c>
      <c r="G622" t="s">
        <v>14</v>
      </c>
      <c r="H622">
        <v>0.99999539999999998</v>
      </c>
      <c r="I622">
        <v>0.99999229999999995</v>
      </c>
      <c r="J622">
        <v>1.5078575E-2</v>
      </c>
      <c r="K622">
        <f t="shared" si="28"/>
        <v>1</v>
      </c>
      <c r="L622">
        <f t="shared" si="29"/>
        <v>1</v>
      </c>
      <c r="M622">
        <f t="shared" si="30"/>
        <v>0</v>
      </c>
    </row>
    <row r="623" spans="1:13" x14ac:dyDescent="0.2">
      <c r="A623" t="s">
        <v>2457</v>
      </c>
      <c r="B623" t="s">
        <v>2896</v>
      </c>
      <c r="C623" t="s">
        <v>2898</v>
      </c>
      <c r="D623" t="s">
        <v>1100</v>
      </c>
      <c r="E623" t="s">
        <v>1101</v>
      </c>
      <c r="F623" t="s">
        <v>9</v>
      </c>
      <c r="G623" t="s">
        <v>65</v>
      </c>
      <c r="H623">
        <v>4.5036099999999999E-3</v>
      </c>
      <c r="I623">
        <v>1.3538290999999999E-4</v>
      </c>
      <c r="J623" s="1">
        <v>5.8212029999999994E-11</v>
      </c>
      <c r="K623">
        <f t="shared" si="28"/>
        <v>0</v>
      </c>
      <c r="L623">
        <f t="shared" si="29"/>
        <v>0</v>
      </c>
      <c r="M623">
        <f t="shared" si="30"/>
        <v>0</v>
      </c>
    </row>
    <row r="624" spans="1:13" x14ac:dyDescent="0.2">
      <c r="A624" t="s">
        <v>2458</v>
      </c>
      <c r="B624" t="s">
        <v>2896</v>
      </c>
      <c r="C624" t="s">
        <v>2898</v>
      </c>
      <c r="D624" t="s">
        <v>1102</v>
      </c>
      <c r="E624" t="s">
        <v>1103</v>
      </c>
      <c r="F624" t="s">
        <v>13</v>
      </c>
      <c r="G624" t="s">
        <v>40</v>
      </c>
      <c r="H624">
        <v>0.99999839999999995</v>
      </c>
      <c r="I624">
        <v>0.99999994000000003</v>
      </c>
      <c r="J624">
        <v>0.54905932999999996</v>
      </c>
      <c r="K624">
        <f t="shared" si="28"/>
        <v>1</v>
      </c>
      <c r="L624">
        <f t="shared" si="29"/>
        <v>1</v>
      </c>
      <c r="M624">
        <f t="shared" si="30"/>
        <v>1</v>
      </c>
    </row>
    <row r="625" spans="1:13" x14ac:dyDescent="0.2">
      <c r="A625" t="s">
        <v>2459</v>
      </c>
      <c r="B625" t="s">
        <v>2896</v>
      </c>
      <c r="C625" t="s">
        <v>2898</v>
      </c>
      <c r="D625" t="s">
        <v>1104</v>
      </c>
      <c r="E625" t="s">
        <v>128</v>
      </c>
      <c r="F625" t="s">
        <v>60</v>
      </c>
      <c r="G625" t="s">
        <v>14</v>
      </c>
      <c r="H625">
        <v>0.99980449999999998</v>
      </c>
      <c r="I625">
        <v>0.9999903</v>
      </c>
      <c r="J625">
        <v>5.3175645999999997E-3</v>
      </c>
      <c r="K625">
        <f t="shared" si="28"/>
        <v>1</v>
      </c>
      <c r="L625">
        <f t="shared" si="29"/>
        <v>1</v>
      </c>
      <c r="M625">
        <f t="shared" si="30"/>
        <v>0</v>
      </c>
    </row>
    <row r="626" spans="1:13" x14ac:dyDescent="0.2">
      <c r="A626" t="s">
        <v>2460</v>
      </c>
      <c r="B626" t="s">
        <v>2896</v>
      </c>
      <c r="C626" t="s">
        <v>2898</v>
      </c>
      <c r="D626" t="s">
        <v>1105</v>
      </c>
      <c r="E626" t="s">
        <v>128</v>
      </c>
      <c r="F626" t="s">
        <v>13</v>
      </c>
      <c r="G626" t="s">
        <v>14</v>
      </c>
      <c r="H626">
        <v>0.99998885000000004</v>
      </c>
      <c r="I626">
        <v>0.9999903</v>
      </c>
      <c r="J626">
        <v>0.98041654</v>
      </c>
      <c r="K626">
        <f t="shared" si="28"/>
        <v>1</v>
      </c>
      <c r="L626">
        <f t="shared" si="29"/>
        <v>1</v>
      </c>
      <c r="M626">
        <f t="shared" si="30"/>
        <v>1</v>
      </c>
    </row>
    <row r="627" spans="1:13" x14ac:dyDescent="0.2">
      <c r="A627" t="s">
        <v>2461</v>
      </c>
      <c r="B627" t="s">
        <v>2896</v>
      </c>
      <c r="C627" t="s">
        <v>2898</v>
      </c>
      <c r="D627" t="s">
        <v>1106</v>
      </c>
      <c r="E627" t="s">
        <v>1107</v>
      </c>
      <c r="F627" t="s">
        <v>13</v>
      </c>
      <c r="G627" t="s">
        <v>14</v>
      </c>
      <c r="H627">
        <v>0.98437569999999996</v>
      </c>
      <c r="I627">
        <v>0.99997705000000003</v>
      </c>
      <c r="J627" s="1">
        <v>1.7888723999999999E-5</v>
      </c>
      <c r="K627">
        <f t="shared" si="28"/>
        <v>1</v>
      </c>
      <c r="L627">
        <f t="shared" si="29"/>
        <v>1</v>
      </c>
      <c r="M627">
        <f t="shared" si="30"/>
        <v>0</v>
      </c>
    </row>
    <row r="628" spans="1:13" x14ac:dyDescent="0.2">
      <c r="A628" t="s">
        <v>2462</v>
      </c>
      <c r="B628" t="s">
        <v>2896</v>
      </c>
      <c r="C628" t="s">
        <v>2898</v>
      </c>
      <c r="D628" t="s">
        <v>1108</v>
      </c>
      <c r="E628" t="s">
        <v>1109</v>
      </c>
      <c r="F628" t="s">
        <v>9</v>
      </c>
      <c r="G628" t="s">
        <v>10</v>
      </c>
      <c r="H628">
        <v>0.99991289999999999</v>
      </c>
      <c r="I628">
        <v>0.99999994000000003</v>
      </c>
      <c r="J628">
        <v>0.87394344999999996</v>
      </c>
      <c r="K628">
        <f t="shared" si="28"/>
        <v>1</v>
      </c>
      <c r="L628">
        <f t="shared" si="29"/>
        <v>1</v>
      </c>
      <c r="M628">
        <f t="shared" si="30"/>
        <v>1</v>
      </c>
    </row>
    <row r="629" spans="1:13" x14ac:dyDescent="0.2">
      <c r="A629" t="s">
        <v>2463</v>
      </c>
      <c r="B629" t="s">
        <v>2896</v>
      </c>
      <c r="C629" t="s">
        <v>2898</v>
      </c>
      <c r="D629" t="s">
        <v>1110</v>
      </c>
      <c r="E629" t="s">
        <v>1111</v>
      </c>
      <c r="F629" t="s">
        <v>9</v>
      </c>
      <c r="G629" t="s">
        <v>40</v>
      </c>
      <c r="H629">
        <v>0.99999899999999997</v>
      </c>
      <c r="I629">
        <v>0.99999994000000003</v>
      </c>
      <c r="J629">
        <v>8.1123979999999998E-2</v>
      </c>
      <c r="K629">
        <f t="shared" si="28"/>
        <v>1</v>
      </c>
      <c r="L629">
        <f t="shared" si="29"/>
        <v>1</v>
      </c>
      <c r="M629">
        <f t="shared" si="30"/>
        <v>0</v>
      </c>
    </row>
    <row r="630" spans="1:13" x14ac:dyDescent="0.2">
      <c r="A630" t="s">
        <v>2464</v>
      </c>
      <c r="B630" t="s">
        <v>2896</v>
      </c>
      <c r="C630" t="s">
        <v>2898</v>
      </c>
      <c r="D630" t="s">
        <v>1112</v>
      </c>
      <c r="E630" t="s">
        <v>1113</v>
      </c>
      <c r="F630" t="s">
        <v>13</v>
      </c>
      <c r="G630" t="s">
        <v>40</v>
      </c>
      <c r="H630">
        <v>0.99965179999999998</v>
      </c>
      <c r="I630">
        <v>0.99999994000000003</v>
      </c>
      <c r="J630">
        <v>0.47915834000000002</v>
      </c>
      <c r="K630">
        <f t="shared" si="28"/>
        <v>1</v>
      </c>
      <c r="L630">
        <f t="shared" si="29"/>
        <v>1</v>
      </c>
      <c r="M630">
        <f t="shared" si="30"/>
        <v>0</v>
      </c>
    </row>
    <row r="631" spans="1:13" x14ac:dyDescent="0.2">
      <c r="A631" t="s">
        <v>2465</v>
      </c>
      <c r="B631" t="s">
        <v>2896</v>
      </c>
      <c r="C631" t="s">
        <v>2898</v>
      </c>
      <c r="D631" t="s">
        <v>1114</v>
      </c>
      <c r="E631" t="s">
        <v>1115</v>
      </c>
      <c r="F631" t="s">
        <v>17</v>
      </c>
      <c r="G631" t="s">
        <v>14</v>
      </c>
      <c r="H631">
        <v>0.99893290000000001</v>
      </c>
      <c r="I631">
        <v>0.99997369999999997</v>
      </c>
      <c r="J631">
        <v>0.9990329</v>
      </c>
      <c r="K631">
        <f t="shared" si="28"/>
        <v>1</v>
      </c>
      <c r="L631">
        <f t="shared" si="29"/>
        <v>1</v>
      </c>
      <c r="M631">
        <f t="shared" si="30"/>
        <v>1</v>
      </c>
    </row>
    <row r="632" spans="1:13" x14ac:dyDescent="0.2">
      <c r="A632" t="s">
        <v>2466</v>
      </c>
      <c r="B632" t="s">
        <v>2896</v>
      </c>
      <c r="C632" t="s">
        <v>2898</v>
      </c>
      <c r="D632" t="s">
        <v>1116</v>
      </c>
      <c r="E632" t="s">
        <v>1117</v>
      </c>
      <c r="F632" t="s">
        <v>9</v>
      </c>
      <c r="G632" t="s">
        <v>14</v>
      </c>
      <c r="H632">
        <v>0.99999979999999999</v>
      </c>
      <c r="I632">
        <v>0.99992829999999999</v>
      </c>
      <c r="J632">
        <v>3.3637285E-4</v>
      </c>
      <c r="K632">
        <f t="shared" si="28"/>
        <v>1</v>
      </c>
      <c r="L632">
        <f t="shared" si="29"/>
        <v>1</v>
      </c>
      <c r="M632">
        <f t="shared" si="30"/>
        <v>0</v>
      </c>
    </row>
    <row r="633" spans="1:13" x14ac:dyDescent="0.2">
      <c r="A633" t="s">
        <v>2467</v>
      </c>
      <c r="B633" t="s">
        <v>2896</v>
      </c>
      <c r="C633" t="s">
        <v>2898</v>
      </c>
      <c r="D633" t="s">
        <v>1118</v>
      </c>
      <c r="E633" t="s">
        <v>147</v>
      </c>
      <c r="F633" t="s">
        <v>13</v>
      </c>
      <c r="G633" t="s">
        <v>14</v>
      </c>
      <c r="H633">
        <v>0.99999979999999999</v>
      </c>
      <c r="I633">
        <v>0.99933510000000003</v>
      </c>
      <c r="J633">
        <v>0.9976235</v>
      </c>
      <c r="K633">
        <f t="shared" si="28"/>
        <v>1</v>
      </c>
      <c r="L633">
        <f t="shared" si="29"/>
        <v>1</v>
      </c>
      <c r="M633">
        <f t="shared" si="30"/>
        <v>1</v>
      </c>
    </row>
    <row r="634" spans="1:13" x14ac:dyDescent="0.2">
      <c r="A634" t="s">
        <v>2468</v>
      </c>
      <c r="B634" t="s">
        <v>2896</v>
      </c>
      <c r="C634" t="s">
        <v>2898</v>
      </c>
      <c r="D634" t="s">
        <v>1119</v>
      </c>
      <c r="E634" t="s">
        <v>739</v>
      </c>
      <c r="F634" t="s">
        <v>9</v>
      </c>
      <c r="G634" t="s">
        <v>14</v>
      </c>
      <c r="H634">
        <v>0.99999815000000003</v>
      </c>
      <c r="I634">
        <v>0.98166310000000001</v>
      </c>
      <c r="J634">
        <v>1.7499620000000001E-3</v>
      </c>
      <c r="K634">
        <f t="shared" si="28"/>
        <v>1</v>
      </c>
      <c r="L634">
        <f t="shared" si="29"/>
        <v>1</v>
      </c>
      <c r="M634">
        <f t="shared" si="30"/>
        <v>0</v>
      </c>
    </row>
    <row r="635" spans="1:13" x14ac:dyDescent="0.2">
      <c r="A635" t="s">
        <v>2469</v>
      </c>
      <c r="B635" t="s">
        <v>2896</v>
      </c>
      <c r="C635" t="s">
        <v>2898</v>
      </c>
      <c r="D635" t="e">
        <f>-VQ-LQESGP-GLVKPSQTLSLTCSVTGYSI---------TSGYWN-WIRQ-P-P-G-K--G-LE-WIGYIYYS------------GSTNY--N--P--SL--K---SRVTISV-D---T-S--KN----Q-FSLKLSSVTA-ADTAVYYCARAGY---------------------------YGSGYWG-QGTLVTVSS</f>
        <v>#NAME?</v>
      </c>
      <c r="E635" t="s">
        <v>1120</v>
      </c>
      <c r="F635" t="s">
        <v>17</v>
      </c>
      <c r="G635" t="s">
        <v>14</v>
      </c>
      <c r="H635">
        <v>0.99999660000000001</v>
      </c>
      <c r="I635">
        <v>0.99999994000000003</v>
      </c>
      <c r="J635">
        <v>0.87187713</v>
      </c>
      <c r="K635">
        <f t="shared" si="28"/>
        <v>1</v>
      </c>
      <c r="L635">
        <f t="shared" si="29"/>
        <v>1</v>
      </c>
      <c r="M635">
        <f t="shared" si="30"/>
        <v>1</v>
      </c>
    </row>
    <row r="636" spans="1:13" x14ac:dyDescent="0.2">
      <c r="A636" t="s">
        <v>2470</v>
      </c>
      <c r="B636" t="s">
        <v>2896</v>
      </c>
      <c r="C636" t="s">
        <v>2898</v>
      </c>
      <c r="D636" t="s">
        <v>1121</v>
      </c>
      <c r="E636" t="s">
        <v>1122</v>
      </c>
      <c r="F636" t="s">
        <v>13</v>
      </c>
      <c r="G636" t="s">
        <v>14</v>
      </c>
      <c r="H636">
        <v>0.76469310000000001</v>
      </c>
      <c r="I636">
        <v>0.99396209999999996</v>
      </c>
      <c r="J636">
        <v>1.8335721999999999E-2</v>
      </c>
      <c r="K636">
        <f t="shared" si="28"/>
        <v>1</v>
      </c>
      <c r="L636">
        <f t="shared" si="29"/>
        <v>1</v>
      </c>
      <c r="M636">
        <f t="shared" si="30"/>
        <v>0</v>
      </c>
    </row>
    <row r="637" spans="1:13" x14ac:dyDescent="0.2">
      <c r="A637" t="s">
        <v>2471</v>
      </c>
      <c r="B637" t="s">
        <v>2896</v>
      </c>
      <c r="C637" t="s">
        <v>2898</v>
      </c>
      <c r="D637" t="s">
        <v>1123</v>
      </c>
      <c r="E637" t="s">
        <v>673</v>
      </c>
      <c r="F637" t="s">
        <v>9</v>
      </c>
      <c r="G637" t="s">
        <v>14</v>
      </c>
      <c r="H637">
        <v>0.56592107000000003</v>
      </c>
      <c r="I637">
        <v>0.99993675999999998</v>
      </c>
      <c r="J637">
        <v>0.99933749999999999</v>
      </c>
      <c r="K637">
        <f t="shared" si="28"/>
        <v>1</v>
      </c>
      <c r="L637">
        <f t="shared" si="29"/>
        <v>1</v>
      </c>
      <c r="M637">
        <f t="shared" si="30"/>
        <v>1</v>
      </c>
    </row>
    <row r="638" spans="1:13" x14ac:dyDescent="0.2">
      <c r="A638" t="s">
        <v>2472</v>
      </c>
      <c r="B638" t="s">
        <v>2896</v>
      </c>
      <c r="C638" t="s">
        <v>2898</v>
      </c>
      <c r="D638" t="s">
        <v>1124</v>
      </c>
      <c r="E638" t="s">
        <v>128</v>
      </c>
      <c r="F638" t="s">
        <v>13</v>
      </c>
      <c r="G638" t="s">
        <v>14</v>
      </c>
      <c r="H638">
        <v>0.99997429999999998</v>
      </c>
      <c r="I638">
        <v>0.9999903</v>
      </c>
      <c r="J638">
        <v>0.99485003999999999</v>
      </c>
      <c r="K638">
        <f t="shared" si="28"/>
        <v>1</v>
      </c>
      <c r="L638">
        <f t="shared" si="29"/>
        <v>1</v>
      </c>
      <c r="M638">
        <f t="shared" si="30"/>
        <v>1</v>
      </c>
    </row>
    <row r="639" spans="1:13" x14ac:dyDescent="0.2">
      <c r="A639" t="s">
        <v>2473</v>
      </c>
      <c r="B639" t="s">
        <v>2896</v>
      </c>
      <c r="C639" t="s">
        <v>2898</v>
      </c>
      <c r="D639" t="s">
        <v>1125</v>
      </c>
      <c r="E639" t="s">
        <v>1126</v>
      </c>
      <c r="F639" t="s">
        <v>9</v>
      </c>
      <c r="G639" t="s">
        <v>14</v>
      </c>
      <c r="H639">
        <v>0.99999994000000003</v>
      </c>
      <c r="I639">
        <v>0.97006619999999999</v>
      </c>
      <c r="J639">
        <v>0.98893719999999996</v>
      </c>
      <c r="K639">
        <f t="shared" si="28"/>
        <v>1</v>
      </c>
      <c r="L639">
        <f t="shared" si="29"/>
        <v>1</v>
      </c>
      <c r="M639">
        <f t="shared" si="30"/>
        <v>1</v>
      </c>
    </row>
    <row r="640" spans="1:13" x14ac:dyDescent="0.2">
      <c r="A640" t="s">
        <v>2474</v>
      </c>
      <c r="B640" t="s">
        <v>2896</v>
      </c>
      <c r="C640" t="s">
        <v>2898</v>
      </c>
      <c r="D640" t="s">
        <v>1127</v>
      </c>
      <c r="E640" t="s">
        <v>1128</v>
      </c>
      <c r="F640" t="s">
        <v>13</v>
      </c>
      <c r="G640" t="s">
        <v>10</v>
      </c>
      <c r="H640">
        <v>0.99998920000000002</v>
      </c>
      <c r="I640">
        <v>0.99999994000000003</v>
      </c>
      <c r="J640">
        <v>0.99999970000000005</v>
      </c>
      <c r="K640">
        <f t="shared" si="28"/>
        <v>1</v>
      </c>
      <c r="L640">
        <f t="shared" si="29"/>
        <v>1</v>
      </c>
      <c r="M640">
        <f t="shared" si="30"/>
        <v>1</v>
      </c>
    </row>
    <row r="641" spans="1:13" x14ac:dyDescent="0.2">
      <c r="A641" t="s">
        <v>2475</v>
      </c>
      <c r="B641" t="s">
        <v>2896</v>
      </c>
      <c r="C641" t="s">
        <v>2898</v>
      </c>
      <c r="D641" t="s">
        <v>1129</v>
      </c>
      <c r="E641" t="s">
        <v>128</v>
      </c>
      <c r="F641" t="s">
        <v>13</v>
      </c>
      <c r="G641" t="s">
        <v>14</v>
      </c>
      <c r="H641">
        <v>0.99996629999999997</v>
      </c>
      <c r="I641">
        <v>0.9999903</v>
      </c>
      <c r="J641">
        <v>0.99947540000000001</v>
      </c>
      <c r="K641">
        <f t="shared" si="28"/>
        <v>1</v>
      </c>
      <c r="L641">
        <f t="shared" si="29"/>
        <v>1</v>
      </c>
      <c r="M641">
        <f t="shared" si="30"/>
        <v>1</v>
      </c>
    </row>
    <row r="642" spans="1:13" x14ac:dyDescent="0.2">
      <c r="A642" t="s">
        <v>2476</v>
      </c>
      <c r="B642" t="s">
        <v>2896</v>
      </c>
      <c r="C642" t="s">
        <v>2898</v>
      </c>
      <c r="D642" t="s">
        <v>1130</v>
      </c>
      <c r="E642" t="s">
        <v>79</v>
      </c>
      <c r="F642" t="s">
        <v>13</v>
      </c>
      <c r="G642" t="s">
        <v>14</v>
      </c>
      <c r="H642">
        <v>0.53786193999999998</v>
      </c>
      <c r="I642">
        <v>0.99999994000000003</v>
      </c>
      <c r="J642">
        <v>0.99999934000000001</v>
      </c>
      <c r="K642">
        <f t="shared" si="28"/>
        <v>1</v>
      </c>
      <c r="L642">
        <f t="shared" si="29"/>
        <v>1</v>
      </c>
      <c r="M642">
        <f t="shared" si="30"/>
        <v>1</v>
      </c>
    </row>
    <row r="643" spans="1:13" x14ac:dyDescent="0.2">
      <c r="A643" t="s">
        <v>2477</v>
      </c>
      <c r="B643" t="s">
        <v>2896</v>
      </c>
      <c r="C643" t="s">
        <v>2898</v>
      </c>
      <c r="D643" t="s">
        <v>1131</v>
      </c>
      <c r="E643" t="s">
        <v>1132</v>
      </c>
      <c r="F643" t="s">
        <v>13</v>
      </c>
      <c r="G643" t="s">
        <v>10</v>
      </c>
      <c r="H643">
        <v>0.86743650000000005</v>
      </c>
      <c r="I643">
        <v>0.99999994000000003</v>
      </c>
      <c r="J643">
        <v>0.99999576999999995</v>
      </c>
      <c r="K643">
        <f t="shared" ref="K643:K706" si="31">IF(H643&gt;=0.5,1,0)</f>
        <v>1</v>
      </c>
      <c r="L643">
        <f t="shared" ref="L643:L706" si="32">IF(I643&gt;=0.5,1,0)</f>
        <v>1</v>
      </c>
      <c r="M643">
        <f t="shared" ref="M643:M706" si="33">IF(J643&gt;=0.5,1,0)</f>
        <v>1</v>
      </c>
    </row>
    <row r="644" spans="1:13" x14ac:dyDescent="0.2">
      <c r="A644" t="s">
        <v>2478</v>
      </c>
      <c r="B644" t="s">
        <v>2896</v>
      </c>
      <c r="C644" t="s">
        <v>2898</v>
      </c>
      <c r="D644" t="s">
        <v>1133</v>
      </c>
      <c r="E644" t="s">
        <v>1134</v>
      </c>
      <c r="F644" t="s">
        <v>13</v>
      </c>
      <c r="G644" t="s">
        <v>40</v>
      </c>
      <c r="H644">
        <v>0.99998980000000004</v>
      </c>
      <c r="I644">
        <v>0.99999994000000003</v>
      </c>
      <c r="J644">
        <v>0.20654596</v>
      </c>
      <c r="K644">
        <f t="shared" si="31"/>
        <v>1</v>
      </c>
      <c r="L644">
        <f t="shared" si="32"/>
        <v>1</v>
      </c>
      <c r="M644">
        <f t="shared" si="33"/>
        <v>0</v>
      </c>
    </row>
    <row r="645" spans="1:13" x14ac:dyDescent="0.2">
      <c r="A645" t="s">
        <v>2479</v>
      </c>
      <c r="B645" t="s">
        <v>2896</v>
      </c>
      <c r="C645" t="s">
        <v>2898</v>
      </c>
      <c r="D645" t="s">
        <v>1135</v>
      </c>
      <c r="E645" t="s">
        <v>128</v>
      </c>
      <c r="F645" t="s">
        <v>13</v>
      </c>
      <c r="G645" t="s">
        <v>14</v>
      </c>
      <c r="H645">
        <v>0.99999945999999995</v>
      </c>
      <c r="I645">
        <v>0.9999903</v>
      </c>
      <c r="J645">
        <v>0.98971900000000002</v>
      </c>
      <c r="K645">
        <f t="shared" si="31"/>
        <v>1</v>
      </c>
      <c r="L645">
        <f t="shared" si="32"/>
        <v>1</v>
      </c>
      <c r="M645">
        <f t="shared" si="33"/>
        <v>1</v>
      </c>
    </row>
    <row r="646" spans="1:13" x14ac:dyDescent="0.2">
      <c r="A646" t="s">
        <v>2480</v>
      </c>
      <c r="B646" t="s">
        <v>2896</v>
      </c>
      <c r="C646" t="s">
        <v>2898</v>
      </c>
      <c r="D646" t="s">
        <v>1136</v>
      </c>
      <c r="E646" t="s">
        <v>953</v>
      </c>
      <c r="F646" t="s">
        <v>9</v>
      </c>
      <c r="G646" t="s">
        <v>10</v>
      </c>
      <c r="H646">
        <v>0.99999994000000003</v>
      </c>
      <c r="I646">
        <v>0.99999994000000003</v>
      </c>
      <c r="J646">
        <v>0.48904222000000003</v>
      </c>
      <c r="K646">
        <f t="shared" si="31"/>
        <v>1</v>
      </c>
      <c r="L646">
        <f t="shared" si="32"/>
        <v>1</v>
      </c>
      <c r="M646">
        <f t="shared" si="33"/>
        <v>0</v>
      </c>
    </row>
    <row r="647" spans="1:13" x14ac:dyDescent="0.2">
      <c r="A647" t="s">
        <v>2481</v>
      </c>
      <c r="B647" t="s">
        <v>2896</v>
      </c>
      <c r="C647" t="s">
        <v>2898</v>
      </c>
      <c r="D647" t="s">
        <v>1137</v>
      </c>
      <c r="E647" t="s">
        <v>1138</v>
      </c>
      <c r="F647" t="s">
        <v>13</v>
      </c>
      <c r="G647" t="s">
        <v>40</v>
      </c>
      <c r="H647">
        <v>0.9998648</v>
      </c>
      <c r="I647">
        <v>0.99999994000000003</v>
      </c>
      <c r="J647">
        <v>0.97855080000000005</v>
      </c>
      <c r="K647">
        <f t="shared" si="31"/>
        <v>1</v>
      </c>
      <c r="L647">
        <f t="shared" si="32"/>
        <v>1</v>
      </c>
      <c r="M647">
        <f t="shared" si="33"/>
        <v>1</v>
      </c>
    </row>
    <row r="648" spans="1:13" x14ac:dyDescent="0.2">
      <c r="A648" t="s">
        <v>2482</v>
      </c>
      <c r="B648" t="s">
        <v>2896</v>
      </c>
      <c r="C648" t="s">
        <v>2898</v>
      </c>
      <c r="D648" t="s">
        <v>1139</v>
      </c>
      <c r="E648" t="s">
        <v>1140</v>
      </c>
      <c r="F648" t="s">
        <v>17</v>
      </c>
      <c r="G648" t="s">
        <v>10</v>
      </c>
      <c r="H648">
        <v>0.99999945999999995</v>
      </c>
      <c r="I648">
        <v>6.8970909999999997E-4</v>
      </c>
      <c r="J648">
        <v>0.87973314999999996</v>
      </c>
      <c r="K648">
        <f t="shared" si="31"/>
        <v>1</v>
      </c>
      <c r="L648">
        <f t="shared" si="32"/>
        <v>0</v>
      </c>
      <c r="M648">
        <f t="shared" si="33"/>
        <v>1</v>
      </c>
    </row>
    <row r="649" spans="1:13" x14ac:dyDescent="0.2">
      <c r="A649" t="s">
        <v>2483</v>
      </c>
      <c r="B649" t="s">
        <v>2896</v>
      </c>
      <c r="C649" t="s">
        <v>2898</v>
      </c>
      <c r="D649" t="s">
        <v>1141</v>
      </c>
      <c r="E649" t="s">
        <v>147</v>
      </c>
      <c r="F649" t="s">
        <v>9</v>
      </c>
      <c r="G649" t="s">
        <v>14</v>
      </c>
      <c r="H649">
        <v>0.99999994000000003</v>
      </c>
      <c r="I649">
        <v>0.99933510000000003</v>
      </c>
      <c r="J649">
        <v>0.98810019999999998</v>
      </c>
      <c r="K649">
        <f t="shared" si="31"/>
        <v>1</v>
      </c>
      <c r="L649">
        <f t="shared" si="32"/>
        <v>1</v>
      </c>
      <c r="M649">
        <f t="shared" si="33"/>
        <v>1</v>
      </c>
    </row>
    <row r="650" spans="1:13" x14ac:dyDescent="0.2">
      <c r="A650" t="s">
        <v>2484</v>
      </c>
      <c r="B650" t="s">
        <v>2896</v>
      </c>
      <c r="C650" t="s">
        <v>2898</v>
      </c>
      <c r="D650" t="s">
        <v>1142</v>
      </c>
      <c r="E650" t="s">
        <v>1143</v>
      </c>
      <c r="F650" t="s">
        <v>9</v>
      </c>
      <c r="G650" t="s">
        <v>14</v>
      </c>
      <c r="H650">
        <v>0.99999959999999999</v>
      </c>
      <c r="I650">
        <v>0.99999755999999995</v>
      </c>
      <c r="J650">
        <v>4.2705310000000002E-3</v>
      </c>
      <c r="K650">
        <f t="shared" si="31"/>
        <v>1</v>
      </c>
      <c r="L650">
        <f t="shared" si="32"/>
        <v>1</v>
      </c>
      <c r="M650">
        <f t="shared" si="33"/>
        <v>0</v>
      </c>
    </row>
    <row r="651" spans="1:13" x14ac:dyDescent="0.2">
      <c r="A651" t="s">
        <v>2485</v>
      </c>
      <c r="B651" t="s">
        <v>2896</v>
      </c>
      <c r="C651" t="s">
        <v>2898</v>
      </c>
      <c r="D651" t="s">
        <v>1144</v>
      </c>
      <c r="E651" t="s">
        <v>1145</v>
      </c>
      <c r="F651" t="s">
        <v>13</v>
      </c>
      <c r="G651" t="s">
        <v>14</v>
      </c>
      <c r="H651">
        <v>0.99997990000000003</v>
      </c>
      <c r="I651">
        <v>0.98743515999999998</v>
      </c>
      <c r="J651">
        <v>0.95947355000000001</v>
      </c>
      <c r="K651">
        <f t="shared" si="31"/>
        <v>1</v>
      </c>
      <c r="L651">
        <f t="shared" si="32"/>
        <v>1</v>
      </c>
      <c r="M651">
        <f t="shared" si="33"/>
        <v>1</v>
      </c>
    </row>
    <row r="652" spans="1:13" x14ac:dyDescent="0.2">
      <c r="A652" t="s">
        <v>2486</v>
      </c>
      <c r="B652" t="s">
        <v>2897</v>
      </c>
      <c r="C652" t="s">
        <v>2898</v>
      </c>
      <c r="D652" t="s">
        <v>1146</v>
      </c>
      <c r="E652" t="s">
        <v>1147</v>
      </c>
      <c r="F652" t="s">
        <v>13</v>
      </c>
      <c r="G652" t="s">
        <v>14</v>
      </c>
      <c r="H652">
        <v>0.8527479</v>
      </c>
      <c r="I652">
        <v>0.99999979999999999</v>
      </c>
      <c r="J652" s="1">
        <v>3.2915120000000001E-5</v>
      </c>
      <c r="K652">
        <f t="shared" si="31"/>
        <v>1</v>
      </c>
      <c r="L652">
        <f t="shared" si="32"/>
        <v>1</v>
      </c>
      <c r="M652">
        <f t="shared" si="33"/>
        <v>0</v>
      </c>
    </row>
    <row r="653" spans="1:13" x14ac:dyDescent="0.2">
      <c r="A653" t="s">
        <v>2487</v>
      </c>
      <c r="B653" t="s">
        <v>2897</v>
      </c>
      <c r="C653" t="s">
        <v>2898</v>
      </c>
      <c r="D653" t="s">
        <v>1148</v>
      </c>
      <c r="E653" t="s">
        <v>1001</v>
      </c>
      <c r="F653" t="s">
        <v>13</v>
      </c>
      <c r="G653" t="s">
        <v>14</v>
      </c>
      <c r="H653">
        <v>0.99992349999999997</v>
      </c>
      <c r="I653">
        <v>0.99999669999999996</v>
      </c>
      <c r="J653">
        <v>7.284469E-3</v>
      </c>
      <c r="K653">
        <f t="shared" si="31"/>
        <v>1</v>
      </c>
      <c r="L653">
        <f t="shared" si="32"/>
        <v>1</v>
      </c>
      <c r="M653">
        <f t="shared" si="33"/>
        <v>0</v>
      </c>
    </row>
    <row r="654" spans="1:13" x14ac:dyDescent="0.2">
      <c r="A654" t="s">
        <v>2488</v>
      </c>
      <c r="B654" t="s">
        <v>2897</v>
      </c>
      <c r="C654" t="s">
        <v>2898</v>
      </c>
      <c r="D654" t="s">
        <v>1149</v>
      </c>
      <c r="E654" t="s">
        <v>1006</v>
      </c>
      <c r="F654" t="s">
        <v>13</v>
      </c>
      <c r="G654" t="s">
        <v>14</v>
      </c>
      <c r="H654">
        <v>0.99990979999999996</v>
      </c>
      <c r="I654">
        <v>0.99999934000000001</v>
      </c>
      <c r="J654">
        <v>3.6484941E-3</v>
      </c>
      <c r="K654">
        <f t="shared" si="31"/>
        <v>1</v>
      </c>
      <c r="L654">
        <f t="shared" si="32"/>
        <v>1</v>
      </c>
      <c r="M654">
        <f t="shared" si="33"/>
        <v>0</v>
      </c>
    </row>
    <row r="655" spans="1:13" x14ac:dyDescent="0.2">
      <c r="A655" t="s">
        <v>2489</v>
      </c>
      <c r="B655" t="s">
        <v>2897</v>
      </c>
      <c r="C655" t="s">
        <v>2898</v>
      </c>
      <c r="D655" t="s">
        <v>1150</v>
      </c>
      <c r="E655" t="s">
        <v>1151</v>
      </c>
      <c r="F655" t="s">
        <v>13</v>
      </c>
      <c r="G655" t="s">
        <v>14</v>
      </c>
      <c r="H655">
        <v>0.99999669999999996</v>
      </c>
      <c r="I655">
        <v>0.99999994000000003</v>
      </c>
      <c r="J655">
        <v>0.95005700000000004</v>
      </c>
      <c r="K655">
        <f t="shared" si="31"/>
        <v>1</v>
      </c>
      <c r="L655">
        <f t="shared" si="32"/>
        <v>1</v>
      </c>
      <c r="M655">
        <f t="shared" si="33"/>
        <v>1</v>
      </c>
    </row>
    <row r="656" spans="1:13" x14ac:dyDescent="0.2">
      <c r="A656" t="s">
        <v>2490</v>
      </c>
      <c r="B656" t="s">
        <v>2897</v>
      </c>
      <c r="C656" t="s">
        <v>2898</v>
      </c>
      <c r="D656" t="s">
        <v>1152</v>
      </c>
      <c r="E656" t="s">
        <v>1153</v>
      </c>
      <c r="F656" t="s">
        <v>13</v>
      </c>
      <c r="G656" t="s">
        <v>65</v>
      </c>
      <c r="H656">
        <v>0.56308219999999998</v>
      </c>
      <c r="I656" s="1">
        <v>6.5359176E-9</v>
      </c>
      <c r="J656">
        <v>1.2696433000000001E-3</v>
      </c>
      <c r="K656">
        <f t="shared" si="31"/>
        <v>1</v>
      </c>
      <c r="L656">
        <f t="shared" si="32"/>
        <v>0</v>
      </c>
      <c r="M656">
        <f t="shared" si="33"/>
        <v>0</v>
      </c>
    </row>
    <row r="657" spans="1:13" x14ac:dyDescent="0.2">
      <c r="A657" t="s">
        <v>2491</v>
      </c>
      <c r="B657" t="s">
        <v>2897</v>
      </c>
      <c r="C657" t="s">
        <v>2898</v>
      </c>
      <c r="D657" t="s">
        <v>1154</v>
      </c>
      <c r="E657" t="s">
        <v>128</v>
      </c>
      <c r="F657" t="s">
        <v>13</v>
      </c>
      <c r="G657" t="s">
        <v>14</v>
      </c>
      <c r="H657">
        <v>0.99994223999999998</v>
      </c>
      <c r="I657">
        <v>0.9999903</v>
      </c>
      <c r="J657">
        <v>0.96752459999999996</v>
      </c>
      <c r="K657">
        <f t="shared" si="31"/>
        <v>1</v>
      </c>
      <c r="L657">
        <f t="shared" si="32"/>
        <v>1</v>
      </c>
      <c r="M657">
        <f t="shared" si="33"/>
        <v>1</v>
      </c>
    </row>
    <row r="658" spans="1:13" x14ac:dyDescent="0.2">
      <c r="A658" t="s">
        <v>2492</v>
      </c>
      <c r="B658" t="s">
        <v>2897</v>
      </c>
      <c r="C658" t="s">
        <v>2898</v>
      </c>
      <c r="D658" t="s">
        <v>1155</v>
      </c>
      <c r="E658" t="s">
        <v>42</v>
      </c>
      <c r="F658" t="s">
        <v>9</v>
      </c>
      <c r="G658" t="s">
        <v>10</v>
      </c>
      <c r="H658">
        <v>0.99999979999999999</v>
      </c>
      <c r="I658">
        <v>0.99999994000000003</v>
      </c>
      <c r="J658">
        <v>0.99998385000000001</v>
      </c>
      <c r="K658">
        <f t="shared" si="31"/>
        <v>1</v>
      </c>
      <c r="L658">
        <f t="shared" si="32"/>
        <v>1</v>
      </c>
      <c r="M658">
        <f t="shared" si="33"/>
        <v>1</v>
      </c>
    </row>
    <row r="659" spans="1:13" x14ac:dyDescent="0.2">
      <c r="A659" t="s">
        <v>2493</v>
      </c>
      <c r="B659" t="s">
        <v>2897</v>
      </c>
      <c r="C659" t="s">
        <v>2898</v>
      </c>
      <c r="D659" t="s">
        <v>1156</v>
      </c>
      <c r="E659" t="s">
        <v>1157</v>
      </c>
      <c r="F659" t="s">
        <v>9</v>
      </c>
      <c r="G659" t="s">
        <v>14</v>
      </c>
      <c r="H659">
        <v>4.1815884999999997E-3</v>
      </c>
      <c r="I659">
        <v>0.99999994000000003</v>
      </c>
      <c r="J659" s="1">
        <v>6.8002365000000003E-8</v>
      </c>
      <c r="K659">
        <f t="shared" si="31"/>
        <v>0</v>
      </c>
      <c r="L659">
        <f t="shared" si="32"/>
        <v>1</v>
      </c>
      <c r="M659">
        <f t="shared" si="33"/>
        <v>0</v>
      </c>
    </row>
    <row r="660" spans="1:13" x14ac:dyDescent="0.2">
      <c r="A660" t="s">
        <v>2494</v>
      </c>
      <c r="B660" t="s">
        <v>2897</v>
      </c>
      <c r="C660" t="s">
        <v>2898</v>
      </c>
      <c r="D660" t="s">
        <v>1158</v>
      </c>
      <c r="E660" t="s">
        <v>128</v>
      </c>
      <c r="F660" t="s">
        <v>13</v>
      </c>
      <c r="G660" t="s">
        <v>14</v>
      </c>
      <c r="H660">
        <v>0.99999994000000003</v>
      </c>
      <c r="I660">
        <v>0.9999903</v>
      </c>
      <c r="J660">
        <v>0.99160170000000003</v>
      </c>
      <c r="K660">
        <f t="shared" si="31"/>
        <v>1</v>
      </c>
      <c r="L660">
        <f t="shared" si="32"/>
        <v>1</v>
      </c>
      <c r="M660">
        <f t="shared" si="33"/>
        <v>1</v>
      </c>
    </row>
    <row r="661" spans="1:13" x14ac:dyDescent="0.2">
      <c r="A661" t="s">
        <v>2495</v>
      </c>
      <c r="B661" t="s">
        <v>2897</v>
      </c>
      <c r="C661" t="s">
        <v>2898</v>
      </c>
      <c r="D661" t="s">
        <v>1159</v>
      </c>
      <c r="E661" t="s">
        <v>968</v>
      </c>
      <c r="F661" t="s">
        <v>9</v>
      </c>
      <c r="G661" t="s">
        <v>10</v>
      </c>
      <c r="H661">
        <v>0.99999979999999999</v>
      </c>
      <c r="I661">
        <v>0.99999994000000003</v>
      </c>
      <c r="J661">
        <v>0.99574039999999997</v>
      </c>
      <c r="K661">
        <f t="shared" si="31"/>
        <v>1</v>
      </c>
      <c r="L661">
        <f t="shared" si="32"/>
        <v>1</v>
      </c>
      <c r="M661">
        <f t="shared" si="33"/>
        <v>1</v>
      </c>
    </row>
    <row r="662" spans="1:13" x14ac:dyDescent="0.2">
      <c r="A662" t="s">
        <v>2496</v>
      </c>
      <c r="B662" t="s">
        <v>2897</v>
      </c>
      <c r="C662" t="s">
        <v>2898</v>
      </c>
      <c r="D662" t="s">
        <v>1160</v>
      </c>
      <c r="E662" t="s">
        <v>147</v>
      </c>
      <c r="F662" t="s">
        <v>13</v>
      </c>
      <c r="G662" t="s">
        <v>14</v>
      </c>
      <c r="H662">
        <v>0.82369285999999997</v>
      </c>
      <c r="I662">
        <v>0.99933510000000003</v>
      </c>
      <c r="J662">
        <v>0.99991363</v>
      </c>
      <c r="K662">
        <f t="shared" si="31"/>
        <v>1</v>
      </c>
      <c r="L662">
        <f t="shared" si="32"/>
        <v>1</v>
      </c>
      <c r="M662">
        <f t="shared" si="33"/>
        <v>1</v>
      </c>
    </row>
    <row r="663" spans="1:13" x14ac:dyDescent="0.2">
      <c r="A663" t="s">
        <v>2497</v>
      </c>
      <c r="B663" t="s">
        <v>2897</v>
      </c>
      <c r="C663" t="s">
        <v>2898</v>
      </c>
      <c r="D663" t="e">
        <f>-VQ-LVESGG-GLVQPGGSLRLSCAASGFTF---------SNYWMN-WVRQ-A-P-G-K--G-LE-WVSVIYSG------------GSTYY--A--D--SV--K---GRFTISR-D---N-S--KN----T-LYLQMNSLRA-EDTAVYYCARY-------------------------------YSGWG-QGTLVTVSS</f>
        <v>#NAME?</v>
      </c>
      <c r="E663" t="s">
        <v>1161</v>
      </c>
      <c r="F663" t="s">
        <v>13</v>
      </c>
      <c r="G663" t="s">
        <v>14</v>
      </c>
      <c r="H663">
        <v>0.9996408</v>
      </c>
      <c r="I663">
        <v>0.99996980000000002</v>
      </c>
      <c r="J663">
        <v>6.3918409999999995E-2</v>
      </c>
      <c r="K663">
        <f t="shared" si="31"/>
        <v>1</v>
      </c>
      <c r="L663">
        <f t="shared" si="32"/>
        <v>1</v>
      </c>
      <c r="M663">
        <f t="shared" si="33"/>
        <v>0</v>
      </c>
    </row>
    <row r="664" spans="1:13" x14ac:dyDescent="0.2">
      <c r="A664" t="s">
        <v>2498</v>
      </c>
      <c r="B664" t="s">
        <v>2897</v>
      </c>
      <c r="C664" t="s">
        <v>2898</v>
      </c>
      <c r="D664" t="s">
        <v>1162</v>
      </c>
      <c r="E664" t="s">
        <v>748</v>
      </c>
      <c r="F664" t="s">
        <v>13</v>
      </c>
      <c r="G664" t="s">
        <v>14</v>
      </c>
      <c r="H664">
        <v>0.99999934000000001</v>
      </c>
      <c r="I664">
        <v>0.98566823999999997</v>
      </c>
      <c r="J664" s="1">
        <v>5.0346982000000002E-5</v>
      </c>
      <c r="K664">
        <f t="shared" si="31"/>
        <v>1</v>
      </c>
      <c r="L664">
        <f t="shared" si="32"/>
        <v>1</v>
      </c>
      <c r="M664">
        <f t="shared" si="33"/>
        <v>0</v>
      </c>
    </row>
    <row r="665" spans="1:13" x14ac:dyDescent="0.2">
      <c r="A665" t="s">
        <v>2499</v>
      </c>
      <c r="B665" t="s">
        <v>2897</v>
      </c>
      <c r="C665" t="s">
        <v>2898</v>
      </c>
      <c r="D665" t="s">
        <v>1163</v>
      </c>
      <c r="E665" t="s">
        <v>128</v>
      </c>
      <c r="F665" t="s">
        <v>13</v>
      </c>
      <c r="G665" t="s">
        <v>14</v>
      </c>
      <c r="H665">
        <v>0.99999830000000001</v>
      </c>
      <c r="I665">
        <v>0.9999903</v>
      </c>
      <c r="J665">
        <v>0.95792120000000003</v>
      </c>
      <c r="K665">
        <f t="shared" si="31"/>
        <v>1</v>
      </c>
      <c r="L665">
        <f t="shared" si="32"/>
        <v>1</v>
      </c>
      <c r="M665">
        <f t="shared" si="33"/>
        <v>1</v>
      </c>
    </row>
    <row r="666" spans="1:13" x14ac:dyDescent="0.2">
      <c r="A666" t="s">
        <v>2500</v>
      </c>
      <c r="B666" t="s">
        <v>2897</v>
      </c>
      <c r="C666" t="s">
        <v>2898</v>
      </c>
      <c r="D666" t="s">
        <v>1164</v>
      </c>
      <c r="E666" t="s">
        <v>1132</v>
      </c>
      <c r="F666" t="s">
        <v>13</v>
      </c>
      <c r="G666" t="s">
        <v>10</v>
      </c>
      <c r="H666">
        <v>0.99983096000000005</v>
      </c>
      <c r="I666">
        <v>0.99999994000000003</v>
      </c>
      <c r="J666">
        <v>0.99975944000000005</v>
      </c>
      <c r="K666">
        <f t="shared" si="31"/>
        <v>1</v>
      </c>
      <c r="L666">
        <f t="shared" si="32"/>
        <v>1</v>
      </c>
      <c r="M666">
        <f t="shared" si="33"/>
        <v>1</v>
      </c>
    </row>
    <row r="667" spans="1:13" x14ac:dyDescent="0.2">
      <c r="A667" t="s">
        <v>2501</v>
      </c>
      <c r="B667" t="s">
        <v>2897</v>
      </c>
      <c r="C667" t="s">
        <v>2898</v>
      </c>
      <c r="D667" t="s">
        <v>1165</v>
      </c>
      <c r="E667" t="s">
        <v>968</v>
      </c>
      <c r="F667" t="s">
        <v>9</v>
      </c>
      <c r="G667" t="s">
        <v>10</v>
      </c>
      <c r="H667">
        <v>0.99999994000000003</v>
      </c>
      <c r="I667">
        <v>0.99999994000000003</v>
      </c>
      <c r="J667">
        <v>0.99989015000000003</v>
      </c>
      <c r="K667">
        <f t="shared" si="31"/>
        <v>1</v>
      </c>
      <c r="L667">
        <f t="shared" si="32"/>
        <v>1</v>
      </c>
      <c r="M667">
        <f t="shared" si="33"/>
        <v>1</v>
      </c>
    </row>
    <row r="668" spans="1:13" x14ac:dyDescent="0.2">
      <c r="A668" t="s">
        <v>2502</v>
      </c>
      <c r="B668" t="s">
        <v>2897</v>
      </c>
      <c r="C668" t="s">
        <v>2898</v>
      </c>
      <c r="D668" t="s">
        <v>1166</v>
      </c>
      <c r="E668" t="s">
        <v>691</v>
      </c>
      <c r="F668" t="s">
        <v>13</v>
      </c>
      <c r="G668" t="s">
        <v>14</v>
      </c>
      <c r="H668">
        <v>0.99999859999999996</v>
      </c>
      <c r="I668">
        <v>0.99706477000000004</v>
      </c>
      <c r="J668">
        <v>0.99592510000000001</v>
      </c>
      <c r="K668">
        <f t="shared" si="31"/>
        <v>1</v>
      </c>
      <c r="L668">
        <f t="shared" si="32"/>
        <v>1</v>
      </c>
      <c r="M668">
        <f t="shared" si="33"/>
        <v>1</v>
      </c>
    </row>
    <row r="669" spans="1:13" x14ac:dyDescent="0.2">
      <c r="A669" t="s">
        <v>2503</v>
      </c>
      <c r="B669" t="s">
        <v>2897</v>
      </c>
      <c r="C669" t="s">
        <v>2898</v>
      </c>
      <c r="D669" t="s">
        <v>1167</v>
      </c>
      <c r="E669" t="s">
        <v>1168</v>
      </c>
      <c r="F669" t="s">
        <v>13</v>
      </c>
      <c r="G669" t="s">
        <v>14</v>
      </c>
      <c r="H669">
        <v>0.89289324999999997</v>
      </c>
      <c r="I669">
        <v>0.9939344</v>
      </c>
      <c r="J669">
        <v>1.8145028000000001E-4</v>
      </c>
      <c r="K669">
        <f t="shared" si="31"/>
        <v>1</v>
      </c>
      <c r="L669">
        <f t="shared" si="32"/>
        <v>1</v>
      </c>
      <c r="M669">
        <f t="shared" si="33"/>
        <v>0</v>
      </c>
    </row>
    <row r="670" spans="1:13" x14ac:dyDescent="0.2">
      <c r="A670" t="s">
        <v>2504</v>
      </c>
      <c r="B670" t="s">
        <v>2897</v>
      </c>
      <c r="C670" t="s">
        <v>2898</v>
      </c>
      <c r="D670" t="s">
        <v>1169</v>
      </c>
      <c r="E670" t="s">
        <v>128</v>
      </c>
      <c r="F670" t="s">
        <v>13</v>
      </c>
      <c r="G670" t="s">
        <v>14</v>
      </c>
      <c r="H670">
        <v>0.99973990000000001</v>
      </c>
      <c r="I670">
        <v>0.9999903</v>
      </c>
      <c r="J670">
        <v>0.90067105999999997</v>
      </c>
      <c r="K670">
        <f t="shared" si="31"/>
        <v>1</v>
      </c>
      <c r="L670">
        <f t="shared" si="32"/>
        <v>1</v>
      </c>
      <c r="M670">
        <f t="shared" si="33"/>
        <v>1</v>
      </c>
    </row>
    <row r="671" spans="1:13" x14ac:dyDescent="0.2">
      <c r="A671" t="s">
        <v>2505</v>
      </c>
      <c r="B671" t="s">
        <v>2897</v>
      </c>
      <c r="C671" t="s">
        <v>2898</v>
      </c>
      <c r="D671" t="s">
        <v>1170</v>
      </c>
      <c r="E671" t="s">
        <v>1171</v>
      </c>
      <c r="F671" t="s">
        <v>13</v>
      </c>
      <c r="G671" t="s">
        <v>14</v>
      </c>
      <c r="H671">
        <v>0.99999970000000005</v>
      </c>
      <c r="I671">
        <v>0.99999636000000003</v>
      </c>
      <c r="J671">
        <v>0.97625209999999996</v>
      </c>
      <c r="K671">
        <f t="shared" si="31"/>
        <v>1</v>
      </c>
      <c r="L671">
        <f t="shared" si="32"/>
        <v>1</v>
      </c>
      <c r="M671">
        <f t="shared" si="33"/>
        <v>1</v>
      </c>
    </row>
    <row r="672" spans="1:13" x14ac:dyDescent="0.2">
      <c r="A672" t="s">
        <v>2506</v>
      </c>
      <c r="B672" t="s">
        <v>2897</v>
      </c>
      <c r="C672" t="s">
        <v>2898</v>
      </c>
      <c r="D672" t="s">
        <v>1172</v>
      </c>
      <c r="E672" t="s">
        <v>147</v>
      </c>
      <c r="F672" t="s">
        <v>13</v>
      </c>
      <c r="G672" t="s">
        <v>14</v>
      </c>
      <c r="H672">
        <v>0.99999684</v>
      </c>
      <c r="I672">
        <v>0.99933510000000003</v>
      </c>
      <c r="J672">
        <v>0.99263203</v>
      </c>
      <c r="K672">
        <f t="shared" si="31"/>
        <v>1</v>
      </c>
      <c r="L672">
        <f t="shared" si="32"/>
        <v>1</v>
      </c>
      <c r="M672">
        <f t="shared" si="33"/>
        <v>1</v>
      </c>
    </row>
    <row r="673" spans="1:13" x14ac:dyDescent="0.2">
      <c r="A673" t="s">
        <v>2507</v>
      </c>
      <c r="B673" t="s">
        <v>2897</v>
      </c>
      <c r="C673" t="s">
        <v>2898</v>
      </c>
      <c r="D673" t="s">
        <v>1173</v>
      </c>
      <c r="E673" t="s">
        <v>1174</v>
      </c>
      <c r="F673" t="s">
        <v>9</v>
      </c>
      <c r="G673" t="s">
        <v>14</v>
      </c>
      <c r="H673">
        <v>0.99999859999999996</v>
      </c>
      <c r="I673">
        <v>0.99999994000000003</v>
      </c>
      <c r="J673">
        <v>0.59931599999999996</v>
      </c>
      <c r="K673">
        <f t="shared" si="31"/>
        <v>1</v>
      </c>
      <c r="L673">
        <f t="shared" si="32"/>
        <v>1</v>
      </c>
      <c r="M673">
        <f t="shared" si="33"/>
        <v>1</v>
      </c>
    </row>
    <row r="674" spans="1:13" x14ac:dyDescent="0.2">
      <c r="A674" t="s">
        <v>2508</v>
      </c>
      <c r="B674" t="s">
        <v>2897</v>
      </c>
      <c r="C674" t="s">
        <v>2898</v>
      </c>
      <c r="D674" t="s">
        <v>1175</v>
      </c>
      <c r="E674" t="s">
        <v>887</v>
      </c>
      <c r="F674" t="s">
        <v>9</v>
      </c>
      <c r="G674" t="s">
        <v>10</v>
      </c>
      <c r="H674">
        <v>0.99998169999999997</v>
      </c>
      <c r="I674">
        <v>0.99999994000000003</v>
      </c>
      <c r="J674">
        <v>0.9999692</v>
      </c>
      <c r="K674">
        <f t="shared" si="31"/>
        <v>1</v>
      </c>
      <c r="L674">
        <f t="shared" si="32"/>
        <v>1</v>
      </c>
      <c r="M674">
        <f t="shared" si="33"/>
        <v>1</v>
      </c>
    </row>
    <row r="675" spans="1:13" x14ac:dyDescent="0.2">
      <c r="A675" t="s">
        <v>2509</v>
      </c>
      <c r="B675" t="s">
        <v>2897</v>
      </c>
      <c r="C675" t="s">
        <v>2898</v>
      </c>
      <c r="D675" t="s">
        <v>1176</v>
      </c>
      <c r="E675" t="s">
        <v>1177</v>
      </c>
      <c r="F675" t="s">
        <v>13</v>
      </c>
      <c r="G675" t="s">
        <v>14</v>
      </c>
      <c r="H675">
        <v>0.99993449999999995</v>
      </c>
      <c r="I675">
        <v>0.99999994000000003</v>
      </c>
      <c r="J675">
        <v>0.64917499999999995</v>
      </c>
      <c r="K675">
        <f t="shared" si="31"/>
        <v>1</v>
      </c>
      <c r="L675">
        <f t="shared" si="32"/>
        <v>1</v>
      </c>
      <c r="M675">
        <f t="shared" si="33"/>
        <v>1</v>
      </c>
    </row>
    <row r="676" spans="1:13" x14ac:dyDescent="0.2">
      <c r="A676" t="s">
        <v>2510</v>
      </c>
      <c r="B676" t="s">
        <v>2897</v>
      </c>
      <c r="C676" t="s">
        <v>2898</v>
      </c>
      <c r="D676" t="s">
        <v>1178</v>
      </c>
      <c r="E676" t="s">
        <v>412</v>
      </c>
      <c r="F676" t="s">
        <v>9</v>
      </c>
      <c r="G676" t="s">
        <v>14</v>
      </c>
      <c r="H676" s="1">
        <v>4.8854125999999998E-6</v>
      </c>
      <c r="I676">
        <v>0.99999994000000003</v>
      </c>
      <c r="J676" s="1">
        <v>1.5378271E-7</v>
      </c>
      <c r="K676">
        <f t="shared" si="31"/>
        <v>0</v>
      </c>
      <c r="L676">
        <f t="shared" si="32"/>
        <v>1</v>
      </c>
      <c r="M676">
        <f t="shared" si="33"/>
        <v>0</v>
      </c>
    </row>
    <row r="677" spans="1:13" x14ac:dyDescent="0.2">
      <c r="A677" t="s">
        <v>2511</v>
      </c>
      <c r="B677" t="s">
        <v>2897</v>
      </c>
      <c r="C677" t="s">
        <v>2898</v>
      </c>
      <c r="D677" t="s">
        <v>1179</v>
      </c>
      <c r="E677" t="s">
        <v>1180</v>
      </c>
      <c r="F677" t="s">
        <v>13</v>
      </c>
      <c r="G677" t="s">
        <v>14</v>
      </c>
      <c r="H677">
        <v>0.95550763999999999</v>
      </c>
      <c r="I677">
        <v>0.99999744000000002</v>
      </c>
      <c r="J677">
        <v>5.3219086999999998E-2</v>
      </c>
      <c r="K677">
        <f t="shared" si="31"/>
        <v>1</v>
      </c>
      <c r="L677">
        <f t="shared" si="32"/>
        <v>1</v>
      </c>
      <c r="M677">
        <f t="shared" si="33"/>
        <v>0</v>
      </c>
    </row>
    <row r="678" spans="1:13" x14ac:dyDescent="0.2">
      <c r="A678" t="s">
        <v>2512</v>
      </c>
      <c r="B678" t="s">
        <v>2897</v>
      </c>
      <c r="C678" t="s">
        <v>2898</v>
      </c>
      <c r="D678" t="s">
        <v>1181</v>
      </c>
      <c r="E678" t="s">
        <v>753</v>
      </c>
      <c r="F678" t="s">
        <v>13</v>
      </c>
      <c r="G678" t="s">
        <v>14</v>
      </c>
      <c r="H678">
        <v>0.99698330000000002</v>
      </c>
      <c r="I678">
        <v>0.99999839999999995</v>
      </c>
      <c r="J678">
        <v>2.5762153999999999E-3</v>
      </c>
      <c r="K678">
        <f t="shared" si="31"/>
        <v>1</v>
      </c>
      <c r="L678">
        <f t="shared" si="32"/>
        <v>1</v>
      </c>
      <c r="M678">
        <f t="shared" si="33"/>
        <v>0</v>
      </c>
    </row>
    <row r="679" spans="1:13" x14ac:dyDescent="0.2">
      <c r="A679" t="s">
        <v>2513</v>
      </c>
      <c r="B679" t="s">
        <v>2897</v>
      </c>
      <c r="C679" t="s">
        <v>2898</v>
      </c>
      <c r="D679" t="s">
        <v>1182</v>
      </c>
      <c r="E679" t="s">
        <v>1183</v>
      </c>
      <c r="F679" t="s">
        <v>9</v>
      </c>
      <c r="G679" t="s">
        <v>65</v>
      </c>
      <c r="H679">
        <v>0.99999505</v>
      </c>
      <c r="I679">
        <v>0.99999994000000003</v>
      </c>
      <c r="J679">
        <v>0.99999979999999999</v>
      </c>
      <c r="K679">
        <f t="shared" si="31"/>
        <v>1</v>
      </c>
      <c r="L679">
        <f t="shared" si="32"/>
        <v>1</v>
      </c>
      <c r="M679">
        <f t="shared" si="33"/>
        <v>1</v>
      </c>
    </row>
    <row r="680" spans="1:13" x14ac:dyDescent="0.2">
      <c r="A680" t="s">
        <v>2514</v>
      </c>
      <c r="B680" t="s">
        <v>2897</v>
      </c>
      <c r="C680" t="s">
        <v>2898</v>
      </c>
      <c r="D680" t="s">
        <v>1184</v>
      </c>
      <c r="E680" t="s">
        <v>1185</v>
      </c>
      <c r="F680" t="s">
        <v>13</v>
      </c>
      <c r="G680" t="s">
        <v>10</v>
      </c>
      <c r="H680">
        <v>0.99894709999999998</v>
      </c>
      <c r="I680">
        <v>0.99999994000000003</v>
      </c>
      <c r="J680">
        <v>2.6610208999999999E-2</v>
      </c>
      <c r="K680">
        <f t="shared" si="31"/>
        <v>1</v>
      </c>
      <c r="L680">
        <f t="shared" si="32"/>
        <v>1</v>
      </c>
      <c r="M680">
        <f t="shared" si="33"/>
        <v>0</v>
      </c>
    </row>
    <row r="681" spans="1:13" x14ac:dyDescent="0.2">
      <c r="A681" t="s">
        <v>2515</v>
      </c>
      <c r="B681" t="s">
        <v>2897</v>
      </c>
      <c r="C681" t="s">
        <v>2898</v>
      </c>
      <c r="D681" t="s">
        <v>1186</v>
      </c>
      <c r="E681" t="s">
        <v>270</v>
      </c>
      <c r="F681" t="s">
        <v>9</v>
      </c>
      <c r="G681" t="s">
        <v>10</v>
      </c>
      <c r="H681">
        <v>0.15960932</v>
      </c>
      <c r="I681">
        <v>0.99999994000000003</v>
      </c>
      <c r="J681" s="1">
        <v>1.4067900000000001E-7</v>
      </c>
      <c r="K681">
        <f t="shared" si="31"/>
        <v>0</v>
      </c>
      <c r="L681">
        <f t="shared" si="32"/>
        <v>1</v>
      </c>
      <c r="M681">
        <f t="shared" si="33"/>
        <v>0</v>
      </c>
    </row>
    <row r="682" spans="1:13" x14ac:dyDescent="0.2">
      <c r="A682" t="s">
        <v>2516</v>
      </c>
      <c r="B682" t="s">
        <v>2897</v>
      </c>
      <c r="C682" t="s">
        <v>2898</v>
      </c>
      <c r="D682" t="s">
        <v>1187</v>
      </c>
      <c r="E682" t="s">
        <v>495</v>
      </c>
      <c r="F682" t="s">
        <v>13</v>
      </c>
      <c r="G682" t="s">
        <v>14</v>
      </c>
      <c r="H682">
        <v>6.5566613999999995E-2</v>
      </c>
      <c r="I682">
        <v>0.99999994000000003</v>
      </c>
      <c r="J682">
        <v>0.99999970000000005</v>
      </c>
      <c r="K682">
        <f t="shared" si="31"/>
        <v>0</v>
      </c>
      <c r="L682">
        <f t="shared" si="32"/>
        <v>1</v>
      </c>
      <c r="M682">
        <f t="shared" si="33"/>
        <v>1</v>
      </c>
    </row>
    <row r="683" spans="1:13" x14ac:dyDescent="0.2">
      <c r="A683" t="s">
        <v>2517</v>
      </c>
      <c r="B683" t="s">
        <v>2897</v>
      </c>
      <c r="C683" t="s">
        <v>2898</v>
      </c>
      <c r="D683" t="s">
        <v>1188</v>
      </c>
      <c r="E683" t="s">
        <v>1189</v>
      </c>
      <c r="F683" t="s">
        <v>9</v>
      </c>
      <c r="G683" t="s">
        <v>65</v>
      </c>
      <c r="H683">
        <v>0.99952023999999995</v>
      </c>
      <c r="I683" s="1">
        <v>6.9299430000000002E-8</v>
      </c>
      <c r="J683" s="1">
        <v>4.0156257000000003E-5</v>
      </c>
      <c r="K683">
        <f t="shared" si="31"/>
        <v>1</v>
      </c>
      <c r="L683">
        <f t="shared" si="32"/>
        <v>0</v>
      </c>
      <c r="M683">
        <f t="shared" si="33"/>
        <v>0</v>
      </c>
    </row>
    <row r="684" spans="1:13" x14ac:dyDescent="0.2">
      <c r="A684" t="s">
        <v>2518</v>
      </c>
      <c r="B684" t="s">
        <v>2897</v>
      </c>
      <c r="C684" t="s">
        <v>2898</v>
      </c>
      <c r="D684" t="s">
        <v>1190</v>
      </c>
      <c r="E684" t="s">
        <v>1191</v>
      </c>
      <c r="F684" t="s">
        <v>13</v>
      </c>
      <c r="G684" t="s">
        <v>14</v>
      </c>
      <c r="H684">
        <v>0.38111087999999999</v>
      </c>
      <c r="I684">
        <v>0.99999859999999996</v>
      </c>
      <c r="J684">
        <v>1.3109828E-4</v>
      </c>
      <c r="K684">
        <f t="shared" si="31"/>
        <v>0</v>
      </c>
      <c r="L684">
        <f t="shared" si="32"/>
        <v>1</v>
      </c>
      <c r="M684">
        <f t="shared" si="33"/>
        <v>0</v>
      </c>
    </row>
    <row r="685" spans="1:13" x14ac:dyDescent="0.2">
      <c r="A685" t="s">
        <v>2519</v>
      </c>
      <c r="B685" t="s">
        <v>2897</v>
      </c>
      <c r="C685" t="s">
        <v>2898</v>
      </c>
      <c r="D685" t="s">
        <v>1192</v>
      </c>
      <c r="E685" t="s">
        <v>128</v>
      </c>
      <c r="F685" t="s">
        <v>13</v>
      </c>
      <c r="G685" t="s">
        <v>14</v>
      </c>
      <c r="H685">
        <v>0.99400809999999995</v>
      </c>
      <c r="I685">
        <v>0.9999903</v>
      </c>
      <c r="J685">
        <v>0.66403747000000002</v>
      </c>
      <c r="K685">
        <f t="shared" si="31"/>
        <v>1</v>
      </c>
      <c r="L685">
        <f t="shared" si="32"/>
        <v>1</v>
      </c>
      <c r="M685">
        <f t="shared" si="33"/>
        <v>1</v>
      </c>
    </row>
    <row r="686" spans="1:13" x14ac:dyDescent="0.2">
      <c r="A686" t="s">
        <v>2520</v>
      </c>
      <c r="B686" t="s">
        <v>2897</v>
      </c>
      <c r="C686" t="s">
        <v>2898</v>
      </c>
      <c r="D686" t="s">
        <v>1193</v>
      </c>
      <c r="E686" t="s">
        <v>1174</v>
      </c>
      <c r="F686" t="s">
        <v>17</v>
      </c>
      <c r="G686" t="s">
        <v>14</v>
      </c>
      <c r="H686">
        <v>0.99999994000000003</v>
      </c>
      <c r="I686">
        <v>0.99999994000000003</v>
      </c>
      <c r="J686">
        <v>0.95653390000000005</v>
      </c>
      <c r="K686">
        <f t="shared" si="31"/>
        <v>1</v>
      </c>
      <c r="L686">
        <f t="shared" si="32"/>
        <v>1</v>
      </c>
      <c r="M686">
        <f t="shared" si="33"/>
        <v>1</v>
      </c>
    </row>
    <row r="687" spans="1:13" x14ac:dyDescent="0.2">
      <c r="A687" t="s">
        <v>2521</v>
      </c>
      <c r="B687" t="s">
        <v>2897</v>
      </c>
      <c r="C687" t="s">
        <v>2898</v>
      </c>
      <c r="D687" t="s">
        <v>1194</v>
      </c>
      <c r="E687" t="s">
        <v>691</v>
      </c>
      <c r="F687" t="s">
        <v>13</v>
      </c>
      <c r="G687" t="s">
        <v>14</v>
      </c>
      <c r="H687">
        <v>0.99999934000000001</v>
      </c>
      <c r="I687">
        <v>0.99706477000000004</v>
      </c>
      <c r="J687">
        <v>0.99227124</v>
      </c>
      <c r="K687">
        <f t="shared" si="31"/>
        <v>1</v>
      </c>
      <c r="L687">
        <f t="shared" si="32"/>
        <v>1</v>
      </c>
      <c r="M687">
        <f t="shared" si="33"/>
        <v>1</v>
      </c>
    </row>
    <row r="688" spans="1:13" x14ac:dyDescent="0.2">
      <c r="A688" t="s">
        <v>2522</v>
      </c>
      <c r="B688" t="s">
        <v>2897</v>
      </c>
      <c r="C688" t="s">
        <v>2898</v>
      </c>
      <c r="D688" t="e">
        <f>-VQ-LVQSGA-EVKKPGASVKVSCKASGYTF---------TSYAMH-WVRQ-A-P-G-Q--G-LE-WMGWISTY-----------NGNTNY--A--Q--KF--Q---GRVTMTR-D---T-S--IS----T-AYMEL---RS-DDTAVYYCARADYY--------------------------GALDYWG-QGTLVTVSS</f>
        <v>#NAME?</v>
      </c>
      <c r="E688" t="s">
        <v>1195</v>
      </c>
      <c r="F688" t="s">
        <v>9</v>
      </c>
      <c r="G688" t="s">
        <v>10</v>
      </c>
      <c r="H688">
        <v>0.99990754999999998</v>
      </c>
      <c r="I688">
        <v>0.99999994000000003</v>
      </c>
      <c r="J688">
        <v>0.27424288000000002</v>
      </c>
      <c r="K688">
        <f t="shared" si="31"/>
        <v>1</v>
      </c>
      <c r="L688">
        <f t="shared" si="32"/>
        <v>1</v>
      </c>
      <c r="M688">
        <f t="shared" si="33"/>
        <v>0</v>
      </c>
    </row>
    <row r="689" spans="1:13" x14ac:dyDescent="0.2">
      <c r="A689" t="s">
        <v>2523</v>
      </c>
      <c r="B689" t="s">
        <v>2897</v>
      </c>
      <c r="C689" t="s">
        <v>2898</v>
      </c>
      <c r="D689" t="s">
        <v>1196</v>
      </c>
      <c r="E689" t="s">
        <v>42</v>
      </c>
      <c r="F689" t="s">
        <v>60</v>
      </c>
      <c r="G689" t="s">
        <v>10</v>
      </c>
      <c r="H689">
        <v>0.32938909999999999</v>
      </c>
      <c r="I689">
        <v>0.99999994000000003</v>
      </c>
      <c r="J689">
        <v>0.99999994000000003</v>
      </c>
      <c r="K689">
        <f t="shared" si="31"/>
        <v>0</v>
      </c>
      <c r="L689">
        <f t="shared" si="32"/>
        <v>1</v>
      </c>
      <c r="M689">
        <f t="shared" si="33"/>
        <v>1</v>
      </c>
    </row>
    <row r="690" spans="1:13" x14ac:dyDescent="0.2">
      <c r="A690" t="s">
        <v>2524</v>
      </c>
      <c r="B690" t="s">
        <v>2897</v>
      </c>
      <c r="C690" t="s">
        <v>2898</v>
      </c>
      <c r="D690" t="e">
        <f>-VQ-LQQSGP-ELVKPGASVKISCKASGYTF---------TDYNMN-WVKQ-S-H-G-K--S-LE-WIGRIDPA-----------NGNTNY--N--Q--KF--K---GKATLTV-D---K-S--SS----T-AYMQL---TS-EDSAVYFCARGGG---------------------------SNQDVWG-KGTTVTVSS</f>
        <v>#NAME?</v>
      </c>
      <c r="E690" t="s">
        <v>1197</v>
      </c>
      <c r="F690" t="s">
        <v>9</v>
      </c>
      <c r="G690" t="s">
        <v>65</v>
      </c>
      <c r="H690">
        <v>0.99900465999999999</v>
      </c>
      <c r="I690">
        <v>0.99999994000000003</v>
      </c>
      <c r="J690" s="1">
        <v>3.8654025000000003E-7</v>
      </c>
      <c r="K690">
        <f t="shared" si="31"/>
        <v>1</v>
      </c>
      <c r="L690">
        <f t="shared" si="32"/>
        <v>1</v>
      </c>
      <c r="M690">
        <f t="shared" si="33"/>
        <v>0</v>
      </c>
    </row>
    <row r="691" spans="1:13" x14ac:dyDescent="0.2">
      <c r="A691" t="s">
        <v>2525</v>
      </c>
      <c r="B691" t="s">
        <v>2897</v>
      </c>
      <c r="C691" t="s">
        <v>2898</v>
      </c>
      <c r="D691" t="s">
        <v>1198</v>
      </c>
      <c r="E691" t="s">
        <v>1199</v>
      </c>
      <c r="F691" t="s">
        <v>13</v>
      </c>
      <c r="G691" t="s">
        <v>14</v>
      </c>
      <c r="H691">
        <v>0.99999660000000001</v>
      </c>
      <c r="I691">
        <v>0.99999373999999996</v>
      </c>
      <c r="J691">
        <v>0.99564576000000005</v>
      </c>
      <c r="K691">
        <f t="shared" si="31"/>
        <v>1</v>
      </c>
      <c r="L691">
        <f t="shared" si="32"/>
        <v>1</v>
      </c>
      <c r="M691">
        <f t="shared" si="33"/>
        <v>1</v>
      </c>
    </row>
    <row r="692" spans="1:13" x14ac:dyDescent="0.2">
      <c r="A692" t="s">
        <v>2526</v>
      </c>
      <c r="B692" t="s">
        <v>2897</v>
      </c>
      <c r="C692" t="s">
        <v>2898</v>
      </c>
      <c r="D692" t="s">
        <v>1200</v>
      </c>
      <c r="E692" t="s">
        <v>1201</v>
      </c>
      <c r="F692" t="s">
        <v>9</v>
      </c>
      <c r="G692" t="s">
        <v>14</v>
      </c>
      <c r="H692">
        <v>0.99511930000000004</v>
      </c>
      <c r="I692">
        <v>0.99996823000000001</v>
      </c>
      <c r="J692">
        <v>0.98769914999999997</v>
      </c>
      <c r="K692">
        <f t="shared" si="31"/>
        <v>1</v>
      </c>
      <c r="L692">
        <f t="shared" si="32"/>
        <v>1</v>
      </c>
      <c r="M692">
        <f t="shared" si="33"/>
        <v>1</v>
      </c>
    </row>
    <row r="693" spans="1:13" x14ac:dyDescent="0.2">
      <c r="A693" t="s">
        <v>2527</v>
      </c>
      <c r="B693" t="s">
        <v>2897</v>
      </c>
      <c r="C693" t="s">
        <v>2898</v>
      </c>
      <c r="D693" t="s">
        <v>1202</v>
      </c>
      <c r="E693" t="s">
        <v>715</v>
      </c>
      <c r="F693" t="s">
        <v>13</v>
      </c>
      <c r="G693" t="s">
        <v>14</v>
      </c>
      <c r="H693">
        <v>0.92582050000000005</v>
      </c>
      <c r="I693">
        <v>0.99999875000000005</v>
      </c>
      <c r="J693" s="1">
        <v>1.8888744000000001E-5</v>
      </c>
      <c r="K693">
        <f t="shared" si="31"/>
        <v>1</v>
      </c>
      <c r="L693">
        <f t="shared" si="32"/>
        <v>1</v>
      </c>
      <c r="M693">
        <f t="shared" si="33"/>
        <v>0</v>
      </c>
    </row>
    <row r="694" spans="1:13" x14ac:dyDescent="0.2">
      <c r="A694" t="s">
        <v>2528</v>
      </c>
      <c r="B694" t="s">
        <v>2897</v>
      </c>
      <c r="C694" t="s">
        <v>2898</v>
      </c>
      <c r="D694" t="s">
        <v>1203</v>
      </c>
      <c r="E694" t="s">
        <v>1204</v>
      </c>
      <c r="F694" t="s">
        <v>9</v>
      </c>
      <c r="G694" t="s">
        <v>14</v>
      </c>
      <c r="H694">
        <v>0.99936670000000005</v>
      </c>
      <c r="I694">
        <v>0.99999994000000003</v>
      </c>
      <c r="J694">
        <v>0.15479883999999999</v>
      </c>
      <c r="K694">
        <f t="shared" si="31"/>
        <v>1</v>
      </c>
      <c r="L694">
        <f t="shared" si="32"/>
        <v>1</v>
      </c>
      <c r="M694">
        <f t="shared" si="33"/>
        <v>0</v>
      </c>
    </row>
    <row r="695" spans="1:13" x14ac:dyDescent="0.2">
      <c r="A695" t="s">
        <v>2529</v>
      </c>
      <c r="B695" t="s">
        <v>2897</v>
      </c>
      <c r="C695" t="s">
        <v>2898</v>
      </c>
      <c r="D695" t="s">
        <v>1205</v>
      </c>
      <c r="E695" t="s">
        <v>147</v>
      </c>
      <c r="F695" t="s">
        <v>13</v>
      </c>
      <c r="G695" t="s">
        <v>14</v>
      </c>
      <c r="H695">
        <v>0.99373745999999996</v>
      </c>
      <c r="I695">
        <v>0.99933510000000003</v>
      </c>
      <c r="J695">
        <v>0.21237954000000001</v>
      </c>
      <c r="K695">
        <f t="shared" si="31"/>
        <v>1</v>
      </c>
      <c r="L695">
        <f t="shared" si="32"/>
        <v>1</v>
      </c>
      <c r="M695">
        <f t="shared" si="33"/>
        <v>0</v>
      </c>
    </row>
    <row r="696" spans="1:13" x14ac:dyDescent="0.2">
      <c r="A696" t="s">
        <v>2530</v>
      </c>
      <c r="B696" t="s">
        <v>2897</v>
      </c>
      <c r="C696" t="s">
        <v>2898</v>
      </c>
      <c r="D696" t="s">
        <v>1206</v>
      </c>
      <c r="E696" t="s">
        <v>128</v>
      </c>
      <c r="F696" t="s">
        <v>13</v>
      </c>
      <c r="G696" t="s">
        <v>14</v>
      </c>
      <c r="H696">
        <v>0.9999806</v>
      </c>
      <c r="I696">
        <v>0.9999903</v>
      </c>
      <c r="J696">
        <v>2.6768897E-4</v>
      </c>
      <c r="K696">
        <f t="shared" si="31"/>
        <v>1</v>
      </c>
      <c r="L696">
        <f t="shared" si="32"/>
        <v>1</v>
      </c>
      <c r="M696">
        <f t="shared" si="33"/>
        <v>0</v>
      </c>
    </row>
    <row r="697" spans="1:13" x14ac:dyDescent="0.2">
      <c r="A697" t="s">
        <v>2531</v>
      </c>
      <c r="B697" t="s">
        <v>2897</v>
      </c>
      <c r="C697" t="s">
        <v>2898</v>
      </c>
      <c r="D697" t="s">
        <v>1207</v>
      </c>
      <c r="E697" t="s">
        <v>1208</v>
      </c>
      <c r="F697" t="s">
        <v>13</v>
      </c>
      <c r="G697" t="s">
        <v>14</v>
      </c>
      <c r="H697">
        <v>0.99999565000000001</v>
      </c>
      <c r="I697">
        <v>0.99999970000000005</v>
      </c>
      <c r="J697">
        <v>0.98982270000000006</v>
      </c>
      <c r="K697">
        <f t="shared" si="31"/>
        <v>1</v>
      </c>
      <c r="L697">
        <f t="shared" si="32"/>
        <v>1</v>
      </c>
      <c r="M697">
        <f t="shared" si="33"/>
        <v>1</v>
      </c>
    </row>
    <row r="698" spans="1:13" x14ac:dyDescent="0.2">
      <c r="A698" t="s">
        <v>2532</v>
      </c>
      <c r="B698" t="s">
        <v>2897</v>
      </c>
      <c r="C698" t="s">
        <v>2898</v>
      </c>
      <c r="D698" t="s">
        <v>1209</v>
      </c>
      <c r="E698" t="s">
        <v>868</v>
      </c>
      <c r="F698" t="s">
        <v>13</v>
      </c>
      <c r="G698" t="s">
        <v>14</v>
      </c>
      <c r="H698">
        <v>0.99998540000000002</v>
      </c>
      <c r="I698">
        <v>0.99403319999999995</v>
      </c>
      <c r="J698">
        <v>0.72651224999999997</v>
      </c>
      <c r="K698">
        <f t="shared" si="31"/>
        <v>1</v>
      </c>
      <c r="L698">
        <f t="shared" si="32"/>
        <v>1</v>
      </c>
      <c r="M698">
        <f t="shared" si="33"/>
        <v>1</v>
      </c>
    </row>
    <row r="699" spans="1:13" x14ac:dyDescent="0.2">
      <c r="A699" t="s">
        <v>2533</v>
      </c>
      <c r="B699" t="s">
        <v>2897</v>
      </c>
      <c r="C699" t="s">
        <v>2898</v>
      </c>
      <c r="D699" t="s">
        <v>1210</v>
      </c>
      <c r="E699" t="s">
        <v>1211</v>
      </c>
      <c r="F699" t="s">
        <v>13</v>
      </c>
      <c r="G699" t="s">
        <v>14</v>
      </c>
      <c r="H699">
        <v>0.99999945999999995</v>
      </c>
      <c r="I699">
        <v>0.99981759999999997</v>
      </c>
      <c r="J699">
        <v>0.99796474000000002</v>
      </c>
      <c r="K699">
        <f t="shared" si="31"/>
        <v>1</v>
      </c>
      <c r="L699">
        <f t="shared" si="32"/>
        <v>1</v>
      </c>
      <c r="M699">
        <f t="shared" si="33"/>
        <v>1</v>
      </c>
    </row>
    <row r="700" spans="1:13" x14ac:dyDescent="0.2">
      <c r="A700" t="s">
        <v>2534</v>
      </c>
      <c r="B700" t="s">
        <v>2897</v>
      </c>
      <c r="C700" t="s">
        <v>2898</v>
      </c>
      <c r="D700" t="s">
        <v>1212</v>
      </c>
      <c r="E700" t="s">
        <v>691</v>
      </c>
      <c r="F700" t="s">
        <v>13</v>
      </c>
      <c r="G700" t="s">
        <v>14</v>
      </c>
      <c r="H700">
        <v>0.99999970000000005</v>
      </c>
      <c r="I700">
        <v>0.99706477000000004</v>
      </c>
      <c r="J700">
        <v>0.99951272999999996</v>
      </c>
      <c r="K700">
        <f t="shared" si="31"/>
        <v>1</v>
      </c>
      <c r="L700">
        <f t="shared" si="32"/>
        <v>1</v>
      </c>
      <c r="M700">
        <f t="shared" si="33"/>
        <v>1</v>
      </c>
    </row>
    <row r="701" spans="1:13" x14ac:dyDescent="0.2">
      <c r="A701" t="s">
        <v>2535</v>
      </c>
      <c r="B701" t="s">
        <v>2897</v>
      </c>
      <c r="C701" t="s">
        <v>2898</v>
      </c>
      <c r="D701" t="s">
        <v>1213</v>
      </c>
      <c r="E701" t="s">
        <v>1214</v>
      </c>
      <c r="F701" t="s">
        <v>9</v>
      </c>
      <c r="G701" t="s">
        <v>10</v>
      </c>
      <c r="H701">
        <v>3.1587324000000001E-4</v>
      </c>
      <c r="I701">
        <v>0.99999994000000003</v>
      </c>
      <c r="J701">
        <v>2.6852050000000002E-4</v>
      </c>
      <c r="K701">
        <f t="shared" si="31"/>
        <v>0</v>
      </c>
      <c r="L701">
        <f t="shared" si="32"/>
        <v>1</v>
      </c>
      <c r="M701">
        <f t="shared" si="33"/>
        <v>0</v>
      </c>
    </row>
    <row r="702" spans="1:13" x14ac:dyDescent="0.2">
      <c r="A702" t="s">
        <v>2536</v>
      </c>
      <c r="B702" t="s">
        <v>2890</v>
      </c>
      <c r="C702" t="s">
        <v>2899</v>
      </c>
      <c r="D702" t="s">
        <v>1215</v>
      </c>
      <c r="E702" t="s">
        <v>1216</v>
      </c>
      <c r="F702" t="s">
        <v>13</v>
      </c>
      <c r="G702" t="s">
        <v>14</v>
      </c>
      <c r="H702">
        <v>0.99413395000000004</v>
      </c>
      <c r="I702">
        <v>0.99988999999999995</v>
      </c>
      <c r="J702">
        <v>7.5200910000000002E-4</v>
      </c>
      <c r="K702">
        <f t="shared" si="31"/>
        <v>1</v>
      </c>
      <c r="L702">
        <f t="shared" si="32"/>
        <v>1</v>
      </c>
      <c r="M702">
        <f t="shared" si="33"/>
        <v>0</v>
      </c>
    </row>
    <row r="703" spans="1:13" x14ac:dyDescent="0.2">
      <c r="A703" t="s">
        <v>2537</v>
      </c>
      <c r="B703" t="s">
        <v>2890</v>
      </c>
      <c r="C703" t="s">
        <v>2899</v>
      </c>
      <c r="D703" t="s">
        <v>1217</v>
      </c>
      <c r="E703" t="s">
        <v>1218</v>
      </c>
      <c r="F703" t="s">
        <v>9</v>
      </c>
      <c r="G703" t="s">
        <v>65</v>
      </c>
      <c r="H703" s="1">
        <v>4.3790544000000001E-5</v>
      </c>
      <c r="I703" s="1">
        <v>2.7419279999999999E-7</v>
      </c>
      <c r="J703">
        <v>0.45455625999999999</v>
      </c>
      <c r="K703">
        <f t="shared" si="31"/>
        <v>0</v>
      </c>
      <c r="L703">
        <f t="shared" si="32"/>
        <v>0</v>
      </c>
      <c r="M703">
        <f t="shared" si="33"/>
        <v>0</v>
      </c>
    </row>
    <row r="704" spans="1:13" x14ac:dyDescent="0.2">
      <c r="A704" t="s">
        <v>2538</v>
      </c>
      <c r="B704" t="s">
        <v>2890</v>
      </c>
      <c r="C704" t="s">
        <v>2899</v>
      </c>
      <c r="D704" t="s">
        <v>1219</v>
      </c>
      <c r="E704" t="s">
        <v>1220</v>
      </c>
      <c r="F704" t="s">
        <v>13</v>
      </c>
      <c r="G704" t="s">
        <v>14</v>
      </c>
      <c r="H704">
        <v>0.99988290000000002</v>
      </c>
      <c r="I704">
        <v>0.99999994000000003</v>
      </c>
      <c r="J704">
        <v>0.99813485000000002</v>
      </c>
      <c r="K704">
        <f t="shared" si="31"/>
        <v>1</v>
      </c>
      <c r="L704">
        <f t="shared" si="32"/>
        <v>1</v>
      </c>
      <c r="M704">
        <f t="shared" si="33"/>
        <v>1</v>
      </c>
    </row>
    <row r="705" spans="1:13" x14ac:dyDescent="0.2">
      <c r="A705" t="s">
        <v>2539</v>
      </c>
      <c r="B705" t="s">
        <v>2890</v>
      </c>
      <c r="C705" t="s">
        <v>2899</v>
      </c>
      <c r="D705" t="s">
        <v>1221</v>
      </c>
      <c r="E705" t="s">
        <v>1222</v>
      </c>
      <c r="F705" t="s">
        <v>13</v>
      </c>
      <c r="G705" t="s">
        <v>14</v>
      </c>
      <c r="H705">
        <v>0.99994930000000004</v>
      </c>
      <c r="I705">
        <v>0.99999994000000003</v>
      </c>
      <c r="J705">
        <v>0.99284640000000002</v>
      </c>
      <c r="K705">
        <f t="shared" si="31"/>
        <v>1</v>
      </c>
      <c r="L705">
        <f t="shared" si="32"/>
        <v>1</v>
      </c>
      <c r="M705">
        <f t="shared" si="33"/>
        <v>1</v>
      </c>
    </row>
    <row r="706" spans="1:13" x14ac:dyDescent="0.2">
      <c r="A706" t="s">
        <v>2540</v>
      </c>
      <c r="B706" t="s">
        <v>2890</v>
      </c>
      <c r="C706" t="s">
        <v>2899</v>
      </c>
      <c r="D706" t="s">
        <v>1223</v>
      </c>
      <c r="E706" t="s">
        <v>1224</v>
      </c>
      <c r="F706" t="s">
        <v>13</v>
      </c>
      <c r="G706" t="s">
        <v>10</v>
      </c>
      <c r="H706">
        <v>0.999973</v>
      </c>
      <c r="I706">
        <v>0.99999994000000003</v>
      </c>
      <c r="J706">
        <v>0.19349200999999999</v>
      </c>
      <c r="K706">
        <f t="shared" si="31"/>
        <v>1</v>
      </c>
      <c r="L706">
        <f t="shared" si="32"/>
        <v>1</v>
      </c>
      <c r="M706">
        <f t="shared" si="33"/>
        <v>0</v>
      </c>
    </row>
    <row r="707" spans="1:13" x14ac:dyDescent="0.2">
      <c r="A707" t="s">
        <v>2541</v>
      </c>
      <c r="B707" t="s">
        <v>2890</v>
      </c>
      <c r="C707" t="s">
        <v>2899</v>
      </c>
      <c r="D707" t="s">
        <v>1225</v>
      </c>
      <c r="E707" t="s">
        <v>1226</v>
      </c>
      <c r="F707" t="s">
        <v>13</v>
      </c>
      <c r="G707" t="s">
        <v>10</v>
      </c>
      <c r="H707">
        <v>0.99999959999999999</v>
      </c>
      <c r="I707">
        <v>0.99999994000000003</v>
      </c>
      <c r="J707">
        <v>0.99291499999999999</v>
      </c>
      <c r="K707">
        <f t="shared" ref="K707:K770" si="34">IF(H707&gt;=0.5,1,0)</f>
        <v>1</v>
      </c>
      <c r="L707">
        <f t="shared" ref="L707:L770" si="35">IF(I707&gt;=0.5,1,0)</f>
        <v>1</v>
      </c>
      <c r="M707">
        <f t="shared" ref="M707:M770" si="36">IF(J707&gt;=0.5,1,0)</f>
        <v>1</v>
      </c>
    </row>
    <row r="708" spans="1:13" x14ac:dyDescent="0.2">
      <c r="A708" t="s">
        <v>2542</v>
      </c>
      <c r="B708" t="s">
        <v>2890</v>
      </c>
      <c r="C708" t="s">
        <v>2899</v>
      </c>
      <c r="D708" t="s">
        <v>1227</v>
      </c>
      <c r="E708" t="s">
        <v>1228</v>
      </c>
      <c r="F708" t="s">
        <v>9</v>
      </c>
      <c r="G708" t="s">
        <v>36</v>
      </c>
      <c r="H708" s="1">
        <v>1.5780108E-5</v>
      </c>
      <c r="I708" s="1">
        <v>1.3652803999999999E-6</v>
      </c>
      <c r="J708">
        <v>0.10826291</v>
      </c>
      <c r="K708">
        <f t="shared" si="34"/>
        <v>0</v>
      </c>
      <c r="L708">
        <f t="shared" si="35"/>
        <v>0</v>
      </c>
      <c r="M708">
        <f t="shared" si="36"/>
        <v>0</v>
      </c>
    </row>
    <row r="709" spans="1:13" x14ac:dyDescent="0.2">
      <c r="A709" t="s">
        <v>2543</v>
      </c>
      <c r="B709" t="s">
        <v>2890</v>
      </c>
      <c r="C709" t="s">
        <v>2899</v>
      </c>
      <c r="D709" t="s">
        <v>1229</v>
      </c>
      <c r="E709" t="s">
        <v>1230</v>
      </c>
      <c r="F709" t="s">
        <v>13</v>
      </c>
      <c r="G709" t="s">
        <v>14</v>
      </c>
      <c r="H709">
        <v>0.99774850000000004</v>
      </c>
      <c r="I709">
        <v>0.99999910000000003</v>
      </c>
      <c r="J709">
        <v>0.99328539999999998</v>
      </c>
      <c r="K709">
        <f t="shared" si="34"/>
        <v>1</v>
      </c>
      <c r="L709">
        <f t="shared" si="35"/>
        <v>1</v>
      </c>
      <c r="M709">
        <f t="shared" si="36"/>
        <v>1</v>
      </c>
    </row>
    <row r="710" spans="1:13" x14ac:dyDescent="0.2">
      <c r="A710" t="s">
        <v>2544</v>
      </c>
      <c r="B710" t="s">
        <v>2890</v>
      </c>
      <c r="C710" t="s">
        <v>2899</v>
      </c>
      <c r="D710" t="s">
        <v>1231</v>
      </c>
      <c r="E710" t="s">
        <v>1078</v>
      </c>
      <c r="F710" t="s">
        <v>13</v>
      </c>
      <c r="G710" t="s">
        <v>10</v>
      </c>
      <c r="H710">
        <v>0.99999994000000003</v>
      </c>
      <c r="I710">
        <v>0.99999994000000003</v>
      </c>
      <c r="J710">
        <v>0.99965250000000005</v>
      </c>
      <c r="K710">
        <f t="shared" si="34"/>
        <v>1</v>
      </c>
      <c r="L710">
        <f t="shared" si="35"/>
        <v>1</v>
      </c>
      <c r="M710">
        <f t="shared" si="36"/>
        <v>1</v>
      </c>
    </row>
    <row r="711" spans="1:13" x14ac:dyDescent="0.2">
      <c r="A711" t="s">
        <v>2545</v>
      </c>
      <c r="B711" t="s">
        <v>2890</v>
      </c>
      <c r="C711" t="s">
        <v>2899</v>
      </c>
      <c r="D711" t="e">
        <f>-VQ-LVESGG-GLVQPGGSLRLSCAASGFNV---------SSSYIH-WVRQ-A-P-G-K--G-LE-WVASISSY-----------YGYTSY--A--D--SV--K---GRFTISA-D---T-S--KN----T-AYLQMNSLRA-EDTAVYYCARQAQWY------------------------TAWFDPWG-QGTLVTVSS</f>
        <v>#NAME?</v>
      </c>
      <c r="E711" t="s">
        <v>1232</v>
      </c>
      <c r="F711" t="s">
        <v>13</v>
      </c>
      <c r="G711" t="s">
        <v>14</v>
      </c>
      <c r="H711">
        <v>0.99999802999999998</v>
      </c>
      <c r="I711">
        <v>0.99999123999999995</v>
      </c>
      <c r="J711">
        <v>0.98922867000000003</v>
      </c>
      <c r="K711">
        <f t="shared" si="34"/>
        <v>1</v>
      </c>
      <c r="L711">
        <f t="shared" si="35"/>
        <v>1</v>
      </c>
      <c r="M711">
        <f t="shared" si="36"/>
        <v>1</v>
      </c>
    </row>
    <row r="712" spans="1:13" x14ac:dyDescent="0.2">
      <c r="A712" t="s">
        <v>2546</v>
      </c>
      <c r="B712" t="s">
        <v>2890</v>
      </c>
      <c r="C712" t="s">
        <v>2899</v>
      </c>
      <c r="D712" t="s">
        <v>1233</v>
      </c>
      <c r="E712" t="s">
        <v>1234</v>
      </c>
      <c r="F712" t="s">
        <v>9</v>
      </c>
      <c r="G712" t="s">
        <v>14</v>
      </c>
      <c r="H712">
        <v>0.99999970000000005</v>
      </c>
      <c r="I712">
        <v>0.99999994000000003</v>
      </c>
      <c r="J712">
        <v>0.11981593</v>
      </c>
      <c r="K712">
        <f t="shared" si="34"/>
        <v>1</v>
      </c>
      <c r="L712">
        <f t="shared" si="35"/>
        <v>1</v>
      </c>
      <c r="M712">
        <f t="shared" si="36"/>
        <v>0</v>
      </c>
    </row>
    <row r="713" spans="1:13" x14ac:dyDescent="0.2">
      <c r="A713" t="s">
        <v>2547</v>
      </c>
      <c r="B713" t="s">
        <v>2890</v>
      </c>
      <c r="C713" t="s">
        <v>2899</v>
      </c>
      <c r="D713" t="s">
        <v>1235</v>
      </c>
      <c r="E713" t="s">
        <v>1236</v>
      </c>
      <c r="F713" t="s">
        <v>13</v>
      </c>
      <c r="G713" t="s">
        <v>14</v>
      </c>
      <c r="H713">
        <v>0.99675404999999995</v>
      </c>
      <c r="I713">
        <v>0.99997499999999995</v>
      </c>
      <c r="J713">
        <v>7.3883200000000003E-3</v>
      </c>
      <c r="K713">
        <f t="shared" si="34"/>
        <v>1</v>
      </c>
      <c r="L713">
        <f t="shared" si="35"/>
        <v>1</v>
      </c>
      <c r="M713">
        <f t="shared" si="36"/>
        <v>0</v>
      </c>
    </row>
    <row r="714" spans="1:13" x14ac:dyDescent="0.2">
      <c r="A714" t="s">
        <v>2548</v>
      </c>
      <c r="B714" t="s">
        <v>2890</v>
      </c>
      <c r="C714" t="s">
        <v>2899</v>
      </c>
      <c r="D714" t="s">
        <v>1237</v>
      </c>
      <c r="E714" t="s">
        <v>1238</v>
      </c>
      <c r="F714" t="s">
        <v>9</v>
      </c>
      <c r="G714" t="s">
        <v>10</v>
      </c>
      <c r="H714">
        <v>0.99999839999999995</v>
      </c>
      <c r="I714">
        <v>0.99999994000000003</v>
      </c>
      <c r="J714">
        <v>0.93571572999999997</v>
      </c>
      <c r="K714">
        <f t="shared" si="34"/>
        <v>1</v>
      </c>
      <c r="L714">
        <f t="shared" si="35"/>
        <v>1</v>
      </c>
      <c r="M714">
        <f t="shared" si="36"/>
        <v>1</v>
      </c>
    </row>
    <row r="715" spans="1:13" x14ac:dyDescent="0.2">
      <c r="A715" t="s">
        <v>2549</v>
      </c>
      <c r="B715" t="s">
        <v>2890</v>
      </c>
      <c r="C715" t="s">
        <v>2899</v>
      </c>
      <c r="D715" t="s">
        <v>1239</v>
      </c>
      <c r="E715" t="s">
        <v>1240</v>
      </c>
      <c r="F715" t="s">
        <v>9</v>
      </c>
      <c r="G715" t="s">
        <v>212</v>
      </c>
      <c r="H715">
        <v>3.5454596000000001E-3</v>
      </c>
      <c r="I715" s="1">
        <v>4.1035186E-10</v>
      </c>
      <c r="J715" s="1">
        <v>1.7560484000000001E-12</v>
      </c>
      <c r="K715">
        <f t="shared" si="34"/>
        <v>0</v>
      </c>
      <c r="L715">
        <f t="shared" si="35"/>
        <v>0</v>
      </c>
      <c r="M715">
        <f t="shared" si="36"/>
        <v>0</v>
      </c>
    </row>
    <row r="716" spans="1:13" x14ac:dyDescent="0.2">
      <c r="A716" t="s">
        <v>2550</v>
      </c>
      <c r="B716" t="s">
        <v>2890</v>
      </c>
      <c r="C716" t="s">
        <v>2899</v>
      </c>
      <c r="D716" t="s">
        <v>1241</v>
      </c>
      <c r="E716" t="s">
        <v>1242</v>
      </c>
      <c r="F716" t="s">
        <v>13</v>
      </c>
      <c r="G716" t="s">
        <v>14</v>
      </c>
      <c r="H716">
        <v>0.99999886999999998</v>
      </c>
      <c r="I716">
        <v>0.99980950000000002</v>
      </c>
      <c r="J716">
        <v>0.99727284999999999</v>
      </c>
      <c r="K716">
        <f t="shared" si="34"/>
        <v>1</v>
      </c>
      <c r="L716">
        <f t="shared" si="35"/>
        <v>1</v>
      </c>
      <c r="M716">
        <f t="shared" si="36"/>
        <v>1</v>
      </c>
    </row>
    <row r="717" spans="1:13" x14ac:dyDescent="0.2">
      <c r="A717" t="s">
        <v>2551</v>
      </c>
      <c r="B717" t="s">
        <v>2890</v>
      </c>
      <c r="C717" t="s">
        <v>2899</v>
      </c>
      <c r="D717" t="s">
        <v>1243</v>
      </c>
      <c r="E717" t="s">
        <v>1244</v>
      </c>
      <c r="F717" t="s">
        <v>13</v>
      </c>
      <c r="G717" t="s">
        <v>14</v>
      </c>
      <c r="H717">
        <v>0.99999919999999998</v>
      </c>
      <c r="I717">
        <v>0.99999886999999998</v>
      </c>
      <c r="J717">
        <v>0.98622480000000001</v>
      </c>
      <c r="K717">
        <f t="shared" si="34"/>
        <v>1</v>
      </c>
      <c r="L717">
        <f t="shared" si="35"/>
        <v>1</v>
      </c>
      <c r="M717">
        <f t="shared" si="36"/>
        <v>1</v>
      </c>
    </row>
    <row r="718" spans="1:13" x14ac:dyDescent="0.2">
      <c r="A718" t="s">
        <v>2552</v>
      </c>
      <c r="B718" t="s">
        <v>2890</v>
      </c>
      <c r="C718" t="s">
        <v>2899</v>
      </c>
      <c r="D718" t="s">
        <v>1245</v>
      </c>
      <c r="E718" t="s">
        <v>1246</v>
      </c>
      <c r="F718" t="s">
        <v>9</v>
      </c>
      <c r="G718" t="s">
        <v>10</v>
      </c>
      <c r="H718">
        <v>0.99998944999999995</v>
      </c>
      <c r="I718">
        <v>0.99999994000000003</v>
      </c>
      <c r="J718">
        <v>1.8348944999999998E-2</v>
      </c>
      <c r="K718">
        <f t="shared" si="34"/>
        <v>1</v>
      </c>
      <c r="L718">
        <f t="shared" si="35"/>
        <v>1</v>
      </c>
      <c r="M718">
        <f t="shared" si="36"/>
        <v>0</v>
      </c>
    </row>
    <row r="719" spans="1:13" x14ac:dyDescent="0.2">
      <c r="A719" t="s">
        <v>2553</v>
      </c>
      <c r="B719" t="s">
        <v>2890</v>
      </c>
      <c r="C719" t="s">
        <v>2899</v>
      </c>
      <c r="D719" t="s">
        <v>1247</v>
      </c>
      <c r="E719" t="s">
        <v>1248</v>
      </c>
      <c r="F719" t="s">
        <v>13</v>
      </c>
      <c r="G719" t="s">
        <v>14</v>
      </c>
      <c r="H719">
        <v>0.99925030000000004</v>
      </c>
      <c r="I719">
        <v>0.99999994000000003</v>
      </c>
      <c r="J719">
        <v>0.99999623999999998</v>
      </c>
      <c r="K719">
        <f t="shared" si="34"/>
        <v>1</v>
      </c>
      <c r="L719">
        <f t="shared" si="35"/>
        <v>1</v>
      </c>
      <c r="M719">
        <f t="shared" si="36"/>
        <v>1</v>
      </c>
    </row>
    <row r="720" spans="1:13" x14ac:dyDescent="0.2">
      <c r="A720" t="s">
        <v>2554</v>
      </c>
      <c r="B720" t="s">
        <v>2890</v>
      </c>
      <c r="C720" t="s">
        <v>2899</v>
      </c>
      <c r="D720" t="s">
        <v>1249</v>
      </c>
      <c r="E720" t="s">
        <v>1250</v>
      </c>
      <c r="F720" t="s">
        <v>9</v>
      </c>
      <c r="G720" t="s">
        <v>14</v>
      </c>
      <c r="H720">
        <v>1.6717977000000001E-4</v>
      </c>
      <c r="I720">
        <v>0.99999994000000003</v>
      </c>
      <c r="J720">
        <v>3.4744579999999999E-4</v>
      </c>
      <c r="K720">
        <f t="shared" si="34"/>
        <v>0</v>
      </c>
      <c r="L720">
        <f t="shared" si="35"/>
        <v>1</v>
      </c>
      <c r="M720">
        <f t="shared" si="36"/>
        <v>0</v>
      </c>
    </row>
    <row r="721" spans="1:13" x14ac:dyDescent="0.2">
      <c r="A721" t="s">
        <v>2555</v>
      </c>
      <c r="B721" t="s">
        <v>2890</v>
      </c>
      <c r="C721" t="s">
        <v>2899</v>
      </c>
      <c r="D721" t="s">
        <v>1251</v>
      </c>
      <c r="E721" t="s">
        <v>1248</v>
      </c>
      <c r="F721" t="s">
        <v>13</v>
      </c>
      <c r="G721" t="s">
        <v>14</v>
      </c>
      <c r="H721">
        <v>0.99998849999999995</v>
      </c>
      <c r="I721">
        <v>0.99999994000000003</v>
      </c>
      <c r="J721">
        <v>1.4022798E-3</v>
      </c>
      <c r="K721">
        <f t="shared" si="34"/>
        <v>1</v>
      </c>
      <c r="L721">
        <f t="shared" si="35"/>
        <v>1</v>
      </c>
      <c r="M721">
        <f t="shared" si="36"/>
        <v>0</v>
      </c>
    </row>
    <row r="722" spans="1:13" x14ac:dyDescent="0.2">
      <c r="A722" t="s">
        <v>2556</v>
      </c>
      <c r="B722" t="s">
        <v>2890</v>
      </c>
      <c r="C722" t="s">
        <v>2899</v>
      </c>
      <c r="D722" t="s">
        <v>1252</v>
      </c>
      <c r="E722" t="s">
        <v>128</v>
      </c>
      <c r="F722" t="s">
        <v>13</v>
      </c>
      <c r="G722" t="s">
        <v>14</v>
      </c>
      <c r="H722">
        <v>0.99999899999999997</v>
      </c>
      <c r="I722">
        <v>0.9999903</v>
      </c>
      <c r="J722">
        <v>0.88209839999999995</v>
      </c>
      <c r="K722">
        <f t="shared" si="34"/>
        <v>1</v>
      </c>
      <c r="L722">
        <f t="shared" si="35"/>
        <v>1</v>
      </c>
      <c r="M722">
        <f t="shared" si="36"/>
        <v>1</v>
      </c>
    </row>
    <row r="723" spans="1:13" x14ac:dyDescent="0.2">
      <c r="A723" t="s">
        <v>2557</v>
      </c>
      <c r="B723" t="s">
        <v>2890</v>
      </c>
      <c r="C723" t="s">
        <v>2899</v>
      </c>
      <c r="D723" t="s">
        <v>1253</v>
      </c>
      <c r="E723" t="s">
        <v>1254</v>
      </c>
      <c r="F723" t="s">
        <v>13</v>
      </c>
      <c r="G723" t="s">
        <v>14</v>
      </c>
      <c r="H723">
        <v>0.99999994000000003</v>
      </c>
      <c r="I723">
        <v>0.87485159999999995</v>
      </c>
      <c r="J723">
        <v>1.928361E-3</v>
      </c>
      <c r="K723">
        <f t="shared" si="34"/>
        <v>1</v>
      </c>
      <c r="L723">
        <f t="shared" si="35"/>
        <v>1</v>
      </c>
      <c r="M723">
        <f t="shared" si="36"/>
        <v>0</v>
      </c>
    </row>
    <row r="724" spans="1:13" x14ac:dyDescent="0.2">
      <c r="A724" t="s">
        <v>2558</v>
      </c>
      <c r="B724" t="s">
        <v>2890</v>
      </c>
      <c r="C724" t="s">
        <v>2899</v>
      </c>
      <c r="D724" t="s">
        <v>1255</v>
      </c>
      <c r="E724" t="s">
        <v>1256</v>
      </c>
      <c r="F724" t="s">
        <v>13</v>
      </c>
      <c r="G724" t="s">
        <v>40</v>
      </c>
      <c r="H724" s="1">
        <v>6.0432023999999999E-9</v>
      </c>
      <c r="I724">
        <v>0.99999979999999999</v>
      </c>
      <c r="J724" s="1">
        <v>5.6316177000000004E-16</v>
      </c>
      <c r="K724">
        <f t="shared" si="34"/>
        <v>0</v>
      </c>
      <c r="L724">
        <f t="shared" si="35"/>
        <v>1</v>
      </c>
      <c r="M724">
        <f t="shared" si="36"/>
        <v>0</v>
      </c>
    </row>
    <row r="725" spans="1:13" x14ac:dyDescent="0.2">
      <c r="A725" t="s">
        <v>2559</v>
      </c>
      <c r="B725" t="s">
        <v>2890</v>
      </c>
      <c r="C725" t="s">
        <v>2899</v>
      </c>
      <c r="D725" t="s">
        <v>1257</v>
      </c>
      <c r="E725" t="s">
        <v>1258</v>
      </c>
      <c r="F725" t="s">
        <v>9</v>
      </c>
      <c r="G725" t="s">
        <v>65</v>
      </c>
      <c r="H725" s="1">
        <v>1.1237606E-5</v>
      </c>
      <c r="I725">
        <v>4.963907E-4</v>
      </c>
      <c r="J725">
        <v>9.9952559999999992E-3</v>
      </c>
      <c r="K725">
        <f t="shared" si="34"/>
        <v>0</v>
      </c>
      <c r="L725">
        <f t="shared" si="35"/>
        <v>0</v>
      </c>
      <c r="M725">
        <f t="shared" si="36"/>
        <v>0</v>
      </c>
    </row>
    <row r="726" spans="1:13" x14ac:dyDescent="0.2">
      <c r="A726" t="s">
        <v>2560</v>
      </c>
      <c r="B726" t="s">
        <v>2890</v>
      </c>
      <c r="C726" t="s">
        <v>2899</v>
      </c>
      <c r="D726" t="s">
        <v>1259</v>
      </c>
      <c r="E726" t="s">
        <v>1260</v>
      </c>
      <c r="F726" t="s">
        <v>9</v>
      </c>
      <c r="G726" t="s">
        <v>212</v>
      </c>
      <c r="H726" s="1">
        <v>1.9191891E-6</v>
      </c>
      <c r="I726" s="1">
        <v>4.4307432999999999E-7</v>
      </c>
      <c r="J726" s="1">
        <v>1.4043331E-9</v>
      </c>
      <c r="K726">
        <f t="shared" si="34"/>
        <v>0</v>
      </c>
      <c r="L726">
        <f t="shared" si="35"/>
        <v>0</v>
      </c>
      <c r="M726">
        <f t="shared" si="36"/>
        <v>0</v>
      </c>
    </row>
    <row r="727" spans="1:13" x14ac:dyDescent="0.2">
      <c r="A727" t="s">
        <v>2561</v>
      </c>
      <c r="B727" t="s">
        <v>2890</v>
      </c>
      <c r="C727" t="s">
        <v>2899</v>
      </c>
      <c r="D727" t="s">
        <v>1261</v>
      </c>
      <c r="E727" t="s">
        <v>1262</v>
      </c>
      <c r="F727" t="s">
        <v>9</v>
      </c>
      <c r="G727" t="s">
        <v>65</v>
      </c>
      <c r="H727">
        <v>3.5027830000000003E-2</v>
      </c>
      <c r="I727" s="1">
        <v>2.3356947000000002E-6</v>
      </c>
      <c r="J727" s="1">
        <v>1.1341599000000001E-6</v>
      </c>
      <c r="K727">
        <f t="shared" si="34"/>
        <v>0</v>
      </c>
      <c r="L727">
        <f t="shared" si="35"/>
        <v>0</v>
      </c>
      <c r="M727">
        <f t="shared" si="36"/>
        <v>0</v>
      </c>
    </row>
    <row r="728" spans="1:13" x14ac:dyDescent="0.2">
      <c r="A728" t="s">
        <v>2562</v>
      </c>
      <c r="B728" t="s">
        <v>2890</v>
      </c>
      <c r="C728" t="s">
        <v>2899</v>
      </c>
      <c r="D728" t="s">
        <v>1263</v>
      </c>
      <c r="E728" t="s">
        <v>79</v>
      </c>
      <c r="F728" t="s">
        <v>9</v>
      </c>
      <c r="G728" t="s">
        <v>14</v>
      </c>
      <c r="H728">
        <v>0.99999994000000003</v>
      </c>
      <c r="I728">
        <v>0.99999994000000003</v>
      </c>
      <c r="J728">
        <v>2.5867720000000002E-3</v>
      </c>
      <c r="K728">
        <f t="shared" si="34"/>
        <v>1</v>
      </c>
      <c r="L728">
        <f t="shared" si="35"/>
        <v>1</v>
      </c>
      <c r="M728">
        <f t="shared" si="36"/>
        <v>0</v>
      </c>
    </row>
    <row r="729" spans="1:13" x14ac:dyDescent="0.2">
      <c r="A729" t="s">
        <v>2563</v>
      </c>
      <c r="B729" t="s">
        <v>2890</v>
      </c>
      <c r="C729" t="s">
        <v>2899</v>
      </c>
      <c r="D729" t="s">
        <v>1264</v>
      </c>
      <c r="E729" t="s">
        <v>1265</v>
      </c>
      <c r="F729" t="s">
        <v>13</v>
      </c>
      <c r="G729" t="s">
        <v>18</v>
      </c>
      <c r="H729">
        <v>0.99965155000000006</v>
      </c>
      <c r="I729">
        <v>0.99999994000000003</v>
      </c>
      <c r="J729">
        <v>7.779027E-3</v>
      </c>
      <c r="K729">
        <f t="shared" si="34"/>
        <v>1</v>
      </c>
      <c r="L729">
        <f t="shared" si="35"/>
        <v>1</v>
      </c>
      <c r="M729">
        <f t="shared" si="36"/>
        <v>0</v>
      </c>
    </row>
    <row r="730" spans="1:13" x14ac:dyDescent="0.2">
      <c r="A730" t="s">
        <v>2564</v>
      </c>
      <c r="B730" t="s">
        <v>2890</v>
      </c>
      <c r="C730" t="s">
        <v>2899</v>
      </c>
      <c r="D730" t="s">
        <v>1266</v>
      </c>
      <c r="E730" t="s">
        <v>1267</v>
      </c>
      <c r="F730" t="s">
        <v>13</v>
      </c>
      <c r="G730" t="s">
        <v>14</v>
      </c>
      <c r="H730">
        <v>0.99998765999999994</v>
      </c>
      <c r="I730">
        <v>0.99964759999999997</v>
      </c>
      <c r="J730">
        <v>0.91349195999999999</v>
      </c>
      <c r="K730">
        <f t="shared" si="34"/>
        <v>1</v>
      </c>
      <c r="L730">
        <f t="shared" si="35"/>
        <v>1</v>
      </c>
      <c r="M730">
        <f t="shared" si="36"/>
        <v>1</v>
      </c>
    </row>
    <row r="731" spans="1:13" x14ac:dyDescent="0.2">
      <c r="A731" t="s">
        <v>2565</v>
      </c>
      <c r="B731" t="s">
        <v>2890</v>
      </c>
      <c r="C731" t="s">
        <v>2899</v>
      </c>
      <c r="D731" t="s">
        <v>1268</v>
      </c>
      <c r="E731" t="s">
        <v>1269</v>
      </c>
      <c r="F731" t="s">
        <v>13</v>
      </c>
      <c r="G731" t="s">
        <v>14</v>
      </c>
      <c r="H731">
        <v>0.99999479999999996</v>
      </c>
      <c r="I731">
        <v>0.99999899999999997</v>
      </c>
      <c r="J731">
        <v>0.97917145000000005</v>
      </c>
      <c r="K731">
        <f t="shared" si="34"/>
        <v>1</v>
      </c>
      <c r="L731">
        <f t="shared" si="35"/>
        <v>1</v>
      </c>
      <c r="M731">
        <f t="shared" si="36"/>
        <v>1</v>
      </c>
    </row>
    <row r="732" spans="1:13" x14ac:dyDescent="0.2">
      <c r="A732" t="s">
        <v>2566</v>
      </c>
      <c r="B732" t="s">
        <v>2890</v>
      </c>
      <c r="C732" t="s">
        <v>2899</v>
      </c>
      <c r="D732" t="s">
        <v>1270</v>
      </c>
      <c r="E732" t="s">
        <v>1271</v>
      </c>
      <c r="F732" t="s">
        <v>9</v>
      </c>
      <c r="G732" t="s">
        <v>65</v>
      </c>
      <c r="H732">
        <v>9.3015799999999996E-2</v>
      </c>
      <c r="I732">
        <v>4.8356457000000002E-3</v>
      </c>
      <c r="J732" s="1">
        <v>3.5116887000000001E-20</v>
      </c>
      <c r="K732">
        <f t="shared" si="34"/>
        <v>0</v>
      </c>
      <c r="L732">
        <f t="shared" si="35"/>
        <v>0</v>
      </c>
      <c r="M732">
        <f t="shared" si="36"/>
        <v>0</v>
      </c>
    </row>
    <row r="733" spans="1:13" x14ac:dyDescent="0.2">
      <c r="A733" t="s">
        <v>2567</v>
      </c>
      <c r="B733" t="s">
        <v>2890</v>
      </c>
      <c r="C733" t="s">
        <v>2899</v>
      </c>
      <c r="D733" t="s">
        <v>1272</v>
      </c>
      <c r="E733" t="s">
        <v>1273</v>
      </c>
      <c r="F733" t="s">
        <v>13</v>
      </c>
      <c r="G733" t="s">
        <v>14</v>
      </c>
      <c r="H733">
        <v>0.99999959999999999</v>
      </c>
      <c r="I733">
        <v>0.99590135000000002</v>
      </c>
      <c r="J733">
        <v>0.99372565999999996</v>
      </c>
      <c r="K733">
        <f t="shared" si="34"/>
        <v>1</v>
      </c>
      <c r="L733">
        <f t="shared" si="35"/>
        <v>1</v>
      </c>
      <c r="M733">
        <f t="shared" si="36"/>
        <v>1</v>
      </c>
    </row>
    <row r="734" spans="1:13" x14ac:dyDescent="0.2">
      <c r="A734" t="s">
        <v>2568</v>
      </c>
      <c r="B734" t="s">
        <v>2890</v>
      </c>
      <c r="C734" t="s">
        <v>2899</v>
      </c>
      <c r="D734" t="s">
        <v>1274</v>
      </c>
      <c r="E734" t="s">
        <v>1275</v>
      </c>
      <c r="F734" t="s">
        <v>13</v>
      </c>
      <c r="G734" t="s">
        <v>14</v>
      </c>
      <c r="H734">
        <v>0.99998719999999996</v>
      </c>
      <c r="I734">
        <v>0.99999994000000003</v>
      </c>
      <c r="J734">
        <v>1.2127844E-2</v>
      </c>
      <c r="K734">
        <f t="shared" si="34"/>
        <v>1</v>
      </c>
      <c r="L734">
        <f t="shared" si="35"/>
        <v>1</v>
      </c>
      <c r="M734">
        <f t="shared" si="36"/>
        <v>0</v>
      </c>
    </row>
    <row r="735" spans="1:13" x14ac:dyDescent="0.2">
      <c r="A735" t="s">
        <v>2569</v>
      </c>
      <c r="B735" t="s">
        <v>2890</v>
      </c>
      <c r="C735" t="s">
        <v>2899</v>
      </c>
      <c r="D735" t="s">
        <v>1276</v>
      </c>
      <c r="E735" t="s">
        <v>1277</v>
      </c>
      <c r="F735" t="s">
        <v>9</v>
      </c>
      <c r="G735" t="s">
        <v>14</v>
      </c>
      <c r="H735">
        <v>0.14409532999999999</v>
      </c>
      <c r="I735">
        <v>0.90573543000000001</v>
      </c>
      <c r="J735">
        <v>0.96642435000000004</v>
      </c>
      <c r="K735">
        <f t="shared" si="34"/>
        <v>0</v>
      </c>
      <c r="L735">
        <f t="shared" si="35"/>
        <v>1</v>
      </c>
      <c r="M735">
        <f t="shared" si="36"/>
        <v>1</v>
      </c>
    </row>
    <row r="736" spans="1:13" x14ac:dyDescent="0.2">
      <c r="A736" t="s">
        <v>2570</v>
      </c>
      <c r="B736" t="s">
        <v>2890</v>
      </c>
      <c r="C736" t="s">
        <v>2899</v>
      </c>
      <c r="D736" t="s">
        <v>1278</v>
      </c>
      <c r="E736" t="s">
        <v>1279</v>
      </c>
      <c r="F736" t="s">
        <v>13</v>
      </c>
      <c r="G736" t="s">
        <v>14</v>
      </c>
      <c r="H736">
        <v>0.99999979999999999</v>
      </c>
      <c r="I736">
        <v>0.99997429999999998</v>
      </c>
      <c r="J736">
        <v>0.90633047</v>
      </c>
      <c r="K736">
        <f t="shared" si="34"/>
        <v>1</v>
      </c>
      <c r="L736">
        <f t="shared" si="35"/>
        <v>1</v>
      </c>
      <c r="M736">
        <f t="shared" si="36"/>
        <v>1</v>
      </c>
    </row>
    <row r="737" spans="1:13" x14ac:dyDescent="0.2">
      <c r="A737" t="s">
        <v>2571</v>
      </c>
      <c r="B737" t="s">
        <v>2890</v>
      </c>
      <c r="C737" t="s">
        <v>2899</v>
      </c>
      <c r="D737" t="s">
        <v>1280</v>
      </c>
      <c r="E737" t="s">
        <v>1281</v>
      </c>
      <c r="F737" t="s">
        <v>9</v>
      </c>
      <c r="G737" t="s">
        <v>65</v>
      </c>
      <c r="H737">
        <v>6.7476064000000002E-2</v>
      </c>
      <c r="I737">
        <v>4.9190514000000004E-4</v>
      </c>
      <c r="J737" s="1">
        <v>2.0528257E-7</v>
      </c>
      <c r="K737">
        <f t="shared" si="34"/>
        <v>0</v>
      </c>
      <c r="L737">
        <f t="shared" si="35"/>
        <v>0</v>
      </c>
      <c r="M737">
        <f t="shared" si="36"/>
        <v>0</v>
      </c>
    </row>
    <row r="738" spans="1:13" x14ac:dyDescent="0.2">
      <c r="A738" t="s">
        <v>2572</v>
      </c>
      <c r="B738" t="s">
        <v>2890</v>
      </c>
      <c r="C738" t="s">
        <v>2899</v>
      </c>
      <c r="D738" t="s">
        <v>1282</v>
      </c>
      <c r="E738" t="s">
        <v>1283</v>
      </c>
      <c r="F738" t="s">
        <v>9</v>
      </c>
      <c r="G738" t="s">
        <v>10</v>
      </c>
      <c r="H738">
        <v>0.96484053000000003</v>
      </c>
      <c r="I738">
        <v>0.99999994000000003</v>
      </c>
      <c r="J738">
        <v>0.99999994000000003</v>
      </c>
      <c r="K738">
        <f t="shared" si="34"/>
        <v>1</v>
      </c>
      <c r="L738">
        <f t="shared" si="35"/>
        <v>1</v>
      </c>
      <c r="M738">
        <f t="shared" si="36"/>
        <v>1</v>
      </c>
    </row>
    <row r="739" spans="1:13" x14ac:dyDescent="0.2">
      <c r="A739" t="s">
        <v>2573</v>
      </c>
      <c r="B739" t="s">
        <v>2890</v>
      </c>
      <c r="C739" t="s">
        <v>2899</v>
      </c>
      <c r="D739" t="e">
        <f>-VQ-LQESGP-GLVKPSQSLSLTCTVTGYSIT--------SDYAWN-WIRQ-F-P-G-K--K-LE-WMGYINFD------------GGTTY--N--P--SL--K---SRISITR-D---T-S--KN----Q-FFLQLNSVTT-EDTATYYCARSRGYT-----------------------NYYGMDYWG-QGTMVTVSS</f>
        <v>#NAME?</v>
      </c>
      <c r="E739" t="s">
        <v>1284</v>
      </c>
      <c r="F739" t="s">
        <v>17</v>
      </c>
      <c r="G739" t="s">
        <v>10</v>
      </c>
      <c r="H739" s="1">
        <v>4.5714870000000003E-5</v>
      </c>
      <c r="I739" s="1">
        <v>3.0663355E-7</v>
      </c>
      <c r="J739">
        <v>0.82098289999999996</v>
      </c>
      <c r="K739">
        <f t="shared" si="34"/>
        <v>0</v>
      </c>
      <c r="L739">
        <f t="shared" si="35"/>
        <v>0</v>
      </c>
      <c r="M739">
        <f t="shared" si="36"/>
        <v>1</v>
      </c>
    </row>
    <row r="740" spans="1:13" x14ac:dyDescent="0.2">
      <c r="A740" t="s">
        <v>2574</v>
      </c>
      <c r="B740" t="s">
        <v>2890</v>
      </c>
      <c r="C740" t="s">
        <v>2899</v>
      </c>
      <c r="D740" t="s">
        <v>1285</v>
      </c>
      <c r="E740" t="s">
        <v>1286</v>
      </c>
      <c r="F740" t="s">
        <v>9</v>
      </c>
      <c r="G740" t="s">
        <v>40</v>
      </c>
      <c r="H740">
        <v>2.3879842000000002E-3</v>
      </c>
      <c r="I740">
        <v>0.99999959999999999</v>
      </c>
      <c r="J740">
        <v>9.6688605999999996E-2</v>
      </c>
      <c r="K740">
        <f t="shared" si="34"/>
        <v>0</v>
      </c>
      <c r="L740">
        <f t="shared" si="35"/>
        <v>1</v>
      </c>
      <c r="M740">
        <f t="shared" si="36"/>
        <v>0</v>
      </c>
    </row>
    <row r="741" spans="1:13" x14ac:dyDescent="0.2">
      <c r="A741" t="s">
        <v>2575</v>
      </c>
      <c r="B741" t="s">
        <v>2890</v>
      </c>
      <c r="C741" t="s">
        <v>2899</v>
      </c>
      <c r="D741" t="s">
        <v>1287</v>
      </c>
      <c r="E741" t="s">
        <v>1288</v>
      </c>
      <c r="F741" t="s">
        <v>13</v>
      </c>
      <c r="G741" t="s">
        <v>18</v>
      </c>
      <c r="H741">
        <v>0.99976799999999999</v>
      </c>
      <c r="I741">
        <v>1.1023135999999999E-3</v>
      </c>
      <c r="J741">
        <v>0.22777977999999999</v>
      </c>
      <c r="K741">
        <f t="shared" si="34"/>
        <v>1</v>
      </c>
      <c r="L741">
        <f t="shared" si="35"/>
        <v>0</v>
      </c>
      <c r="M741">
        <f t="shared" si="36"/>
        <v>0</v>
      </c>
    </row>
    <row r="742" spans="1:13" x14ac:dyDescent="0.2">
      <c r="A742" t="s">
        <v>2576</v>
      </c>
      <c r="B742" t="s">
        <v>2890</v>
      </c>
      <c r="C742" t="s">
        <v>2899</v>
      </c>
      <c r="D742" t="s">
        <v>1289</v>
      </c>
      <c r="E742" t="s">
        <v>1290</v>
      </c>
      <c r="F742" t="s">
        <v>9</v>
      </c>
      <c r="G742" t="s">
        <v>65</v>
      </c>
      <c r="H742">
        <v>0.96768445000000003</v>
      </c>
      <c r="I742">
        <v>0.99999994000000003</v>
      </c>
      <c r="J742" s="1">
        <v>1.1759821E-5</v>
      </c>
      <c r="K742">
        <f t="shared" si="34"/>
        <v>1</v>
      </c>
      <c r="L742">
        <f t="shared" si="35"/>
        <v>1</v>
      </c>
      <c r="M742">
        <f t="shared" si="36"/>
        <v>0</v>
      </c>
    </row>
    <row r="743" spans="1:13" x14ac:dyDescent="0.2">
      <c r="A743" t="s">
        <v>2577</v>
      </c>
      <c r="B743" t="s">
        <v>2890</v>
      </c>
      <c r="C743" t="s">
        <v>2899</v>
      </c>
      <c r="D743" t="s">
        <v>1291</v>
      </c>
      <c r="E743" t="s">
        <v>1292</v>
      </c>
      <c r="F743" t="s">
        <v>9</v>
      </c>
      <c r="G743" t="s">
        <v>65</v>
      </c>
      <c r="H743">
        <v>3.4286110000000002E-2</v>
      </c>
      <c r="I743">
        <v>0.14251444999999999</v>
      </c>
      <c r="J743" s="1">
        <v>4.7317460000000001E-8</v>
      </c>
      <c r="K743">
        <f t="shared" si="34"/>
        <v>0</v>
      </c>
      <c r="L743">
        <f t="shared" si="35"/>
        <v>0</v>
      </c>
      <c r="M743">
        <f t="shared" si="36"/>
        <v>0</v>
      </c>
    </row>
    <row r="744" spans="1:13" x14ac:dyDescent="0.2">
      <c r="A744" t="s">
        <v>2578</v>
      </c>
      <c r="B744" t="s">
        <v>2890</v>
      </c>
      <c r="C744" t="s">
        <v>2899</v>
      </c>
      <c r="D744" t="s">
        <v>1293</v>
      </c>
      <c r="E744" t="s">
        <v>142</v>
      </c>
      <c r="F744" t="s">
        <v>9</v>
      </c>
      <c r="G744" t="s">
        <v>143</v>
      </c>
      <c r="H744" s="1">
        <v>3.3988592E-5</v>
      </c>
      <c r="I744" s="1">
        <v>1.5476132000000001E-8</v>
      </c>
      <c r="J744">
        <v>0.29643659999999999</v>
      </c>
      <c r="K744">
        <f t="shared" si="34"/>
        <v>0</v>
      </c>
      <c r="L744">
        <f t="shared" si="35"/>
        <v>0</v>
      </c>
      <c r="M744">
        <f t="shared" si="36"/>
        <v>0</v>
      </c>
    </row>
    <row r="745" spans="1:13" x14ac:dyDescent="0.2">
      <c r="A745" t="s">
        <v>2579</v>
      </c>
      <c r="B745" t="s">
        <v>2890</v>
      </c>
      <c r="C745" t="s">
        <v>2899</v>
      </c>
      <c r="D745" t="s">
        <v>1294</v>
      </c>
      <c r="E745" t="s">
        <v>1295</v>
      </c>
      <c r="F745" t="s">
        <v>13</v>
      </c>
      <c r="G745" t="s">
        <v>14</v>
      </c>
      <c r="H745">
        <v>0.99773436999999998</v>
      </c>
      <c r="I745">
        <v>0.98747814</v>
      </c>
      <c r="J745">
        <v>0.99997789999999998</v>
      </c>
      <c r="K745">
        <f t="shared" si="34"/>
        <v>1</v>
      </c>
      <c r="L745">
        <f t="shared" si="35"/>
        <v>1</v>
      </c>
      <c r="M745">
        <f t="shared" si="36"/>
        <v>1</v>
      </c>
    </row>
    <row r="746" spans="1:13" x14ac:dyDescent="0.2">
      <c r="A746" t="s">
        <v>2580</v>
      </c>
      <c r="B746" t="s">
        <v>2890</v>
      </c>
      <c r="C746" t="s">
        <v>2899</v>
      </c>
      <c r="D746" t="e">
        <f>-VQ-LLESGG-GLVQPGGSLRLSCAASGFTF---------TDSNMS-WVRQ-A-P-G-K--G-LE-WVSAIGG--------------STYYADA--D--SV--K---GRFTISR-D---N-S--KN----T-LYLQMNSLRA-EDTAVYYCAKLRYGYD---------------------YGYWYFDVWG-QGTTLTVSS</f>
        <v>#NAME?</v>
      </c>
      <c r="E746" t="s">
        <v>1296</v>
      </c>
      <c r="F746" t="s">
        <v>13</v>
      </c>
      <c r="G746" t="s">
        <v>10</v>
      </c>
      <c r="H746">
        <v>0.99999720000000003</v>
      </c>
      <c r="I746">
        <v>0.99999994000000003</v>
      </c>
      <c r="J746">
        <v>1.3619523999999999E-2</v>
      </c>
      <c r="K746">
        <f t="shared" si="34"/>
        <v>1</v>
      </c>
      <c r="L746">
        <f t="shared" si="35"/>
        <v>1</v>
      </c>
      <c r="M746">
        <f t="shared" si="36"/>
        <v>0</v>
      </c>
    </row>
    <row r="747" spans="1:13" x14ac:dyDescent="0.2">
      <c r="A747" t="s">
        <v>2581</v>
      </c>
      <c r="B747" t="s">
        <v>2890</v>
      </c>
      <c r="C747" t="s">
        <v>2899</v>
      </c>
      <c r="D747" t="s">
        <v>1297</v>
      </c>
      <c r="E747" t="s">
        <v>1298</v>
      </c>
      <c r="F747" t="s">
        <v>9</v>
      </c>
      <c r="G747" t="s">
        <v>14</v>
      </c>
      <c r="H747">
        <v>0.99997170000000002</v>
      </c>
      <c r="I747">
        <v>0.99999994000000003</v>
      </c>
      <c r="J747">
        <v>0.99847490000000005</v>
      </c>
      <c r="K747">
        <f t="shared" si="34"/>
        <v>1</v>
      </c>
      <c r="L747">
        <f t="shared" si="35"/>
        <v>1</v>
      </c>
      <c r="M747">
        <f t="shared" si="36"/>
        <v>1</v>
      </c>
    </row>
    <row r="748" spans="1:13" x14ac:dyDescent="0.2">
      <c r="A748" t="s">
        <v>2582</v>
      </c>
      <c r="B748" t="s">
        <v>2890</v>
      </c>
      <c r="C748" t="s">
        <v>2899</v>
      </c>
      <c r="D748" t="s">
        <v>1299</v>
      </c>
      <c r="E748" t="s">
        <v>1300</v>
      </c>
      <c r="F748" t="s">
        <v>13</v>
      </c>
      <c r="G748" t="s">
        <v>14</v>
      </c>
      <c r="H748">
        <v>0.99133115999999999</v>
      </c>
      <c r="I748">
        <v>0.99999994000000003</v>
      </c>
      <c r="J748" s="1">
        <v>1.9524729999999998E-5</v>
      </c>
      <c r="K748">
        <f t="shared" si="34"/>
        <v>1</v>
      </c>
      <c r="L748">
        <f t="shared" si="35"/>
        <v>1</v>
      </c>
      <c r="M748">
        <f t="shared" si="36"/>
        <v>0</v>
      </c>
    </row>
    <row r="749" spans="1:13" x14ac:dyDescent="0.2">
      <c r="A749" t="s">
        <v>2583</v>
      </c>
      <c r="B749" t="s">
        <v>2890</v>
      </c>
      <c r="C749" t="s">
        <v>2899</v>
      </c>
      <c r="D749" t="s">
        <v>1301</v>
      </c>
      <c r="E749" t="s">
        <v>1302</v>
      </c>
      <c r="F749" t="s">
        <v>9</v>
      </c>
      <c r="G749" t="s">
        <v>20</v>
      </c>
      <c r="H749">
        <v>0.99767570000000005</v>
      </c>
      <c r="I749">
        <v>0.99999994000000003</v>
      </c>
      <c r="J749">
        <v>0.96997670000000002</v>
      </c>
      <c r="K749">
        <f t="shared" si="34"/>
        <v>1</v>
      </c>
      <c r="L749">
        <f t="shared" si="35"/>
        <v>1</v>
      </c>
      <c r="M749">
        <f t="shared" si="36"/>
        <v>1</v>
      </c>
    </row>
    <row r="750" spans="1:13" x14ac:dyDescent="0.2">
      <c r="A750" t="s">
        <v>2584</v>
      </c>
      <c r="B750" t="s">
        <v>2890</v>
      </c>
      <c r="C750" t="s">
        <v>2899</v>
      </c>
      <c r="D750" t="s">
        <v>1303</v>
      </c>
      <c r="E750" t="s">
        <v>42</v>
      </c>
      <c r="F750" t="s">
        <v>9</v>
      </c>
      <c r="G750" t="s">
        <v>10</v>
      </c>
      <c r="H750">
        <v>0.99999979999999999</v>
      </c>
      <c r="I750">
        <v>0.99999994000000003</v>
      </c>
      <c r="J750">
        <v>0.54311509999999996</v>
      </c>
      <c r="K750">
        <f t="shared" si="34"/>
        <v>1</v>
      </c>
      <c r="L750">
        <f t="shared" si="35"/>
        <v>1</v>
      </c>
      <c r="M750">
        <f t="shared" si="36"/>
        <v>1</v>
      </c>
    </row>
    <row r="751" spans="1:13" x14ac:dyDescent="0.2">
      <c r="A751" t="s">
        <v>2585</v>
      </c>
      <c r="B751" t="s">
        <v>2890</v>
      </c>
      <c r="C751" t="s">
        <v>2899</v>
      </c>
      <c r="D751" t="s">
        <v>1304</v>
      </c>
      <c r="E751" t="s">
        <v>1305</v>
      </c>
      <c r="F751" t="s">
        <v>13</v>
      </c>
      <c r="G751" t="s">
        <v>14</v>
      </c>
      <c r="H751">
        <v>0.99999979999999999</v>
      </c>
      <c r="I751">
        <v>0.9998842</v>
      </c>
      <c r="J751">
        <v>0.9995385</v>
      </c>
      <c r="K751">
        <f t="shared" si="34"/>
        <v>1</v>
      </c>
      <c r="L751">
        <f t="shared" si="35"/>
        <v>1</v>
      </c>
      <c r="M751">
        <f t="shared" si="36"/>
        <v>1</v>
      </c>
    </row>
    <row r="752" spans="1:13" x14ac:dyDescent="0.2">
      <c r="A752" t="s">
        <v>2586</v>
      </c>
      <c r="B752" t="s">
        <v>2892</v>
      </c>
      <c r="C752" t="s">
        <v>2899</v>
      </c>
      <c r="D752" t="e">
        <f>-VQ-LVESGG-GLVQPGGSLRLSCAASGFNV---------SYSSIH-WVRQ-A-P-G-K--G-LE-WVASISSY-----------YGYTYY--A--D--SV--K---GRFTISA-D---T-S--KN----T-AYLQMNSLRA-EDTAVYYCARRDYVHM----------------------GGAYYDYWG-QGTLVTVSS</f>
        <v>#NAME?</v>
      </c>
      <c r="E752" t="s">
        <v>1306</v>
      </c>
      <c r="F752" t="s">
        <v>13</v>
      </c>
      <c r="G752" t="s">
        <v>14</v>
      </c>
      <c r="H752">
        <v>0.99999959999999999</v>
      </c>
      <c r="I752">
        <v>0.99999830000000001</v>
      </c>
      <c r="J752">
        <v>0.9989903</v>
      </c>
      <c r="K752">
        <f t="shared" si="34"/>
        <v>1</v>
      </c>
      <c r="L752">
        <f t="shared" si="35"/>
        <v>1</v>
      </c>
      <c r="M752">
        <f t="shared" si="36"/>
        <v>1</v>
      </c>
    </row>
    <row r="753" spans="1:13" x14ac:dyDescent="0.2">
      <c r="A753" t="s">
        <v>2587</v>
      </c>
      <c r="B753" t="s">
        <v>2892</v>
      </c>
      <c r="C753" t="s">
        <v>2899</v>
      </c>
      <c r="D753" t="s">
        <v>1307</v>
      </c>
      <c r="E753" t="s">
        <v>1308</v>
      </c>
      <c r="F753" t="s">
        <v>9</v>
      </c>
      <c r="G753" t="s">
        <v>14</v>
      </c>
      <c r="H753">
        <v>0.99976229999999999</v>
      </c>
      <c r="I753">
        <v>0.99999994000000003</v>
      </c>
      <c r="J753">
        <v>0.63816755999999997</v>
      </c>
      <c r="K753">
        <f t="shared" si="34"/>
        <v>1</v>
      </c>
      <c r="L753">
        <f t="shared" si="35"/>
        <v>1</v>
      </c>
      <c r="M753">
        <f t="shared" si="36"/>
        <v>1</v>
      </c>
    </row>
    <row r="754" spans="1:13" x14ac:dyDescent="0.2">
      <c r="A754" t="s">
        <v>2588</v>
      </c>
      <c r="B754" t="s">
        <v>2892</v>
      </c>
      <c r="C754" t="s">
        <v>2899</v>
      </c>
      <c r="D754" t="s">
        <v>1309</v>
      </c>
      <c r="E754" t="s">
        <v>1310</v>
      </c>
      <c r="F754" t="s">
        <v>13</v>
      </c>
      <c r="G754" t="s">
        <v>143</v>
      </c>
      <c r="H754">
        <v>7.6366946000000005E-2</v>
      </c>
      <c r="I754" s="1">
        <v>1.0313968E-8</v>
      </c>
      <c r="J754">
        <v>3.749175E-3</v>
      </c>
      <c r="K754">
        <f t="shared" si="34"/>
        <v>0</v>
      </c>
      <c r="L754">
        <f t="shared" si="35"/>
        <v>0</v>
      </c>
      <c r="M754">
        <f t="shared" si="36"/>
        <v>0</v>
      </c>
    </row>
    <row r="755" spans="1:13" x14ac:dyDescent="0.2">
      <c r="A755" t="s">
        <v>2589</v>
      </c>
      <c r="B755" t="s">
        <v>2892</v>
      </c>
      <c r="C755" t="s">
        <v>2899</v>
      </c>
      <c r="D755" t="s">
        <v>1311</v>
      </c>
      <c r="E755" t="s">
        <v>1312</v>
      </c>
      <c r="F755" t="s">
        <v>9</v>
      </c>
      <c r="G755" t="s">
        <v>14</v>
      </c>
      <c r="H755">
        <v>0.99999994000000003</v>
      </c>
      <c r="I755">
        <v>0.99999994000000003</v>
      </c>
      <c r="J755">
        <v>1.8798611000000001E-4</v>
      </c>
      <c r="K755">
        <f t="shared" si="34"/>
        <v>1</v>
      </c>
      <c r="L755">
        <f t="shared" si="35"/>
        <v>1</v>
      </c>
      <c r="M755">
        <f t="shared" si="36"/>
        <v>0</v>
      </c>
    </row>
    <row r="756" spans="1:13" x14ac:dyDescent="0.2">
      <c r="A756" t="s">
        <v>2590</v>
      </c>
      <c r="B756" t="s">
        <v>2892</v>
      </c>
      <c r="C756" t="s">
        <v>2899</v>
      </c>
      <c r="D756" t="s">
        <v>1313</v>
      </c>
      <c r="E756" t="s">
        <v>1314</v>
      </c>
      <c r="F756" t="s">
        <v>9</v>
      </c>
      <c r="G756" t="s">
        <v>10</v>
      </c>
      <c r="H756">
        <v>0.99999970000000005</v>
      </c>
      <c r="I756">
        <v>0.99999994000000003</v>
      </c>
      <c r="J756">
        <v>0.11794370999999999</v>
      </c>
      <c r="K756">
        <f t="shared" si="34"/>
        <v>1</v>
      </c>
      <c r="L756">
        <f t="shared" si="35"/>
        <v>1</v>
      </c>
      <c r="M756">
        <f t="shared" si="36"/>
        <v>0</v>
      </c>
    </row>
    <row r="757" spans="1:13" x14ac:dyDescent="0.2">
      <c r="A757" t="s">
        <v>2591</v>
      </c>
      <c r="B757" t="s">
        <v>2892</v>
      </c>
      <c r="C757" t="s">
        <v>2899</v>
      </c>
      <c r="D757" t="s">
        <v>1315</v>
      </c>
      <c r="E757" t="s">
        <v>1316</v>
      </c>
      <c r="F757" t="s">
        <v>9</v>
      </c>
      <c r="G757" t="s">
        <v>14</v>
      </c>
      <c r="H757">
        <v>0.99999994000000003</v>
      </c>
      <c r="I757">
        <v>0.99994284</v>
      </c>
      <c r="J757">
        <v>0.99974512999999998</v>
      </c>
      <c r="K757">
        <f t="shared" si="34"/>
        <v>1</v>
      </c>
      <c r="L757">
        <f t="shared" si="35"/>
        <v>1</v>
      </c>
      <c r="M757">
        <f t="shared" si="36"/>
        <v>1</v>
      </c>
    </row>
    <row r="758" spans="1:13" x14ac:dyDescent="0.2">
      <c r="A758" t="s">
        <v>2592</v>
      </c>
      <c r="B758" t="s">
        <v>2892</v>
      </c>
      <c r="C758" t="s">
        <v>2899</v>
      </c>
      <c r="D758" t="s">
        <v>1317</v>
      </c>
      <c r="E758" t="s">
        <v>1318</v>
      </c>
      <c r="F758" t="s">
        <v>9</v>
      </c>
      <c r="G758" t="s">
        <v>14</v>
      </c>
      <c r="H758">
        <v>0.71067769999999997</v>
      </c>
      <c r="I758">
        <v>1.6477129999999999E-4</v>
      </c>
      <c r="J758" s="1">
        <v>1.9007776999999999E-8</v>
      </c>
      <c r="K758">
        <f t="shared" si="34"/>
        <v>1</v>
      </c>
      <c r="L758">
        <f t="shared" si="35"/>
        <v>0</v>
      </c>
      <c r="M758">
        <f t="shared" si="36"/>
        <v>0</v>
      </c>
    </row>
    <row r="759" spans="1:13" x14ac:dyDescent="0.2">
      <c r="A759" t="s">
        <v>2593</v>
      </c>
      <c r="B759" t="s">
        <v>2892</v>
      </c>
      <c r="C759" t="s">
        <v>2899</v>
      </c>
      <c r="D759" t="s">
        <v>1319</v>
      </c>
      <c r="E759" t="s">
        <v>1320</v>
      </c>
      <c r="F759" t="s">
        <v>13</v>
      </c>
      <c r="G759" t="s">
        <v>14</v>
      </c>
      <c r="H759">
        <v>0.99998849999999995</v>
      </c>
      <c r="I759">
        <v>0.99999994000000003</v>
      </c>
      <c r="J759">
        <v>0.99914913999999999</v>
      </c>
      <c r="K759">
        <f t="shared" si="34"/>
        <v>1</v>
      </c>
      <c r="L759">
        <f t="shared" si="35"/>
        <v>1</v>
      </c>
      <c r="M759">
        <f t="shared" si="36"/>
        <v>1</v>
      </c>
    </row>
    <row r="760" spans="1:13" x14ac:dyDescent="0.2">
      <c r="A760" t="s">
        <v>2594</v>
      </c>
      <c r="B760" t="s">
        <v>2892</v>
      </c>
      <c r="C760" t="s">
        <v>2899</v>
      </c>
      <c r="D760" t="e">
        <f>-VQ-LVQSGA-EVKKPGSSVKVSCKASGGTF---------SSYAIS-WVRQ-A-P-G-Q--G-LE-WMGGIIPI-----------FGGANY--A--Q--KF--Q---GRVTITA-D---K-S--TS----T-AYMELSSLRS-EDTAVYYCARQQGDFYV--------------------GEYWYFDVWG-QGTTVTVSS</f>
        <v>#NAME?</v>
      </c>
      <c r="E760" t="s">
        <v>1321</v>
      </c>
      <c r="F760" t="s">
        <v>9</v>
      </c>
      <c r="G760" t="s">
        <v>14</v>
      </c>
      <c r="H760">
        <v>0.99997944000000005</v>
      </c>
      <c r="I760">
        <v>0.99928474</v>
      </c>
      <c r="J760">
        <v>1.9326474999999999E-2</v>
      </c>
      <c r="K760">
        <f t="shared" si="34"/>
        <v>1</v>
      </c>
      <c r="L760">
        <f t="shared" si="35"/>
        <v>1</v>
      </c>
      <c r="M760">
        <f t="shared" si="36"/>
        <v>0</v>
      </c>
    </row>
    <row r="761" spans="1:13" x14ac:dyDescent="0.2">
      <c r="A761" t="s">
        <v>2595</v>
      </c>
      <c r="B761" t="s">
        <v>2892</v>
      </c>
      <c r="C761" t="s">
        <v>2899</v>
      </c>
      <c r="D761" t="s">
        <v>1322</v>
      </c>
      <c r="E761" t="s">
        <v>1323</v>
      </c>
      <c r="F761" t="s">
        <v>17</v>
      </c>
      <c r="G761" t="s">
        <v>10</v>
      </c>
      <c r="H761">
        <v>0.61250660000000001</v>
      </c>
      <c r="I761">
        <v>0.99999945999999995</v>
      </c>
      <c r="J761">
        <v>0.99999994000000003</v>
      </c>
      <c r="K761">
        <f t="shared" si="34"/>
        <v>1</v>
      </c>
      <c r="L761">
        <f t="shared" si="35"/>
        <v>1</v>
      </c>
      <c r="M761">
        <f t="shared" si="36"/>
        <v>1</v>
      </c>
    </row>
    <row r="762" spans="1:13" x14ac:dyDescent="0.2">
      <c r="A762" t="s">
        <v>2596</v>
      </c>
      <c r="B762" t="s">
        <v>2892</v>
      </c>
      <c r="C762" t="s">
        <v>2899</v>
      </c>
      <c r="D762" t="s">
        <v>1324</v>
      </c>
      <c r="E762" t="s">
        <v>1325</v>
      </c>
      <c r="F762" t="s">
        <v>13</v>
      </c>
      <c r="G762" t="s">
        <v>40</v>
      </c>
      <c r="H762">
        <v>0.99999994000000003</v>
      </c>
      <c r="I762">
        <v>0.99999994000000003</v>
      </c>
      <c r="J762">
        <v>8.6908236E-2</v>
      </c>
      <c r="K762">
        <f t="shared" si="34"/>
        <v>1</v>
      </c>
      <c r="L762">
        <f t="shared" si="35"/>
        <v>1</v>
      </c>
      <c r="M762">
        <f t="shared" si="36"/>
        <v>0</v>
      </c>
    </row>
    <row r="763" spans="1:13" x14ac:dyDescent="0.2">
      <c r="A763" t="s">
        <v>2597</v>
      </c>
      <c r="B763" t="s">
        <v>2892</v>
      </c>
      <c r="C763" t="s">
        <v>2899</v>
      </c>
      <c r="D763" t="s">
        <v>1326</v>
      </c>
      <c r="E763" t="s">
        <v>1327</v>
      </c>
      <c r="F763" t="s">
        <v>9</v>
      </c>
      <c r="G763" t="s">
        <v>18</v>
      </c>
      <c r="H763">
        <v>9.8776729999999993E-2</v>
      </c>
      <c r="I763" s="1">
        <v>6.7943509999999999E-8</v>
      </c>
      <c r="J763" s="1">
        <v>2.5107115E-12</v>
      </c>
      <c r="K763">
        <f t="shared" si="34"/>
        <v>0</v>
      </c>
      <c r="L763">
        <f t="shared" si="35"/>
        <v>0</v>
      </c>
      <c r="M763">
        <f t="shared" si="36"/>
        <v>0</v>
      </c>
    </row>
    <row r="764" spans="1:13" x14ac:dyDescent="0.2">
      <c r="A764" t="s">
        <v>2598</v>
      </c>
      <c r="B764" t="s">
        <v>2892</v>
      </c>
      <c r="C764" t="s">
        <v>2899</v>
      </c>
      <c r="D764" t="s">
        <v>1328</v>
      </c>
      <c r="E764" t="s">
        <v>1329</v>
      </c>
      <c r="F764" t="s">
        <v>13</v>
      </c>
      <c r="G764" t="s">
        <v>14</v>
      </c>
      <c r="H764">
        <v>0.98565650000000005</v>
      </c>
      <c r="I764">
        <v>0.99999684</v>
      </c>
      <c r="J764">
        <v>0.56559455000000003</v>
      </c>
      <c r="K764">
        <f t="shared" si="34"/>
        <v>1</v>
      </c>
      <c r="L764">
        <f t="shared" si="35"/>
        <v>1</v>
      </c>
      <c r="M764">
        <f t="shared" si="36"/>
        <v>1</v>
      </c>
    </row>
    <row r="765" spans="1:13" x14ac:dyDescent="0.2">
      <c r="A765" t="s">
        <v>2599</v>
      </c>
      <c r="B765" t="s">
        <v>2892</v>
      </c>
      <c r="C765" t="s">
        <v>2899</v>
      </c>
      <c r="D765" t="s">
        <v>1330</v>
      </c>
      <c r="E765" t="s">
        <v>106</v>
      </c>
      <c r="F765" t="s">
        <v>13</v>
      </c>
      <c r="G765" t="s">
        <v>14</v>
      </c>
      <c r="H765">
        <v>0.94302079999999999</v>
      </c>
      <c r="I765">
        <v>0.99999994000000003</v>
      </c>
      <c r="J765">
        <v>0.99999684</v>
      </c>
      <c r="K765">
        <f t="shared" si="34"/>
        <v>1</v>
      </c>
      <c r="L765">
        <f t="shared" si="35"/>
        <v>1</v>
      </c>
      <c r="M765">
        <f t="shared" si="36"/>
        <v>1</v>
      </c>
    </row>
    <row r="766" spans="1:13" x14ac:dyDescent="0.2">
      <c r="A766" t="s">
        <v>2600</v>
      </c>
      <c r="B766" t="s">
        <v>2892</v>
      </c>
      <c r="C766" t="s">
        <v>2899</v>
      </c>
      <c r="D766" t="s">
        <v>1331</v>
      </c>
      <c r="E766" t="s">
        <v>1332</v>
      </c>
      <c r="F766" t="s">
        <v>13</v>
      </c>
      <c r="G766" t="s">
        <v>14</v>
      </c>
      <c r="H766">
        <v>0.99999970000000005</v>
      </c>
      <c r="I766">
        <v>0.99999979999999999</v>
      </c>
      <c r="J766">
        <v>0.66181239999999997</v>
      </c>
      <c r="K766">
        <f t="shared" si="34"/>
        <v>1</v>
      </c>
      <c r="L766">
        <f t="shared" si="35"/>
        <v>1</v>
      </c>
      <c r="M766">
        <f t="shared" si="36"/>
        <v>1</v>
      </c>
    </row>
    <row r="767" spans="1:13" x14ac:dyDescent="0.2">
      <c r="A767" t="s">
        <v>2601</v>
      </c>
      <c r="B767" t="s">
        <v>2892</v>
      </c>
      <c r="C767" t="s">
        <v>2899</v>
      </c>
      <c r="D767" t="s">
        <v>1333</v>
      </c>
      <c r="E767" t="s">
        <v>1334</v>
      </c>
      <c r="F767" t="s">
        <v>9</v>
      </c>
      <c r="G767" t="s">
        <v>14</v>
      </c>
      <c r="H767">
        <v>0.17296658000000001</v>
      </c>
      <c r="I767">
        <v>2.6639612000000002E-4</v>
      </c>
      <c r="J767">
        <v>6.6728270000000006E-2</v>
      </c>
      <c r="K767">
        <f t="shared" si="34"/>
        <v>0</v>
      </c>
      <c r="L767">
        <f t="shared" si="35"/>
        <v>0</v>
      </c>
      <c r="M767">
        <f t="shared" si="36"/>
        <v>0</v>
      </c>
    </row>
    <row r="768" spans="1:13" x14ac:dyDescent="0.2">
      <c r="A768" t="s">
        <v>2602</v>
      </c>
      <c r="B768" t="s">
        <v>2892</v>
      </c>
      <c r="C768" t="s">
        <v>2899</v>
      </c>
      <c r="D768" t="s">
        <v>1335</v>
      </c>
      <c r="E768" t="s">
        <v>42</v>
      </c>
      <c r="F768" t="s">
        <v>9</v>
      </c>
      <c r="G768" t="s">
        <v>10</v>
      </c>
      <c r="H768">
        <v>0.99998944999999995</v>
      </c>
      <c r="I768">
        <v>0.99999994000000003</v>
      </c>
      <c r="J768">
        <v>0.99612900000000004</v>
      </c>
      <c r="K768">
        <f t="shared" si="34"/>
        <v>1</v>
      </c>
      <c r="L768">
        <f t="shared" si="35"/>
        <v>1</v>
      </c>
      <c r="M768">
        <f t="shared" si="36"/>
        <v>1</v>
      </c>
    </row>
    <row r="769" spans="1:13" x14ac:dyDescent="0.2">
      <c r="A769" t="s">
        <v>2603</v>
      </c>
      <c r="B769" t="s">
        <v>2892</v>
      </c>
      <c r="C769" t="s">
        <v>2899</v>
      </c>
      <c r="D769" t="s">
        <v>1336</v>
      </c>
      <c r="E769" t="s">
        <v>1337</v>
      </c>
      <c r="F769" t="s">
        <v>9</v>
      </c>
      <c r="G769" t="s">
        <v>14</v>
      </c>
      <c r="H769">
        <v>0.99999979999999999</v>
      </c>
      <c r="I769">
        <v>0.29359245</v>
      </c>
      <c r="J769">
        <v>0.99726809999999999</v>
      </c>
      <c r="K769">
        <f t="shared" si="34"/>
        <v>1</v>
      </c>
      <c r="L769">
        <f t="shared" si="35"/>
        <v>0</v>
      </c>
      <c r="M769">
        <f t="shared" si="36"/>
        <v>1</v>
      </c>
    </row>
    <row r="770" spans="1:13" x14ac:dyDescent="0.2">
      <c r="A770" t="s">
        <v>2604</v>
      </c>
      <c r="B770" t="s">
        <v>2892</v>
      </c>
      <c r="C770" t="s">
        <v>2899</v>
      </c>
      <c r="D770" t="s">
        <v>1338</v>
      </c>
      <c r="E770" t="s">
        <v>1339</v>
      </c>
      <c r="F770" t="s">
        <v>60</v>
      </c>
      <c r="G770" t="s">
        <v>14</v>
      </c>
      <c r="H770">
        <v>0.9999574</v>
      </c>
      <c r="I770">
        <v>0.99999994000000003</v>
      </c>
      <c r="J770">
        <v>0.113280326</v>
      </c>
      <c r="K770">
        <f t="shared" si="34"/>
        <v>1</v>
      </c>
      <c r="L770">
        <f t="shared" si="35"/>
        <v>1</v>
      </c>
      <c r="M770">
        <f t="shared" si="36"/>
        <v>0</v>
      </c>
    </row>
    <row r="771" spans="1:13" x14ac:dyDescent="0.2">
      <c r="A771" t="s">
        <v>2605</v>
      </c>
      <c r="B771" t="s">
        <v>2892</v>
      </c>
      <c r="C771" t="s">
        <v>2899</v>
      </c>
      <c r="D771" t="s">
        <v>1340</v>
      </c>
      <c r="E771" t="s">
        <v>1341</v>
      </c>
      <c r="F771" t="s">
        <v>9</v>
      </c>
      <c r="G771" t="s">
        <v>14</v>
      </c>
      <c r="H771">
        <v>0.99999970000000005</v>
      </c>
      <c r="I771">
        <v>0.99999994000000003</v>
      </c>
      <c r="J771">
        <v>1.4590695999999999E-4</v>
      </c>
      <c r="K771">
        <f t="shared" ref="K771:K834" si="37">IF(H771&gt;=0.5,1,0)</f>
        <v>1</v>
      </c>
      <c r="L771">
        <f t="shared" ref="L771:L834" si="38">IF(I771&gt;=0.5,1,0)</f>
        <v>1</v>
      </c>
      <c r="M771">
        <f t="shared" ref="M771:M834" si="39">IF(J771&gt;=0.5,1,0)</f>
        <v>0</v>
      </c>
    </row>
    <row r="772" spans="1:13" x14ac:dyDescent="0.2">
      <c r="A772" t="s">
        <v>2606</v>
      </c>
      <c r="B772" t="s">
        <v>2892</v>
      </c>
      <c r="C772" t="s">
        <v>2899</v>
      </c>
      <c r="D772" t="s">
        <v>1342</v>
      </c>
      <c r="E772" t="s">
        <v>1343</v>
      </c>
      <c r="F772" t="s">
        <v>17</v>
      </c>
      <c r="G772" t="s">
        <v>14</v>
      </c>
      <c r="H772">
        <v>0.89463614999999996</v>
      </c>
      <c r="I772">
        <v>0.99999994000000003</v>
      </c>
      <c r="J772">
        <v>0.9993358</v>
      </c>
      <c r="K772">
        <f t="shared" si="37"/>
        <v>1</v>
      </c>
      <c r="L772">
        <f t="shared" si="38"/>
        <v>1</v>
      </c>
      <c r="M772">
        <f t="shared" si="39"/>
        <v>1</v>
      </c>
    </row>
    <row r="773" spans="1:13" x14ac:dyDescent="0.2">
      <c r="A773" t="s">
        <v>2607</v>
      </c>
      <c r="B773" t="s">
        <v>2892</v>
      </c>
      <c r="C773" t="s">
        <v>2899</v>
      </c>
      <c r="D773" t="s">
        <v>1344</v>
      </c>
      <c r="E773" t="s">
        <v>1345</v>
      </c>
      <c r="F773" t="s">
        <v>13</v>
      </c>
      <c r="G773" t="s">
        <v>10</v>
      </c>
      <c r="H773">
        <v>7.8517534E-2</v>
      </c>
      <c r="I773">
        <v>0.99894720000000004</v>
      </c>
      <c r="J773">
        <v>0.94217439999999997</v>
      </c>
      <c r="K773">
        <f t="shared" si="37"/>
        <v>0</v>
      </c>
      <c r="L773">
        <f t="shared" si="38"/>
        <v>1</v>
      </c>
      <c r="M773">
        <f t="shared" si="39"/>
        <v>1</v>
      </c>
    </row>
    <row r="774" spans="1:13" x14ac:dyDescent="0.2">
      <c r="A774" t="s">
        <v>2608</v>
      </c>
      <c r="B774" t="s">
        <v>2892</v>
      </c>
      <c r="C774" t="s">
        <v>2899</v>
      </c>
      <c r="D774" t="s">
        <v>1346</v>
      </c>
      <c r="E774" t="s">
        <v>1347</v>
      </c>
      <c r="F774" t="s">
        <v>9</v>
      </c>
      <c r="G774" t="s">
        <v>65</v>
      </c>
      <c r="H774">
        <v>0.99795999999999996</v>
      </c>
      <c r="I774">
        <v>0.99999994000000003</v>
      </c>
      <c r="J774">
        <v>0.99987744999999995</v>
      </c>
      <c r="K774">
        <f t="shared" si="37"/>
        <v>1</v>
      </c>
      <c r="L774">
        <f t="shared" si="38"/>
        <v>1</v>
      </c>
      <c r="M774">
        <f t="shared" si="39"/>
        <v>1</v>
      </c>
    </row>
    <row r="775" spans="1:13" x14ac:dyDescent="0.2">
      <c r="A775" t="s">
        <v>2609</v>
      </c>
      <c r="B775" t="s">
        <v>2892</v>
      </c>
      <c r="C775" t="s">
        <v>2899</v>
      </c>
      <c r="D775" t="e">
        <f>-VQ-LVQSGG-GLVQPGRSLRLSCAASGFTF---------DDYAMH-WVRQ-A-P-G-K--G-LE-WVSGISWN-----------SGGTNY--A--D--SV--K---GRFTISR-D---N-S--KN----T-LYLQMNSLRA-EDTAVYYCARDRYVD------------------------SWYFDVWG-QGTLVTVSS</f>
        <v>#NAME?</v>
      </c>
      <c r="E775" t="s">
        <v>1348</v>
      </c>
      <c r="F775" t="s">
        <v>13</v>
      </c>
      <c r="G775" t="s">
        <v>14</v>
      </c>
      <c r="H775">
        <v>0.99999994000000003</v>
      </c>
      <c r="I775">
        <v>0.99999994000000003</v>
      </c>
      <c r="J775">
        <v>0.60159499999999999</v>
      </c>
      <c r="K775">
        <f t="shared" si="37"/>
        <v>1</v>
      </c>
      <c r="L775">
        <f t="shared" si="38"/>
        <v>1</v>
      </c>
      <c r="M775">
        <f t="shared" si="39"/>
        <v>1</v>
      </c>
    </row>
    <row r="776" spans="1:13" x14ac:dyDescent="0.2">
      <c r="A776" t="s">
        <v>2610</v>
      </c>
      <c r="B776" t="s">
        <v>2892</v>
      </c>
      <c r="C776" t="s">
        <v>2899</v>
      </c>
      <c r="D776" t="s">
        <v>1349</v>
      </c>
      <c r="E776" t="s">
        <v>1350</v>
      </c>
      <c r="F776" t="s">
        <v>9</v>
      </c>
      <c r="G776" t="s">
        <v>14</v>
      </c>
      <c r="H776">
        <v>1.4731196E-2</v>
      </c>
      <c r="I776" s="1">
        <v>2.1014062999999999E-8</v>
      </c>
      <c r="J776" s="1">
        <v>1.8781115999999999E-10</v>
      </c>
      <c r="K776">
        <f t="shared" si="37"/>
        <v>0</v>
      </c>
      <c r="L776">
        <f t="shared" si="38"/>
        <v>0</v>
      </c>
      <c r="M776">
        <f t="shared" si="39"/>
        <v>0</v>
      </c>
    </row>
    <row r="777" spans="1:13" x14ac:dyDescent="0.2">
      <c r="A777" t="s">
        <v>2611</v>
      </c>
      <c r="B777" t="s">
        <v>2892</v>
      </c>
      <c r="C777" t="s">
        <v>2899</v>
      </c>
      <c r="D777" t="s">
        <v>1351</v>
      </c>
      <c r="E777" t="s">
        <v>1352</v>
      </c>
      <c r="F777" t="s">
        <v>9</v>
      </c>
      <c r="G777" t="s">
        <v>14</v>
      </c>
      <c r="H777">
        <v>0.99999934000000001</v>
      </c>
      <c r="I777">
        <v>0.99999994000000003</v>
      </c>
      <c r="J777">
        <v>1.2944690999999999E-4</v>
      </c>
      <c r="K777">
        <f t="shared" si="37"/>
        <v>1</v>
      </c>
      <c r="L777">
        <f t="shared" si="38"/>
        <v>1</v>
      </c>
      <c r="M777">
        <f t="shared" si="39"/>
        <v>0</v>
      </c>
    </row>
    <row r="778" spans="1:13" x14ac:dyDescent="0.2">
      <c r="A778" t="s">
        <v>2612</v>
      </c>
      <c r="B778" t="s">
        <v>2892</v>
      </c>
      <c r="C778" t="s">
        <v>2899</v>
      </c>
      <c r="D778" t="s">
        <v>1353</v>
      </c>
      <c r="E778" t="s">
        <v>1354</v>
      </c>
      <c r="F778" t="s">
        <v>9</v>
      </c>
      <c r="G778" t="s">
        <v>14</v>
      </c>
      <c r="H778">
        <v>0.99818664999999995</v>
      </c>
      <c r="I778">
        <v>0.99999994000000003</v>
      </c>
      <c r="J778">
        <v>2.3085395999999998E-3</v>
      </c>
      <c r="K778">
        <f t="shared" si="37"/>
        <v>1</v>
      </c>
      <c r="L778">
        <f t="shared" si="38"/>
        <v>1</v>
      </c>
      <c r="M778">
        <f t="shared" si="39"/>
        <v>0</v>
      </c>
    </row>
    <row r="779" spans="1:13" x14ac:dyDescent="0.2">
      <c r="A779" t="s">
        <v>2613</v>
      </c>
      <c r="B779" t="s">
        <v>2892</v>
      </c>
      <c r="C779" t="s">
        <v>2899</v>
      </c>
      <c r="D779" t="s">
        <v>1355</v>
      </c>
      <c r="E779" t="s">
        <v>1356</v>
      </c>
      <c r="F779" t="s">
        <v>9</v>
      </c>
      <c r="G779" t="s">
        <v>14</v>
      </c>
      <c r="H779">
        <v>0.99999979999999999</v>
      </c>
      <c r="I779">
        <v>0.99999684</v>
      </c>
      <c r="J779">
        <v>3.7019499999999999E-3</v>
      </c>
      <c r="K779">
        <f t="shared" si="37"/>
        <v>1</v>
      </c>
      <c r="L779">
        <f t="shared" si="38"/>
        <v>1</v>
      </c>
      <c r="M779">
        <f t="shared" si="39"/>
        <v>0</v>
      </c>
    </row>
    <row r="780" spans="1:13" x14ac:dyDescent="0.2">
      <c r="A780" t="s">
        <v>2614</v>
      </c>
      <c r="B780" t="s">
        <v>2892</v>
      </c>
      <c r="C780" t="s">
        <v>2899</v>
      </c>
      <c r="D780" t="s">
        <v>1357</v>
      </c>
      <c r="E780" t="s">
        <v>304</v>
      </c>
      <c r="F780" t="s">
        <v>13</v>
      </c>
      <c r="G780" t="s">
        <v>14</v>
      </c>
      <c r="H780">
        <v>0.99999649999999995</v>
      </c>
      <c r="I780">
        <v>0.99999875000000005</v>
      </c>
      <c r="J780">
        <v>0.99337819999999999</v>
      </c>
      <c r="K780">
        <f t="shared" si="37"/>
        <v>1</v>
      </c>
      <c r="L780">
        <f t="shared" si="38"/>
        <v>1</v>
      </c>
      <c r="M780">
        <f t="shared" si="39"/>
        <v>1</v>
      </c>
    </row>
    <row r="781" spans="1:13" x14ac:dyDescent="0.2">
      <c r="A781" t="s">
        <v>2615</v>
      </c>
      <c r="B781" t="s">
        <v>2892</v>
      </c>
      <c r="C781" t="s">
        <v>2899</v>
      </c>
      <c r="D781" t="s">
        <v>1358</v>
      </c>
      <c r="E781" t="s">
        <v>1359</v>
      </c>
      <c r="F781" t="s">
        <v>9</v>
      </c>
      <c r="G781" t="s">
        <v>10</v>
      </c>
      <c r="H781">
        <v>0.99976180000000003</v>
      </c>
      <c r="I781">
        <v>0.99999994000000003</v>
      </c>
      <c r="J781">
        <v>6.2671359999999995E-2</v>
      </c>
      <c r="K781">
        <f t="shared" si="37"/>
        <v>1</v>
      </c>
      <c r="L781">
        <f t="shared" si="38"/>
        <v>1</v>
      </c>
      <c r="M781">
        <f t="shared" si="39"/>
        <v>0</v>
      </c>
    </row>
    <row r="782" spans="1:13" x14ac:dyDescent="0.2">
      <c r="A782" t="s">
        <v>2616</v>
      </c>
      <c r="B782" t="s">
        <v>2892</v>
      </c>
      <c r="C782" t="s">
        <v>2899</v>
      </c>
      <c r="D782" t="s">
        <v>1360</v>
      </c>
      <c r="E782" t="s">
        <v>1361</v>
      </c>
      <c r="F782" t="s">
        <v>9</v>
      </c>
      <c r="G782" t="s">
        <v>18</v>
      </c>
      <c r="H782">
        <v>0.1715711</v>
      </c>
      <c r="I782">
        <v>0.99999994000000003</v>
      </c>
      <c r="J782" s="1">
        <v>5.7184115999999999E-7</v>
      </c>
      <c r="K782">
        <f t="shared" si="37"/>
        <v>0</v>
      </c>
      <c r="L782">
        <f t="shared" si="38"/>
        <v>1</v>
      </c>
      <c r="M782">
        <f t="shared" si="39"/>
        <v>0</v>
      </c>
    </row>
    <row r="783" spans="1:13" x14ac:dyDescent="0.2">
      <c r="A783" t="s">
        <v>2617</v>
      </c>
      <c r="B783" t="s">
        <v>2892</v>
      </c>
      <c r="C783" t="s">
        <v>2899</v>
      </c>
      <c r="D783" t="s">
        <v>1362</v>
      </c>
      <c r="E783" t="s">
        <v>1363</v>
      </c>
      <c r="F783" t="s">
        <v>13</v>
      </c>
      <c r="G783" t="s">
        <v>14</v>
      </c>
      <c r="H783">
        <v>0.99999886999999998</v>
      </c>
      <c r="I783">
        <v>0.99995369999999995</v>
      </c>
      <c r="J783">
        <v>0.99377245000000003</v>
      </c>
      <c r="K783">
        <f t="shared" si="37"/>
        <v>1</v>
      </c>
      <c r="L783">
        <f t="shared" si="38"/>
        <v>1</v>
      </c>
      <c r="M783">
        <f t="shared" si="39"/>
        <v>1</v>
      </c>
    </row>
    <row r="784" spans="1:13" x14ac:dyDescent="0.2">
      <c r="A784" t="s">
        <v>2618</v>
      </c>
      <c r="B784" t="s">
        <v>2892</v>
      </c>
      <c r="C784" t="s">
        <v>2899</v>
      </c>
      <c r="D784" t="s">
        <v>1364</v>
      </c>
      <c r="E784" t="s">
        <v>1365</v>
      </c>
      <c r="F784" t="s">
        <v>13</v>
      </c>
      <c r="G784" t="s">
        <v>14</v>
      </c>
      <c r="H784">
        <v>0.99995140000000005</v>
      </c>
      <c r="I784">
        <v>0.99982214000000003</v>
      </c>
      <c r="J784">
        <v>0.95467055000000001</v>
      </c>
      <c r="K784">
        <f t="shared" si="37"/>
        <v>1</v>
      </c>
      <c r="L784">
        <f t="shared" si="38"/>
        <v>1</v>
      </c>
      <c r="M784">
        <f t="shared" si="39"/>
        <v>1</v>
      </c>
    </row>
    <row r="785" spans="1:13" x14ac:dyDescent="0.2">
      <c r="A785" t="s">
        <v>2619</v>
      </c>
      <c r="B785" t="s">
        <v>2892</v>
      </c>
      <c r="C785" t="s">
        <v>2899</v>
      </c>
      <c r="D785" t="s">
        <v>1366</v>
      </c>
      <c r="E785" t="s">
        <v>1367</v>
      </c>
      <c r="F785" t="s">
        <v>17</v>
      </c>
      <c r="G785" t="s">
        <v>14</v>
      </c>
      <c r="H785">
        <v>0.99999994000000003</v>
      </c>
      <c r="I785">
        <v>0.99999994000000003</v>
      </c>
      <c r="J785">
        <v>0.71667179999999997</v>
      </c>
      <c r="K785">
        <f t="shared" si="37"/>
        <v>1</v>
      </c>
      <c r="L785">
        <f t="shared" si="38"/>
        <v>1</v>
      </c>
      <c r="M785">
        <f t="shared" si="39"/>
        <v>1</v>
      </c>
    </row>
    <row r="786" spans="1:13" x14ac:dyDescent="0.2">
      <c r="A786" t="s">
        <v>2620</v>
      </c>
      <c r="B786" t="s">
        <v>2892</v>
      </c>
      <c r="C786" t="s">
        <v>2899</v>
      </c>
      <c r="D786" t="s">
        <v>1368</v>
      </c>
      <c r="E786" t="s">
        <v>1369</v>
      </c>
      <c r="F786" t="s">
        <v>13</v>
      </c>
      <c r="G786" t="s">
        <v>14</v>
      </c>
      <c r="H786">
        <v>0.9999768</v>
      </c>
      <c r="I786">
        <v>0.99999994000000003</v>
      </c>
      <c r="J786">
        <v>0.99993949999999998</v>
      </c>
      <c r="K786">
        <f t="shared" si="37"/>
        <v>1</v>
      </c>
      <c r="L786">
        <f t="shared" si="38"/>
        <v>1</v>
      </c>
      <c r="M786">
        <f t="shared" si="39"/>
        <v>1</v>
      </c>
    </row>
    <row r="787" spans="1:13" x14ac:dyDescent="0.2">
      <c r="A787" t="s">
        <v>2621</v>
      </c>
      <c r="B787" t="s">
        <v>2892</v>
      </c>
      <c r="C787" t="s">
        <v>2899</v>
      </c>
      <c r="D787" t="s">
        <v>1370</v>
      </c>
      <c r="E787" t="s">
        <v>1371</v>
      </c>
      <c r="F787" t="s">
        <v>9</v>
      </c>
      <c r="G787" t="s">
        <v>14</v>
      </c>
      <c r="H787">
        <v>8.6512043999999996E-2</v>
      </c>
      <c r="I787" s="1">
        <v>1.384868E-5</v>
      </c>
      <c r="J787" s="1">
        <v>8.7718535999999999E-7</v>
      </c>
      <c r="K787">
        <f t="shared" si="37"/>
        <v>0</v>
      </c>
      <c r="L787">
        <f t="shared" si="38"/>
        <v>0</v>
      </c>
      <c r="M787">
        <f t="shared" si="39"/>
        <v>0</v>
      </c>
    </row>
    <row r="788" spans="1:13" x14ac:dyDescent="0.2">
      <c r="A788" t="s">
        <v>2622</v>
      </c>
      <c r="B788" t="s">
        <v>2892</v>
      </c>
      <c r="C788" t="s">
        <v>2899</v>
      </c>
      <c r="D788" t="s">
        <v>1372</v>
      </c>
      <c r="E788" t="s">
        <v>106</v>
      </c>
      <c r="F788" t="s">
        <v>13</v>
      </c>
      <c r="G788" t="s">
        <v>14</v>
      </c>
      <c r="H788">
        <v>0.99998253999999998</v>
      </c>
      <c r="I788">
        <v>0.99999994000000003</v>
      </c>
      <c r="J788">
        <v>0.99989753999999997</v>
      </c>
      <c r="K788">
        <f t="shared" si="37"/>
        <v>1</v>
      </c>
      <c r="L788">
        <f t="shared" si="38"/>
        <v>1</v>
      </c>
      <c r="M788">
        <f t="shared" si="39"/>
        <v>1</v>
      </c>
    </row>
    <row r="789" spans="1:13" x14ac:dyDescent="0.2">
      <c r="A789" t="s">
        <v>2623</v>
      </c>
      <c r="B789" t="s">
        <v>2892</v>
      </c>
      <c r="C789" t="s">
        <v>2899</v>
      </c>
      <c r="D789" t="s">
        <v>1373</v>
      </c>
      <c r="E789" t="s">
        <v>1374</v>
      </c>
      <c r="F789" t="s">
        <v>17</v>
      </c>
      <c r="G789" t="s">
        <v>14</v>
      </c>
      <c r="H789">
        <v>0.99987939999999997</v>
      </c>
      <c r="I789">
        <v>0.99999994000000003</v>
      </c>
      <c r="J789">
        <v>0.99999090000000002</v>
      </c>
      <c r="K789">
        <f t="shared" si="37"/>
        <v>1</v>
      </c>
      <c r="L789">
        <f t="shared" si="38"/>
        <v>1</v>
      </c>
      <c r="M789">
        <f t="shared" si="39"/>
        <v>1</v>
      </c>
    </row>
    <row r="790" spans="1:13" x14ac:dyDescent="0.2">
      <c r="A790" t="s">
        <v>2624</v>
      </c>
      <c r="B790" t="s">
        <v>2892</v>
      </c>
      <c r="C790" t="s">
        <v>2899</v>
      </c>
      <c r="D790" t="s">
        <v>1375</v>
      </c>
      <c r="E790" t="s">
        <v>1376</v>
      </c>
      <c r="F790" t="s">
        <v>13</v>
      </c>
      <c r="G790" t="s">
        <v>10</v>
      </c>
      <c r="H790">
        <v>0.99999994000000003</v>
      </c>
      <c r="I790">
        <v>0.99999994000000003</v>
      </c>
      <c r="J790">
        <v>0.83688720000000005</v>
      </c>
      <c r="K790">
        <f t="shared" si="37"/>
        <v>1</v>
      </c>
      <c r="L790">
        <f t="shared" si="38"/>
        <v>1</v>
      </c>
      <c r="M790">
        <f t="shared" si="39"/>
        <v>1</v>
      </c>
    </row>
    <row r="791" spans="1:13" x14ac:dyDescent="0.2">
      <c r="A791" t="s">
        <v>2625</v>
      </c>
      <c r="B791" t="s">
        <v>2892</v>
      </c>
      <c r="C791" t="s">
        <v>2899</v>
      </c>
      <c r="D791" t="s">
        <v>1377</v>
      </c>
      <c r="E791" t="s">
        <v>1378</v>
      </c>
      <c r="F791" t="s">
        <v>17</v>
      </c>
      <c r="G791" t="s">
        <v>10</v>
      </c>
      <c r="H791">
        <v>0.99999994000000003</v>
      </c>
      <c r="I791">
        <v>0.99999994000000003</v>
      </c>
      <c r="J791">
        <v>3.3923469999999997E-2</v>
      </c>
      <c r="K791">
        <f t="shared" si="37"/>
        <v>1</v>
      </c>
      <c r="L791">
        <f t="shared" si="38"/>
        <v>1</v>
      </c>
      <c r="M791">
        <f t="shared" si="39"/>
        <v>0</v>
      </c>
    </row>
    <row r="792" spans="1:13" x14ac:dyDescent="0.2">
      <c r="A792" t="s">
        <v>2626</v>
      </c>
      <c r="B792" t="s">
        <v>2892</v>
      </c>
      <c r="C792" t="s">
        <v>2899</v>
      </c>
      <c r="D792" t="s">
        <v>1379</v>
      </c>
      <c r="E792" t="s">
        <v>1380</v>
      </c>
      <c r="F792" t="s">
        <v>13</v>
      </c>
      <c r="G792" t="s">
        <v>45</v>
      </c>
      <c r="H792">
        <v>0.33211079999999998</v>
      </c>
      <c r="I792" s="1">
        <v>2.5312477000000002E-7</v>
      </c>
      <c r="J792">
        <v>6.0150459999999996E-3</v>
      </c>
      <c r="K792">
        <f t="shared" si="37"/>
        <v>0</v>
      </c>
      <c r="L792">
        <f t="shared" si="38"/>
        <v>0</v>
      </c>
      <c r="M792">
        <f t="shared" si="39"/>
        <v>0</v>
      </c>
    </row>
    <row r="793" spans="1:13" x14ac:dyDescent="0.2">
      <c r="A793" t="s">
        <v>2627</v>
      </c>
      <c r="B793" t="s">
        <v>2892</v>
      </c>
      <c r="C793" t="s">
        <v>2899</v>
      </c>
      <c r="D793" t="s">
        <v>1381</v>
      </c>
      <c r="E793" t="s">
        <v>1382</v>
      </c>
      <c r="F793" t="s">
        <v>9</v>
      </c>
      <c r="G793" t="s">
        <v>10</v>
      </c>
      <c r="H793">
        <v>0.99766356</v>
      </c>
      <c r="I793">
        <v>0.99999994000000003</v>
      </c>
      <c r="J793">
        <v>0.12292518500000001</v>
      </c>
      <c r="K793">
        <f t="shared" si="37"/>
        <v>1</v>
      </c>
      <c r="L793">
        <f t="shared" si="38"/>
        <v>1</v>
      </c>
      <c r="M793">
        <f t="shared" si="39"/>
        <v>0</v>
      </c>
    </row>
    <row r="794" spans="1:13" x14ac:dyDescent="0.2">
      <c r="A794" t="s">
        <v>2628</v>
      </c>
      <c r="B794" t="s">
        <v>2892</v>
      </c>
      <c r="C794" t="s">
        <v>2899</v>
      </c>
      <c r="D794" t="s">
        <v>1383</v>
      </c>
      <c r="E794" t="s">
        <v>1384</v>
      </c>
      <c r="F794" t="s">
        <v>13</v>
      </c>
      <c r="G794" t="s">
        <v>14</v>
      </c>
      <c r="H794">
        <v>0.99998014999999996</v>
      </c>
      <c r="I794">
        <v>0.99903934999999999</v>
      </c>
      <c r="J794">
        <v>0.94150244999999999</v>
      </c>
      <c r="K794">
        <f t="shared" si="37"/>
        <v>1</v>
      </c>
      <c r="L794">
        <f t="shared" si="38"/>
        <v>1</v>
      </c>
      <c r="M794">
        <f t="shared" si="39"/>
        <v>1</v>
      </c>
    </row>
    <row r="795" spans="1:13" x14ac:dyDescent="0.2">
      <c r="A795" t="s">
        <v>2629</v>
      </c>
      <c r="B795" t="s">
        <v>2892</v>
      </c>
      <c r="C795" t="s">
        <v>2899</v>
      </c>
      <c r="D795" t="s">
        <v>1385</v>
      </c>
      <c r="E795" t="s">
        <v>1386</v>
      </c>
      <c r="F795" t="s">
        <v>13</v>
      </c>
      <c r="G795" t="s">
        <v>14</v>
      </c>
      <c r="H795">
        <v>0.99999979999999999</v>
      </c>
      <c r="I795">
        <v>0.99998030000000004</v>
      </c>
      <c r="J795">
        <v>0.98346290000000003</v>
      </c>
      <c r="K795">
        <f t="shared" si="37"/>
        <v>1</v>
      </c>
      <c r="L795">
        <f t="shared" si="38"/>
        <v>1</v>
      </c>
      <c r="M795">
        <f t="shared" si="39"/>
        <v>1</v>
      </c>
    </row>
    <row r="796" spans="1:13" x14ac:dyDescent="0.2">
      <c r="A796" t="s">
        <v>2630</v>
      </c>
      <c r="B796" t="s">
        <v>2892</v>
      </c>
      <c r="C796" t="s">
        <v>2899</v>
      </c>
      <c r="D796" t="s">
        <v>1387</v>
      </c>
      <c r="E796" t="s">
        <v>1388</v>
      </c>
      <c r="F796" t="s">
        <v>17</v>
      </c>
      <c r="G796" t="s">
        <v>65</v>
      </c>
      <c r="H796">
        <v>0.99999919999999998</v>
      </c>
      <c r="I796">
        <v>0.99999994000000003</v>
      </c>
      <c r="J796">
        <v>0.99994844000000005</v>
      </c>
      <c r="K796">
        <f t="shared" si="37"/>
        <v>1</v>
      </c>
      <c r="L796">
        <f t="shared" si="38"/>
        <v>1</v>
      </c>
      <c r="M796">
        <f t="shared" si="39"/>
        <v>1</v>
      </c>
    </row>
    <row r="797" spans="1:13" x14ac:dyDescent="0.2">
      <c r="A797" t="s">
        <v>2631</v>
      </c>
      <c r="B797" t="s">
        <v>2892</v>
      </c>
      <c r="C797" t="s">
        <v>2899</v>
      </c>
      <c r="D797" t="s">
        <v>1389</v>
      </c>
      <c r="E797" t="s">
        <v>1390</v>
      </c>
      <c r="F797" t="s">
        <v>9</v>
      </c>
      <c r="G797" t="s">
        <v>40</v>
      </c>
      <c r="H797">
        <v>0.99999267000000003</v>
      </c>
      <c r="I797">
        <v>0.99999994000000003</v>
      </c>
      <c r="J797">
        <v>0.99999859999999996</v>
      </c>
      <c r="K797">
        <f t="shared" si="37"/>
        <v>1</v>
      </c>
      <c r="L797">
        <f t="shared" si="38"/>
        <v>1</v>
      </c>
      <c r="M797">
        <f t="shared" si="39"/>
        <v>1</v>
      </c>
    </row>
    <row r="798" spans="1:13" x14ac:dyDescent="0.2">
      <c r="A798" t="s">
        <v>2632</v>
      </c>
      <c r="B798" t="s">
        <v>2892</v>
      </c>
      <c r="C798" t="s">
        <v>2899</v>
      </c>
      <c r="D798" t="e">
        <f>-VQ-LQQSGP-GLVKPSQTLSLTCAISGDSV---------SSNYWS-WIRQ-S-P-G-K--G-LE-WLASWVSS------------GRTNY--N--P--SL--K---SRVTISI-D---T-S--KN----Q-FSLRL---TA-ADTAVYYCARLGWYGLSG-----------------AEYYYYGMDVWG-QGTTVTVSS</f>
        <v>#NAME?</v>
      </c>
      <c r="E798" t="s">
        <v>1391</v>
      </c>
      <c r="F798" t="s">
        <v>17</v>
      </c>
      <c r="G798" t="s">
        <v>10</v>
      </c>
      <c r="H798">
        <v>0.99999959999999999</v>
      </c>
      <c r="I798">
        <v>0.99999420000000006</v>
      </c>
      <c r="J798">
        <v>0.24535130999999999</v>
      </c>
      <c r="K798">
        <f t="shared" si="37"/>
        <v>1</v>
      </c>
      <c r="L798">
        <f t="shared" si="38"/>
        <v>1</v>
      </c>
      <c r="M798">
        <f t="shared" si="39"/>
        <v>0</v>
      </c>
    </row>
    <row r="799" spans="1:13" x14ac:dyDescent="0.2">
      <c r="A799" t="s">
        <v>2633</v>
      </c>
      <c r="B799" t="s">
        <v>2892</v>
      </c>
      <c r="C799" t="s">
        <v>2899</v>
      </c>
      <c r="D799" t="s">
        <v>1392</v>
      </c>
      <c r="E799" t="s">
        <v>1393</v>
      </c>
      <c r="F799" t="s">
        <v>9</v>
      </c>
      <c r="G799" t="s">
        <v>14</v>
      </c>
      <c r="H799" s="1">
        <v>2.3399865E-5</v>
      </c>
      <c r="I799" s="1">
        <v>1.7993535E-6</v>
      </c>
      <c r="J799" s="1">
        <v>3.8282906E-6</v>
      </c>
      <c r="K799">
        <f t="shared" si="37"/>
        <v>0</v>
      </c>
      <c r="L799">
        <f t="shared" si="38"/>
        <v>0</v>
      </c>
      <c r="M799">
        <f t="shared" si="39"/>
        <v>0</v>
      </c>
    </row>
    <row r="800" spans="1:13" x14ac:dyDescent="0.2">
      <c r="A800" t="s">
        <v>2634</v>
      </c>
      <c r="B800" t="s">
        <v>2892</v>
      </c>
      <c r="C800" t="s">
        <v>2899</v>
      </c>
      <c r="D800" t="s">
        <v>1394</v>
      </c>
      <c r="E800" t="s">
        <v>128</v>
      </c>
      <c r="F800" t="s">
        <v>13</v>
      </c>
      <c r="G800" t="s">
        <v>14</v>
      </c>
      <c r="H800">
        <v>0.99999994000000003</v>
      </c>
      <c r="I800">
        <v>0.9999903</v>
      </c>
      <c r="J800">
        <v>0.99488204999999996</v>
      </c>
      <c r="K800">
        <f t="shared" si="37"/>
        <v>1</v>
      </c>
      <c r="L800">
        <f t="shared" si="38"/>
        <v>1</v>
      </c>
      <c r="M800">
        <f t="shared" si="39"/>
        <v>1</v>
      </c>
    </row>
    <row r="801" spans="1:13" x14ac:dyDescent="0.2">
      <c r="A801" t="s">
        <v>2635</v>
      </c>
      <c r="B801" t="s">
        <v>2892</v>
      </c>
      <c r="C801" t="s">
        <v>2899</v>
      </c>
      <c r="D801" t="s">
        <v>1395</v>
      </c>
      <c r="E801" t="s">
        <v>1396</v>
      </c>
      <c r="F801" t="s">
        <v>13</v>
      </c>
      <c r="G801" t="s">
        <v>14</v>
      </c>
      <c r="H801">
        <v>0.30703086000000002</v>
      </c>
      <c r="I801">
        <v>0.99999994000000003</v>
      </c>
      <c r="J801">
        <v>4.5446749999999998E-3</v>
      </c>
      <c r="K801">
        <f t="shared" si="37"/>
        <v>0</v>
      </c>
      <c r="L801">
        <f t="shared" si="38"/>
        <v>1</v>
      </c>
      <c r="M801">
        <f t="shared" si="39"/>
        <v>0</v>
      </c>
    </row>
    <row r="802" spans="1:13" x14ac:dyDescent="0.2">
      <c r="A802" t="s">
        <v>2636</v>
      </c>
      <c r="B802" t="s">
        <v>2893</v>
      </c>
      <c r="C802" t="s">
        <v>2899</v>
      </c>
      <c r="D802" t="s">
        <v>1397</v>
      </c>
      <c r="E802" t="s">
        <v>1398</v>
      </c>
      <c r="F802" t="s">
        <v>17</v>
      </c>
      <c r="G802" t="s">
        <v>18</v>
      </c>
      <c r="H802">
        <v>0.99999994000000003</v>
      </c>
      <c r="I802">
        <v>1.6844608000000001E-3</v>
      </c>
      <c r="J802">
        <v>0.98469620000000002</v>
      </c>
      <c r="K802">
        <f t="shared" si="37"/>
        <v>1</v>
      </c>
      <c r="L802">
        <f t="shared" si="38"/>
        <v>0</v>
      </c>
      <c r="M802">
        <f t="shared" si="39"/>
        <v>1</v>
      </c>
    </row>
    <row r="803" spans="1:13" x14ac:dyDescent="0.2">
      <c r="A803" t="s">
        <v>2637</v>
      </c>
      <c r="B803" t="s">
        <v>2893</v>
      </c>
      <c r="C803" t="s">
        <v>2899</v>
      </c>
      <c r="D803" t="s">
        <v>1399</v>
      </c>
      <c r="E803" t="s">
        <v>1400</v>
      </c>
      <c r="F803" t="s">
        <v>13</v>
      </c>
      <c r="G803" t="s">
        <v>14</v>
      </c>
      <c r="H803">
        <v>0.99999590000000005</v>
      </c>
      <c r="I803">
        <v>0.99999994000000003</v>
      </c>
      <c r="J803">
        <v>0.99754584000000002</v>
      </c>
      <c r="K803">
        <f t="shared" si="37"/>
        <v>1</v>
      </c>
      <c r="L803">
        <f t="shared" si="38"/>
        <v>1</v>
      </c>
      <c r="M803">
        <f t="shared" si="39"/>
        <v>1</v>
      </c>
    </row>
    <row r="804" spans="1:13" x14ac:dyDescent="0.2">
      <c r="A804" t="s">
        <v>2638</v>
      </c>
      <c r="B804" t="s">
        <v>2893</v>
      </c>
      <c r="C804" t="s">
        <v>2899</v>
      </c>
      <c r="D804" t="s">
        <v>1401</v>
      </c>
      <c r="E804" t="s">
        <v>1128</v>
      </c>
      <c r="F804" t="s">
        <v>9</v>
      </c>
      <c r="G804" t="s">
        <v>10</v>
      </c>
      <c r="H804">
        <v>0.99760729999999997</v>
      </c>
      <c r="I804">
        <v>0.99999994000000003</v>
      </c>
      <c r="J804">
        <v>0.99999709999999997</v>
      </c>
      <c r="K804">
        <f t="shared" si="37"/>
        <v>1</v>
      </c>
      <c r="L804">
        <f t="shared" si="38"/>
        <v>1</v>
      </c>
      <c r="M804">
        <f t="shared" si="39"/>
        <v>1</v>
      </c>
    </row>
    <row r="805" spans="1:13" x14ac:dyDescent="0.2">
      <c r="A805" t="s">
        <v>2639</v>
      </c>
      <c r="B805" t="s">
        <v>2893</v>
      </c>
      <c r="C805" t="s">
        <v>2899</v>
      </c>
      <c r="D805" t="s">
        <v>1402</v>
      </c>
      <c r="E805" t="s">
        <v>385</v>
      </c>
      <c r="F805" t="s">
        <v>9</v>
      </c>
      <c r="G805" t="s">
        <v>65</v>
      </c>
      <c r="H805">
        <v>0.91325146000000001</v>
      </c>
      <c r="I805">
        <v>0.99999994000000003</v>
      </c>
      <c r="J805" s="1">
        <v>1.1122874000000001E-7</v>
      </c>
      <c r="K805">
        <f t="shared" si="37"/>
        <v>1</v>
      </c>
      <c r="L805">
        <f t="shared" si="38"/>
        <v>1</v>
      </c>
      <c r="M805">
        <f t="shared" si="39"/>
        <v>0</v>
      </c>
    </row>
    <row r="806" spans="1:13" x14ac:dyDescent="0.2">
      <c r="A806" t="s">
        <v>2640</v>
      </c>
      <c r="B806" t="s">
        <v>2893</v>
      </c>
      <c r="C806" t="s">
        <v>2899</v>
      </c>
      <c r="D806" t="s">
        <v>1403</v>
      </c>
      <c r="E806" t="s">
        <v>1404</v>
      </c>
      <c r="F806" t="s">
        <v>9</v>
      </c>
      <c r="G806" t="s">
        <v>45</v>
      </c>
      <c r="H806">
        <v>0.73333999999999999</v>
      </c>
      <c r="I806" s="1">
        <v>1.0919244000000001E-6</v>
      </c>
      <c r="J806">
        <v>1.2092906E-4</v>
      </c>
      <c r="K806">
        <f t="shared" si="37"/>
        <v>1</v>
      </c>
      <c r="L806">
        <f t="shared" si="38"/>
        <v>0</v>
      </c>
      <c r="M806">
        <f t="shared" si="39"/>
        <v>0</v>
      </c>
    </row>
    <row r="807" spans="1:13" x14ac:dyDescent="0.2">
      <c r="A807" t="s">
        <v>2641</v>
      </c>
      <c r="B807" t="s">
        <v>2893</v>
      </c>
      <c r="C807" t="s">
        <v>2899</v>
      </c>
      <c r="D807" t="s">
        <v>1405</v>
      </c>
      <c r="E807" t="s">
        <v>1406</v>
      </c>
      <c r="F807" t="s">
        <v>9</v>
      </c>
      <c r="G807" t="s">
        <v>10</v>
      </c>
      <c r="H807">
        <v>0.9999806</v>
      </c>
      <c r="I807">
        <v>0.99999994000000003</v>
      </c>
      <c r="J807">
        <v>1.574495E-4</v>
      </c>
      <c r="K807">
        <f t="shared" si="37"/>
        <v>1</v>
      </c>
      <c r="L807">
        <f t="shared" si="38"/>
        <v>1</v>
      </c>
      <c r="M807">
        <f t="shared" si="39"/>
        <v>0</v>
      </c>
    </row>
    <row r="808" spans="1:13" x14ac:dyDescent="0.2">
      <c r="A808" t="s">
        <v>2642</v>
      </c>
      <c r="B808" t="s">
        <v>2893</v>
      </c>
      <c r="C808" t="s">
        <v>2899</v>
      </c>
      <c r="D808" t="s">
        <v>1407</v>
      </c>
      <c r="E808" t="s">
        <v>1408</v>
      </c>
      <c r="F808" t="s">
        <v>13</v>
      </c>
      <c r="G808" t="s">
        <v>14</v>
      </c>
      <c r="H808">
        <v>0.99966920000000004</v>
      </c>
      <c r="I808">
        <v>0.99999994000000003</v>
      </c>
      <c r="J808">
        <v>0.69514189999999998</v>
      </c>
      <c r="K808">
        <f t="shared" si="37"/>
        <v>1</v>
      </c>
      <c r="L808">
        <f t="shared" si="38"/>
        <v>1</v>
      </c>
      <c r="M808">
        <f t="shared" si="39"/>
        <v>1</v>
      </c>
    </row>
    <row r="809" spans="1:13" x14ac:dyDescent="0.2">
      <c r="A809" t="s">
        <v>2643</v>
      </c>
      <c r="B809" t="s">
        <v>2893</v>
      </c>
      <c r="C809" t="s">
        <v>2899</v>
      </c>
      <c r="D809" t="s">
        <v>1409</v>
      </c>
      <c r="E809" t="s">
        <v>1410</v>
      </c>
      <c r="F809" t="s">
        <v>9</v>
      </c>
      <c r="G809" t="s">
        <v>14</v>
      </c>
      <c r="H809">
        <v>1.0402313999999999E-2</v>
      </c>
      <c r="I809">
        <v>2.3491548000000001E-2</v>
      </c>
      <c r="J809" s="1">
        <v>2.0968339999999999E-8</v>
      </c>
      <c r="K809">
        <f t="shared" si="37"/>
        <v>0</v>
      </c>
      <c r="L809">
        <f t="shared" si="38"/>
        <v>0</v>
      </c>
      <c r="M809">
        <f t="shared" si="39"/>
        <v>0</v>
      </c>
    </row>
    <row r="810" spans="1:13" x14ac:dyDescent="0.2">
      <c r="A810" t="s">
        <v>2644</v>
      </c>
      <c r="B810" t="s">
        <v>2893</v>
      </c>
      <c r="C810" t="s">
        <v>2899</v>
      </c>
      <c r="D810" t="s">
        <v>1411</v>
      </c>
      <c r="E810" t="s">
        <v>1412</v>
      </c>
      <c r="F810" t="s">
        <v>9</v>
      </c>
      <c r="G810" t="s">
        <v>10</v>
      </c>
      <c r="H810">
        <v>0.95251330000000001</v>
      </c>
      <c r="I810" s="1">
        <v>1.8246420999999999E-5</v>
      </c>
      <c r="J810">
        <v>0.14050545</v>
      </c>
      <c r="K810">
        <f t="shared" si="37"/>
        <v>1</v>
      </c>
      <c r="L810">
        <f t="shared" si="38"/>
        <v>0</v>
      </c>
      <c r="M810">
        <f t="shared" si="39"/>
        <v>0</v>
      </c>
    </row>
    <row r="811" spans="1:13" x14ac:dyDescent="0.2">
      <c r="A811" t="s">
        <v>2645</v>
      </c>
      <c r="B811" t="s">
        <v>2893</v>
      </c>
      <c r="C811" t="s">
        <v>2899</v>
      </c>
      <c r="D811" t="s">
        <v>1413</v>
      </c>
      <c r="E811" t="s">
        <v>1414</v>
      </c>
      <c r="F811" t="s">
        <v>13</v>
      </c>
      <c r="G811" t="s">
        <v>14</v>
      </c>
      <c r="H811">
        <v>0.99050974999999997</v>
      </c>
      <c r="I811">
        <v>0.99999994000000003</v>
      </c>
      <c r="J811">
        <v>0.99998050000000005</v>
      </c>
      <c r="K811">
        <f t="shared" si="37"/>
        <v>1</v>
      </c>
      <c r="L811">
        <f t="shared" si="38"/>
        <v>1</v>
      </c>
      <c r="M811">
        <f t="shared" si="39"/>
        <v>1</v>
      </c>
    </row>
    <row r="812" spans="1:13" x14ac:dyDescent="0.2">
      <c r="A812" t="s">
        <v>2646</v>
      </c>
      <c r="B812" t="s">
        <v>2893</v>
      </c>
      <c r="C812" t="s">
        <v>2899</v>
      </c>
      <c r="D812" t="s">
        <v>1415</v>
      </c>
      <c r="E812" t="s">
        <v>1416</v>
      </c>
      <c r="F812" t="s">
        <v>9</v>
      </c>
      <c r="G812" t="s">
        <v>65</v>
      </c>
      <c r="H812">
        <v>0.15821123000000001</v>
      </c>
      <c r="I812">
        <v>0.99993986000000001</v>
      </c>
      <c r="J812" s="1">
        <v>8.9577719999999996E-5</v>
      </c>
      <c r="K812">
        <f t="shared" si="37"/>
        <v>0</v>
      </c>
      <c r="L812">
        <f t="shared" si="38"/>
        <v>1</v>
      </c>
      <c r="M812">
        <f t="shared" si="39"/>
        <v>0</v>
      </c>
    </row>
    <row r="813" spans="1:13" x14ac:dyDescent="0.2">
      <c r="A813" t="s">
        <v>2647</v>
      </c>
      <c r="B813" t="s">
        <v>2893</v>
      </c>
      <c r="C813" t="s">
        <v>2899</v>
      </c>
      <c r="D813" t="e">
        <f>--Q-LQESGPDALVKLSGSVKISCKASGYTF----------TDYIH-WLRQ-A-P-G-Q--G-LE-WIGYINPN-----------NGATAY--N--Q--KF--K---DKATLTA-D---T-S--SN----T-AYMQLSSLTS-EDSAVYFCARAGYGY------------------------ASWFAYWG-QGTLVTVSA</f>
        <v>#NAME?</v>
      </c>
      <c r="E813" t="s">
        <v>1417</v>
      </c>
      <c r="F813" t="s">
        <v>9</v>
      </c>
      <c r="G813" t="s">
        <v>65</v>
      </c>
      <c r="H813" s="1">
        <v>3.2513899999999997E-8</v>
      </c>
      <c r="I813">
        <v>0.99999994000000003</v>
      </c>
      <c r="J813">
        <v>0.96149700000000005</v>
      </c>
      <c r="K813">
        <f t="shared" si="37"/>
        <v>0</v>
      </c>
      <c r="L813">
        <f t="shared" si="38"/>
        <v>1</v>
      </c>
      <c r="M813">
        <f t="shared" si="39"/>
        <v>1</v>
      </c>
    </row>
    <row r="814" spans="1:13" x14ac:dyDescent="0.2">
      <c r="A814" t="s">
        <v>2648</v>
      </c>
      <c r="B814" t="s">
        <v>2893</v>
      </c>
      <c r="C814" t="s">
        <v>2899</v>
      </c>
      <c r="D814" t="s">
        <v>1418</v>
      </c>
      <c r="E814" t="s">
        <v>1419</v>
      </c>
      <c r="F814" t="s">
        <v>13</v>
      </c>
      <c r="G814" t="s">
        <v>65</v>
      </c>
      <c r="H814">
        <v>0.99997499999999995</v>
      </c>
      <c r="I814">
        <v>0.95468569999999997</v>
      </c>
      <c r="J814" s="1">
        <v>4.1981812000000001E-13</v>
      </c>
      <c r="K814">
        <f t="shared" si="37"/>
        <v>1</v>
      </c>
      <c r="L814">
        <f t="shared" si="38"/>
        <v>1</v>
      </c>
      <c r="M814">
        <f t="shared" si="39"/>
        <v>0</v>
      </c>
    </row>
    <row r="815" spans="1:13" x14ac:dyDescent="0.2">
      <c r="A815" t="s">
        <v>2649</v>
      </c>
      <c r="B815" t="s">
        <v>2893</v>
      </c>
      <c r="C815" t="s">
        <v>2899</v>
      </c>
      <c r="D815" t="s">
        <v>1420</v>
      </c>
      <c r="E815" t="s">
        <v>1421</v>
      </c>
      <c r="F815" t="s">
        <v>17</v>
      </c>
      <c r="G815" t="s">
        <v>14</v>
      </c>
      <c r="H815">
        <v>0.99998564000000001</v>
      </c>
      <c r="I815">
        <v>8.3871950000000001E-3</v>
      </c>
      <c r="J815">
        <v>1.2532982E-2</v>
      </c>
      <c r="K815">
        <f t="shared" si="37"/>
        <v>1</v>
      </c>
      <c r="L815">
        <f t="shared" si="38"/>
        <v>0</v>
      </c>
      <c r="M815">
        <f t="shared" si="39"/>
        <v>0</v>
      </c>
    </row>
    <row r="816" spans="1:13" x14ac:dyDescent="0.2">
      <c r="A816" t="s">
        <v>2650</v>
      </c>
      <c r="B816" t="s">
        <v>2893</v>
      </c>
      <c r="C816" t="s">
        <v>2899</v>
      </c>
      <c r="D816" t="s">
        <v>1422</v>
      </c>
      <c r="E816" t="s">
        <v>1423</v>
      </c>
      <c r="F816" t="s">
        <v>13</v>
      </c>
      <c r="G816" t="s">
        <v>14</v>
      </c>
      <c r="H816">
        <v>0.99998646999999996</v>
      </c>
      <c r="I816">
        <v>0.99655724000000001</v>
      </c>
      <c r="J816">
        <v>0.99978685</v>
      </c>
      <c r="K816">
        <f t="shared" si="37"/>
        <v>1</v>
      </c>
      <c r="L816">
        <f t="shared" si="38"/>
        <v>1</v>
      </c>
      <c r="M816">
        <f t="shared" si="39"/>
        <v>1</v>
      </c>
    </row>
    <row r="817" spans="1:13" x14ac:dyDescent="0.2">
      <c r="A817" t="s">
        <v>2651</v>
      </c>
      <c r="B817" t="s">
        <v>2893</v>
      </c>
      <c r="C817" t="s">
        <v>2899</v>
      </c>
      <c r="D817" t="s">
        <v>1424</v>
      </c>
      <c r="E817" t="s">
        <v>1425</v>
      </c>
      <c r="F817" t="s">
        <v>9</v>
      </c>
      <c r="G817" t="s">
        <v>14</v>
      </c>
      <c r="H817">
        <v>0.99994426999999997</v>
      </c>
      <c r="I817">
        <v>0.88351120000000005</v>
      </c>
      <c r="J817">
        <v>9.1400306000000001E-4</v>
      </c>
      <c r="K817">
        <f t="shared" si="37"/>
        <v>1</v>
      </c>
      <c r="L817">
        <f t="shared" si="38"/>
        <v>1</v>
      </c>
      <c r="M817">
        <f t="shared" si="39"/>
        <v>0</v>
      </c>
    </row>
    <row r="818" spans="1:13" x14ac:dyDescent="0.2">
      <c r="A818" t="s">
        <v>2652</v>
      </c>
      <c r="B818" t="s">
        <v>2893</v>
      </c>
      <c r="C818" t="s">
        <v>2899</v>
      </c>
      <c r="D818" t="s">
        <v>1426</v>
      </c>
      <c r="E818" t="s">
        <v>1427</v>
      </c>
      <c r="F818" t="s">
        <v>9</v>
      </c>
      <c r="G818" t="s">
        <v>14</v>
      </c>
      <c r="H818">
        <v>0.99986220000000003</v>
      </c>
      <c r="I818">
        <v>7.8458759999999999E-3</v>
      </c>
      <c r="J818" s="1">
        <v>1.358368E-11</v>
      </c>
      <c r="K818">
        <f t="shared" si="37"/>
        <v>1</v>
      </c>
      <c r="L818">
        <f t="shared" si="38"/>
        <v>0</v>
      </c>
      <c r="M818">
        <f t="shared" si="39"/>
        <v>0</v>
      </c>
    </row>
    <row r="819" spans="1:13" x14ac:dyDescent="0.2">
      <c r="A819" t="s">
        <v>2653</v>
      </c>
      <c r="B819" t="s">
        <v>2893</v>
      </c>
      <c r="C819" t="s">
        <v>2899</v>
      </c>
      <c r="D819" t="s">
        <v>1428</v>
      </c>
      <c r="E819" t="s">
        <v>1429</v>
      </c>
      <c r="F819" t="s">
        <v>17</v>
      </c>
      <c r="G819" t="s">
        <v>14</v>
      </c>
      <c r="H819">
        <v>0.721028</v>
      </c>
      <c r="I819">
        <v>0.99999994000000003</v>
      </c>
      <c r="J819">
        <v>1.0809328999999999E-2</v>
      </c>
      <c r="K819">
        <f t="shared" si="37"/>
        <v>1</v>
      </c>
      <c r="L819">
        <f t="shared" si="38"/>
        <v>1</v>
      </c>
      <c r="M819">
        <f t="shared" si="39"/>
        <v>0</v>
      </c>
    </row>
    <row r="820" spans="1:13" x14ac:dyDescent="0.2">
      <c r="A820" t="s">
        <v>2654</v>
      </c>
      <c r="B820" t="s">
        <v>2893</v>
      </c>
      <c r="C820" t="s">
        <v>2899</v>
      </c>
      <c r="D820" t="s">
        <v>1430</v>
      </c>
      <c r="E820" t="s">
        <v>1431</v>
      </c>
      <c r="F820" t="s">
        <v>9</v>
      </c>
      <c r="G820" t="s">
        <v>10</v>
      </c>
      <c r="H820">
        <v>0.99999994000000003</v>
      </c>
      <c r="I820">
        <v>0.99999994000000003</v>
      </c>
      <c r="J820">
        <v>6.7235819999999996E-3</v>
      </c>
      <c r="K820">
        <f t="shared" si="37"/>
        <v>1</v>
      </c>
      <c r="L820">
        <f t="shared" si="38"/>
        <v>1</v>
      </c>
      <c r="M820">
        <f t="shared" si="39"/>
        <v>0</v>
      </c>
    </row>
    <row r="821" spans="1:13" x14ac:dyDescent="0.2">
      <c r="A821" t="s">
        <v>2655</v>
      </c>
      <c r="B821" t="s">
        <v>2893</v>
      </c>
      <c r="C821" t="s">
        <v>2899</v>
      </c>
      <c r="D821" t="s">
        <v>1432</v>
      </c>
      <c r="E821" t="s">
        <v>1433</v>
      </c>
      <c r="F821" t="s">
        <v>17</v>
      </c>
      <c r="G821" t="s">
        <v>14</v>
      </c>
      <c r="H821">
        <v>0.98228360000000003</v>
      </c>
      <c r="I821">
        <v>0.99999919999999998</v>
      </c>
      <c r="J821">
        <v>0.99789315000000001</v>
      </c>
      <c r="K821">
        <f t="shared" si="37"/>
        <v>1</v>
      </c>
      <c r="L821">
        <f t="shared" si="38"/>
        <v>1</v>
      </c>
      <c r="M821">
        <f t="shared" si="39"/>
        <v>1</v>
      </c>
    </row>
    <row r="822" spans="1:13" x14ac:dyDescent="0.2">
      <c r="A822" t="s">
        <v>2656</v>
      </c>
      <c r="B822" t="s">
        <v>2893</v>
      </c>
      <c r="C822" t="s">
        <v>2899</v>
      </c>
      <c r="D822" t="s">
        <v>1434</v>
      </c>
      <c r="E822" t="s">
        <v>1435</v>
      </c>
      <c r="F822" t="s">
        <v>17</v>
      </c>
      <c r="G822" t="s">
        <v>10</v>
      </c>
      <c r="H822">
        <v>0.99999910000000003</v>
      </c>
      <c r="I822">
        <v>0.99999994000000003</v>
      </c>
      <c r="J822">
        <v>0.99999945999999995</v>
      </c>
      <c r="K822">
        <f t="shared" si="37"/>
        <v>1</v>
      </c>
      <c r="L822">
        <f t="shared" si="38"/>
        <v>1</v>
      </c>
      <c r="M822">
        <f t="shared" si="39"/>
        <v>1</v>
      </c>
    </row>
    <row r="823" spans="1:13" x14ac:dyDescent="0.2">
      <c r="A823" t="s">
        <v>2657</v>
      </c>
      <c r="B823" t="s">
        <v>2893</v>
      </c>
      <c r="C823" t="s">
        <v>2899</v>
      </c>
      <c r="D823" t="s">
        <v>1436</v>
      </c>
      <c r="E823" t="s">
        <v>1437</v>
      </c>
      <c r="F823" t="s">
        <v>9</v>
      </c>
      <c r="G823" t="s">
        <v>20</v>
      </c>
      <c r="H823">
        <v>0.99999970000000005</v>
      </c>
      <c r="I823">
        <v>0.99999979999999999</v>
      </c>
      <c r="J823">
        <v>1.0196149E-2</v>
      </c>
      <c r="K823">
        <f t="shared" si="37"/>
        <v>1</v>
      </c>
      <c r="L823">
        <f t="shared" si="38"/>
        <v>1</v>
      </c>
      <c r="M823">
        <f t="shared" si="39"/>
        <v>0</v>
      </c>
    </row>
    <row r="824" spans="1:13" x14ac:dyDescent="0.2">
      <c r="A824" t="s">
        <v>2658</v>
      </c>
      <c r="B824" t="s">
        <v>2893</v>
      </c>
      <c r="C824" t="s">
        <v>2899</v>
      </c>
      <c r="D824" t="e">
        <f>-VQ-LQQSGP-ELVKPGASVKISCKTSGYTF---------TEYTIY-WIKQ-S-H-G-K--S-LE-WIGGINTD------------GDTKY--N--E--KF--K---GKATLTV-D---K-S--SS----T-AYMQI---TS-EDSAVYYCTRGDY---------------------------AQGELWG-QGTSVTVSS</f>
        <v>#NAME?</v>
      </c>
      <c r="E824" t="s">
        <v>1438</v>
      </c>
      <c r="F824" t="s">
        <v>9</v>
      </c>
      <c r="G824" t="s">
        <v>14</v>
      </c>
      <c r="H824">
        <v>9.6958410000000002E-3</v>
      </c>
      <c r="I824">
        <v>1.9986466E-4</v>
      </c>
      <c r="J824" s="1">
        <v>1.8408150999999999E-7</v>
      </c>
      <c r="K824">
        <f t="shared" si="37"/>
        <v>0</v>
      </c>
      <c r="L824">
        <f t="shared" si="38"/>
        <v>0</v>
      </c>
      <c r="M824">
        <f t="shared" si="39"/>
        <v>0</v>
      </c>
    </row>
    <row r="825" spans="1:13" x14ac:dyDescent="0.2">
      <c r="A825" t="s">
        <v>2659</v>
      </c>
      <c r="B825" t="s">
        <v>2893</v>
      </c>
      <c r="C825" t="s">
        <v>2899</v>
      </c>
      <c r="D825" t="s">
        <v>1439</v>
      </c>
      <c r="E825" t="s">
        <v>1440</v>
      </c>
      <c r="F825" t="s">
        <v>17</v>
      </c>
      <c r="G825" t="s">
        <v>18</v>
      </c>
      <c r="H825">
        <v>0.99988513999999995</v>
      </c>
      <c r="I825" s="1">
        <v>4.1382565999999997E-7</v>
      </c>
      <c r="J825">
        <v>0.93920475000000003</v>
      </c>
      <c r="K825">
        <f t="shared" si="37"/>
        <v>1</v>
      </c>
      <c r="L825">
        <f t="shared" si="38"/>
        <v>0</v>
      </c>
      <c r="M825">
        <f t="shared" si="39"/>
        <v>1</v>
      </c>
    </row>
    <row r="826" spans="1:13" x14ac:dyDescent="0.2">
      <c r="A826" t="s">
        <v>2660</v>
      </c>
      <c r="B826" t="s">
        <v>2893</v>
      </c>
      <c r="C826" t="s">
        <v>2899</v>
      </c>
      <c r="D826" t="s">
        <v>1441</v>
      </c>
      <c r="E826" t="s">
        <v>1128</v>
      </c>
      <c r="F826" t="s">
        <v>17</v>
      </c>
      <c r="G826" t="s">
        <v>10</v>
      </c>
      <c r="H826">
        <v>0.99998969999999998</v>
      </c>
      <c r="I826">
        <v>0.99999994000000003</v>
      </c>
      <c r="J826">
        <v>0.99095654</v>
      </c>
      <c r="K826">
        <f t="shared" si="37"/>
        <v>1</v>
      </c>
      <c r="L826">
        <f t="shared" si="38"/>
        <v>1</v>
      </c>
      <c r="M826">
        <f t="shared" si="39"/>
        <v>1</v>
      </c>
    </row>
    <row r="827" spans="1:13" x14ac:dyDescent="0.2">
      <c r="A827" t="s">
        <v>2661</v>
      </c>
      <c r="B827" t="s">
        <v>2893</v>
      </c>
      <c r="C827" t="s">
        <v>2899</v>
      </c>
      <c r="D827" t="s">
        <v>1442</v>
      </c>
      <c r="E827" t="s">
        <v>1443</v>
      </c>
      <c r="F827" t="s">
        <v>17</v>
      </c>
      <c r="G827" t="s">
        <v>10</v>
      </c>
      <c r="H827">
        <v>0.99999709999999997</v>
      </c>
      <c r="I827">
        <v>0.99999994000000003</v>
      </c>
      <c r="J827">
        <v>0.99391096999999995</v>
      </c>
      <c r="K827">
        <f t="shared" si="37"/>
        <v>1</v>
      </c>
      <c r="L827">
        <f t="shared" si="38"/>
        <v>1</v>
      </c>
      <c r="M827">
        <f t="shared" si="39"/>
        <v>1</v>
      </c>
    </row>
    <row r="828" spans="1:13" x14ac:dyDescent="0.2">
      <c r="A828" t="s">
        <v>2662</v>
      </c>
      <c r="B828" t="s">
        <v>2893</v>
      </c>
      <c r="C828" t="s">
        <v>2899</v>
      </c>
      <c r="D828" t="s">
        <v>1444</v>
      </c>
      <c r="E828" t="s">
        <v>1445</v>
      </c>
      <c r="F828" t="s">
        <v>9</v>
      </c>
      <c r="G828" t="s">
        <v>10</v>
      </c>
      <c r="H828">
        <v>3.0049713999999998E-4</v>
      </c>
      <c r="I828">
        <v>2.6201836000000001E-3</v>
      </c>
      <c r="J828">
        <v>0.99650490000000003</v>
      </c>
      <c r="K828">
        <f t="shared" si="37"/>
        <v>0</v>
      </c>
      <c r="L828">
        <f t="shared" si="38"/>
        <v>0</v>
      </c>
      <c r="M828">
        <f t="shared" si="39"/>
        <v>1</v>
      </c>
    </row>
    <row r="829" spans="1:13" x14ac:dyDescent="0.2">
      <c r="A829" t="s">
        <v>2663</v>
      </c>
      <c r="B829" t="s">
        <v>2893</v>
      </c>
      <c r="C829" t="s">
        <v>2899</v>
      </c>
      <c r="D829" t="s">
        <v>1446</v>
      </c>
      <c r="E829" t="s">
        <v>1447</v>
      </c>
      <c r="F829" t="s">
        <v>9</v>
      </c>
      <c r="G829" t="s">
        <v>36</v>
      </c>
      <c r="H829">
        <v>0.66888325999999998</v>
      </c>
      <c r="I829" s="1">
        <v>1.2205491000000001E-7</v>
      </c>
      <c r="J829" s="1">
        <v>2.609416E-6</v>
      </c>
      <c r="K829">
        <f t="shared" si="37"/>
        <v>1</v>
      </c>
      <c r="L829">
        <f t="shared" si="38"/>
        <v>0</v>
      </c>
      <c r="M829">
        <f t="shared" si="39"/>
        <v>0</v>
      </c>
    </row>
    <row r="830" spans="1:13" x14ac:dyDescent="0.2">
      <c r="A830" t="s">
        <v>2664</v>
      </c>
      <c r="B830" t="s">
        <v>2893</v>
      </c>
      <c r="C830" t="s">
        <v>2899</v>
      </c>
      <c r="D830" t="s">
        <v>1448</v>
      </c>
      <c r="E830" t="s">
        <v>1449</v>
      </c>
      <c r="F830" t="s">
        <v>9</v>
      </c>
      <c r="G830" t="s">
        <v>14</v>
      </c>
      <c r="H830" s="1">
        <v>2.6441179999999999E-6</v>
      </c>
      <c r="I830">
        <v>0.99999994000000003</v>
      </c>
      <c r="J830" s="1">
        <v>9.4743779999999991E-10</v>
      </c>
      <c r="K830">
        <f t="shared" si="37"/>
        <v>0</v>
      </c>
      <c r="L830">
        <f t="shared" si="38"/>
        <v>1</v>
      </c>
      <c r="M830">
        <f t="shared" si="39"/>
        <v>0</v>
      </c>
    </row>
    <row r="831" spans="1:13" x14ac:dyDescent="0.2">
      <c r="A831" t="s">
        <v>2665</v>
      </c>
      <c r="B831" t="s">
        <v>2893</v>
      </c>
      <c r="C831" t="s">
        <v>2899</v>
      </c>
      <c r="D831" t="s">
        <v>1450</v>
      </c>
      <c r="E831" t="s">
        <v>1451</v>
      </c>
      <c r="F831" t="s">
        <v>9</v>
      </c>
      <c r="G831" t="s">
        <v>40</v>
      </c>
      <c r="H831">
        <v>0.99999970000000005</v>
      </c>
      <c r="I831">
        <v>0.99999934000000001</v>
      </c>
      <c r="J831">
        <v>0.99993056000000002</v>
      </c>
      <c r="K831">
        <f t="shared" si="37"/>
        <v>1</v>
      </c>
      <c r="L831">
        <f t="shared" si="38"/>
        <v>1</v>
      </c>
      <c r="M831">
        <f t="shared" si="39"/>
        <v>1</v>
      </c>
    </row>
    <row r="832" spans="1:13" x14ac:dyDescent="0.2">
      <c r="A832" t="s">
        <v>2666</v>
      </c>
      <c r="B832" t="s">
        <v>2893</v>
      </c>
      <c r="C832" t="s">
        <v>2899</v>
      </c>
      <c r="D832" t="e">
        <f>-VQ-LVQSGA-EVKKPGASVKVSCKASGYTF---------TSYGIS-WVRQ-A-P-G-Q--G-LE-WMGWISAY-----------NGNTNY--A--Q--KL--Q---GRVTMTT-D---T-S--TS----T-AYMELRSLRS-DDTAVYYCARDRSY--------------------------YGYDYWG-QGTTVTVSS</f>
        <v>#NAME?</v>
      </c>
      <c r="E832" t="s">
        <v>1452</v>
      </c>
      <c r="F832" t="s">
        <v>9</v>
      </c>
      <c r="G832" t="s">
        <v>40</v>
      </c>
      <c r="H832">
        <v>0.98849260000000005</v>
      </c>
      <c r="I832">
        <v>0.99999994000000003</v>
      </c>
      <c r="J832">
        <v>0.99994415000000003</v>
      </c>
      <c r="K832">
        <f t="shared" si="37"/>
        <v>1</v>
      </c>
      <c r="L832">
        <f t="shared" si="38"/>
        <v>1</v>
      </c>
      <c r="M832">
        <f t="shared" si="39"/>
        <v>1</v>
      </c>
    </row>
    <row r="833" spans="1:13" x14ac:dyDescent="0.2">
      <c r="A833" t="s">
        <v>2667</v>
      </c>
      <c r="B833" t="s">
        <v>2893</v>
      </c>
      <c r="C833" t="s">
        <v>2899</v>
      </c>
      <c r="D833" t="s">
        <v>1453</v>
      </c>
      <c r="E833" t="s">
        <v>1454</v>
      </c>
      <c r="F833" t="s">
        <v>17</v>
      </c>
      <c r="G833" t="s">
        <v>14</v>
      </c>
      <c r="H833">
        <v>0.99739646999999998</v>
      </c>
      <c r="I833">
        <v>0.99999994000000003</v>
      </c>
      <c r="J833">
        <v>0.99995666999999999</v>
      </c>
      <c r="K833">
        <f t="shared" si="37"/>
        <v>1</v>
      </c>
      <c r="L833">
        <f t="shared" si="38"/>
        <v>1</v>
      </c>
      <c r="M833">
        <f t="shared" si="39"/>
        <v>1</v>
      </c>
    </row>
    <row r="834" spans="1:13" x14ac:dyDescent="0.2">
      <c r="A834" t="s">
        <v>2668</v>
      </c>
      <c r="B834" t="s">
        <v>2893</v>
      </c>
      <c r="C834" t="s">
        <v>2899</v>
      </c>
      <c r="D834" t="s">
        <v>1455</v>
      </c>
      <c r="E834" t="s">
        <v>1456</v>
      </c>
      <c r="F834" t="s">
        <v>9</v>
      </c>
      <c r="G834" t="s">
        <v>14</v>
      </c>
      <c r="H834">
        <v>0.40874369999999999</v>
      </c>
      <c r="I834">
        <v>5.4709184999999997E-3</v>
      </c>
      <c r="J834" s="1">
        <v>6.6478710000000004E-11</v>
      </c>
      <c r="K834">
        <f t="shared" si="37"/>
        <v>0</v>
      </c>
      <c r="L834">
        <f t="shared" si="38"/>
        <v>0</v>
      </c>
      <c r="M834">
        <f t="shared" si="39"/>
        <v>0</v>
      </c>
    </row>
    <row r="835" spans="1:13" x14ac:dyDescent="0.2">
      <c r="A835" t="s">
        <v>2669</v>
      </c>
      <c r="B835" t="s">
        <v>2893</v>
      </c>
      <c r="C835" t="s">
        <v>2899</v>
      </c>
      <c r="D835" t="e">
        <f>-VQ-LVQSGA-EVKKPGESLRISCKGSGYRF---------YDFYWH-WVRQ-A-P-G-Q--G-LE-WMGWINPN-----------SGDTNY--A--Q--KF--Q---GRVTMTR-DF--K-S--TS----T-AYMEL---RS-DDTAVYYCARVGYGV-----------------------YEGYFDYWG-QGTTVTVSS</f>
        <v>#NAME?</v>
      </c>
      <c r="E835" t="s">
        <v>1457</v>
      </c>
      <c r="F835" t="s">
        <v>9</v>
      </c>
      <c r="G835" t="s">
        <v>10</v>
      </c>
      <c r="H835">
        <v>0.99999979999999999</v>
      </c>
      <c r="I835">
        <v>0.99999994000000003</v>
      </c>
      <c r="J835">
        <v>0.16343851000000001</v>
      </c>
      <c r="K835">
        <f t="shared" ref="K835:K898" si="40">IF(H835&gt;=0.5,1,0)</f>
        <v>1</v>
      </c>
      <c r="L835">
        <f t="shared" ref="L835:L898" si="41">IF(I835&gt;=0.5,1,0)</f>
        <v>1</v>
      </c>
      <c r="M835">
        <f t="shared" ref="M835:M898" si="42">IF(J835&gt;=0.5,1,0)</f>
        <v>0</v>
      </c>
    </row>
    <row r="836" spans="1:13" x14ac:dyDescent="0.2">
      <c r="A836" t="s">
        <v>2670</v>
      </c>
      <c r="B836" t="s">
        <v>2893</v>
      </c>
      <c r="C836" t="s">
        <v>2899</v>
      </c>
      <c r="D836" t="s">
        <v>1458</v>
      </c>
      <c r="E836" t="s">
        <v>1459</v>
      </c>
      <c r="F836" t="s">
        <v>9</v>
      </c>
      <c r="G836" t="s">
        <v>40</v>
      </c>
      <c r="H836">
        <v>8.7286204000000006E-2</v>
      </c>
      <c r="I836">
        <v>0.59225994000000004</v>
      </c>
      <c r="J836">
        <v>0.40604076</v>
      </c>
      <c r="K836">
        <f t="shared" si="40"/>
        <v>0</v>
      </c>
      <c r="L836">
        <f t="shared" si="41"/>
        <v>1</v>
      </c>
      <c r="M836">
        <f t="shared" si="42"/>
        <v>0</v>
      </c>
    </row>
    <row r="837" spans="1:13" x14ac:dyDescent="0.2">
      <c r="A837" t="s">
        <v>2671</v>
      </c>
      <c r="B837" t="s">
        <v>2893</v>
      </c>
      <c r="C837" t="s">
        <v>2899</v>
      </c>
      <c r="D837" t="s">
        <v>1460</v>
      </c>
      <c r="E837" t="s">
        <v>1461</v>
      </c>
      <c r="F837" t="s">
        <v>13</v>
      </c>
      <c r="G837" t="s">
        <v>14</v>
      </c>
      <c r="H837">
        <v>0.99969730000000001</v>
      </c>
      <c r="I837">
        <v>0.85565524999999998</v>
      </c>
      <c r="J837">
        <v>0.27813375000000001</v>
      </c>
      <c r="K837">
        <f t="shared" si="40"/>
        <v>1</v>
      </c>
      <c r="L837">
        <f t="shared" si="41"/>
        <v>1</v>
      </c>
      <c r="M837">
        <f t="shared" si="42"/>
        <v>0</v>
      </c>
    </row>
    <row r="838" spans="1:13" x14ac:dyDescent="0.2">
      <c r="A838" t="s">
        <v>2672</v>
      </c>
      <c r="B838" t="s">
        <v>2893</v>
      </c>
      <c r="C838" t="s">
        <v>2899</v>
      </c>
      <c r="D838" t="s">
        <v>1462</v>
      </c>
      <c r="E838" t="s">
        <v>1463</v>
      </c>
      <c r="F838" t="s">
        <v>9</v>
      </c>
      <c r="G838" t="s">
        <v>65</v>
      </c>
      <c r="H838">
        <v>0.99989050000000002</v>
      </c>
      <c r="I838">
        <v>0.99999970000000005</v>
      </c>
      <c r="J838">
        <v>0.31490198000000003</v>
      </c>
      <c r="K838">
        <f t="shared" si="40"/>
        <v>1</v>
      </c>
      <c r="L838">
        <f t="shared" si="41"/>
        <v>1</v>
      </c>
      <c r="M838">
        <f t="shared" si="42"/>
        <v>0</v>
      </c>
    </row>
    <row r="839" spans="1:13" x14ac:dyDescent="0.2">
      <c r="A839" t="s">
        <v>2673</v>
      </c>
      <c r="B839" t="s">
        <v>2893</v>
      </c>
      <c r="C839" t="s">
        <v>2899</v>
      </c>
      <c r="D839" t="s">
        <v>1464</v>
      </c>
      <c r="E839" t="s">
        <v>1465</v>
      </c>
      <c r="F839" t="s">
        <v>13</v>
      </c>
      <c r="G839" t="s">
        <v>212</v>
      </c>
      <c r="H839">
        <v>0.99999945999999995</v>
      </c>
      <c r="I839">
        <v>0.99986339999999996</v>
      </c>
      <c r="J839">
        <v>2.9655167999999998E-4</v>
      </c>
      <c r="K839">
        <f t="shared" si="40"/>
        <v>1</v>
      </c>
      <c r="L839">
        <f t="shared" si="41"/>
        <v>1</v>
      </c>
      <c r="M839">
        <f t="shared" si="42"/>
        <v>0</v>
      </c>
    </row>
    <row r="840" spans="1:13" x14ac:dyDescent="0.2">
      <c r="A840" t="s">
        <v>2674</v>
      </c>
      <c r="B840" t="s">
        <v>2893</v>
      </c>
      <c r="C840" t="s">
        <v>2899</v>
      </c>
      <c r="D840" t="s">
        <v>1466</v>
      </c>
      <c r="E840" t="s">
        <v>1467</v>
      </c>
      <c r="F840" t="s">
        <v>17</v>
      </c>
      <c r="G840" t="s">
        <v>14</v>
      </c>
      <c r="H840">
        <v>0.99999830000000001</v>
      </c>
      <c r="I840">
        <v>0.99922376999999996</v>
      </c>
      <c r="J840">
        <v>0.89178765000000004</v>
      </c>
      <c r="K840">
        <f t="shared" si="40"/>
        <v>1</v>
      </c>
      <c r="L840">
        <f t="shared" si="41"/>
        <v>1</v>
      </c>
      <c r="M840">
        <f t="shared" si="42"/>
        <v>1</v>
      </c>
    </row>
    <row r="841" spans="1:13" x14ac:dyDescent="0.2">
      <c r="A841" t="s">
        <v>2675</v>
      </c>
      <c r="B841" t="s">
        <v>2893</v>
      </c>
      <c r="C841" t="s">
        <v>2899</v>
      </c>
      <c r="D841" t="s">
        <v>1468</v>
      </c>
      <c r="E841" t="s">
        <v>1469</v>
      </c>
      <c r="F841" t="s">
        <v>9</v>
      </c>
      <c r="G841" t="s">
        <v>14</v>
      </c>
      <c r="H841">
        <v>0.99999994000000003</v>
      </c>
      <c r="I841">
        <v>0.99999994000000003</v>
      </c>
      <c r="J841">
        <v>0.83213400000000004</v>
      </c>
      <c r="K841">
        <f t="shared" si="40"/>
        <v>1</v>
      </c>
      <c r="L841">
        <f t="shared" si="41"/>
        <v>1</v>
      </c>
      <c r="M841">
        <f t="shared" si="42"/>
        <v>1</v>
      </c>
    </row>
    <row r="842" spans="1:13" x14ac:dyDescent="0.2">
      <c r="A842" t="s">
        <v>2676</v>
      </c>
      <c r="B842" t="s">
        <v>2893</v>
      </c>
      <c r="C842" t="s">
        <v>2899</v>
      </c>
      <c r="D842" t="s">
        <v>1470</v>
      </c>
      <c r="E842" t="s">
        <v>1471</v>
      </c>
      <c r="F842" t="s">
        <v>9</v>
      </c>
      <c r="G842" t="s">
        <v>20</v>
      </c>
      <c r="H842">
        <v>0.99998430000000005</v>
      </c>
      <c r="I842">
        <v>0.99999994000000003</v>
      </c>
      <c r="J842">
        <v>0.99950974999999997</v>
      </c>
      <c r="K842">
        <f t="shared" si="40"/>
        <v>1</v>
      </c>
      <c r="L842">
        <f t="shared" si="41"/>
        <v>1</v>
      </c>
      <c r="M842">
        <f t="shared" si="42"/>
        <v>1</v>
      </c>
    </row>
    <row r="843" spans="1:13" x14ac:dyDescent="0.2">
      <c r="A843" t="s">
        <v>2677</v>
      </c>
      <c r="B843" t="s">
        <v>2893</v>
      </c>
      <c r="C843" t="s">
        <v>2899</v>
      </c>
      <c r="D843" t="s">
        <v>1472</v>
      </c>
      <c r="E843" t="s">
        <v>1473</v>
      </c>
      <c r="F843" t="s">
        <v>9</v>
      </c>
      <c r="G843" t="s">
        <v>14</v>
      </c>
      <c r="H843">
        <v>0.99997309999999995</v>
      </c>
      <c r="I843">
        <v>0.99520969999999997</v>
      </c>
      <c r="J843">
        <v>0.86208445</v>
      </c>
      <c r="K843">
        <f t="shared" si="40"/>
        <v>1</v>
      </c>
      <c r="L843">
        <f t="shared" si="41"/>
        <v>1</v>
      </c>
      <c r="M843">
        <f t="shared" si="42"/>
        <v>1</v>
      </c>
    </row>
    <row r="844" spans="1:13" x14ac:dyDescent="0.2">
      <c r="A844" t="s">
        <v>2678</v>
      </c>
      <c r="B844" t="s">
        <v>2893</v>
      </c>
      <c r="C844" t="s">
        <v>2899</v>
      </c>
      <c r="D844" t="s">
        <v>1474</v>
      </c>
      <c r="E844" t="s">
        <v>1475</v>
      </c>
      <c r="F844" t="s">
        <v>60</v>
      </c>
      <c r="G844" t="s">
        <v>14</v>
      </c>
      <c r="H844">
        <v>0.98829889999999998</v>
      </c>
      <c r="I844">
        <v>0.99987340000000002</v>
      </c>
      <c r="J844">
        <v>0.99596430000000002</v>
      </c>
      <c r="K844">
        <f t="shared" si="40"/>
        <v>1</v>
      </c>
      <c r="L844">
        <f t="shared" si="41"/>
        <v>1</v>
      </c>
      <c r="M844">
        <f t="shared" si="42"/>
        <v>1</v>
      </c>
    </row>
    <row r="845" spans="1:13" x14ac:dyDescent="0.2">
      <c r="A845" t="s">
        <v>2679</v>
      </c>
      <c r="B845" t="s">
        <v>2893</v>
      </c>
      <c r="C845" t="s">
        <v>2899</v>
      </c>
      <c r="D845" t="s">
        <v>1476</v>
      </c>
      <c r="E845" t="s">
        <v>147</v>
      </c>
      <c r="F845" t="s">
        <v>13</v>
      </c>
      <c r="G845" t="s">
        <v>14</v>
      </c>
      <c r="H845">
        <v>0.99987879999999996</v>
      </c>
      <c r="I845">
        <v>0.99933510000000003</v>
      </c>
      <c r="J845">
        <v>0.99462139999999999</v>
      </c>
      <c r="K845">
        <f t="shared" si="40"/>
        <v>1</v>
      </c>
      <c r="L845">
        <f t="shared" si="41"/>
        <v>1</v>
      </c>
      <c r="M845">
        <f t="shared" si="42"/>
        <v>1</v>
      </c>
    </row>
    <row r="846" spans="1:13" x14ac:dyDescent="0.2">
      <c r="A846" t="s">
        <v>2680</v>
      </c>
      <c r="B846" t="s">
        <v>2893</v>
      </c>
      <c r="C846" t="s">
        <v>2899</v>
      </c>
      <c r="D846" t="s">
        <v>1477</v>
      </c>
      <c r="E846" t="s">
        <v>1132</v>
      </c>
      <c r="F846" t="s">
        <v>13</v>
      </c>
      <c r="G846" t="s">
        <v>10</v>
      </c>
      <c r="H846">
        <v>0.99922279999999997</v>
      </c>
      <c r="I846">
        <v>0.99999994000000003</v>
      </c>
      <c r="J846">
        <v>0.99988370000000004</v>
      </c>
      <c r="K846">
        <f t="shared" si="40"/>
        <v>1</v>
      </c>
      <c r="L846">
        <f t="shared" si="41"/>
        <v>1</v>
      </c>
      <c r="M846">
        <f t="shared" si="42"/>
        <v>1</v>
      </c>
    </row>
    <row r="847" spans="1:13" x14ac:dyDescent="0.2">
      <c r="A847" t="s">
        <v>2681</v>
      </c>
      <c r="B847" t="s">
        <v>2893</v>
      </c>
      <c r="C847" t="s">
        <v>2899</v>
      </c>
      <c r="D847" t="s">
        <v>1478</v>
      </c>
      <c r="E847" t="s">
        <v>1479</v>
      </c>
      <c r="F847" t="s">
        <v>9</v>
      </c>
      <c r="G847" t="s">
        <v>14</v>
      </c>
      <c r="H847" s="1">
        <v>4.0104486999999998E-6</v>
      </c>
      <c r="I847">
        <v>0.99999994000000003</v>
      </c>
      <c r="J847" s="1">
        <v>3.4300685000000001E-6</v>
      </c>
      <c r="K847">
        <f t="shared" si="40"/>
        <v>0</v>
      </c>
      <c r="L847">
        <f t="shared" si="41"/>
        <v>1</v>
      </c>
      <c r="M847">
        <f t="shared" si="42"/>
        <v>0</v>
      </c>
    </row>
    <row r="848" spans="1:13" x14ac:dyDescent="0.2">
      <c r="A848" t="s">
        <v>2682</v>
      </c>
      <c r="B848" t="s">
        <v>2893</v>
      </c>
      <c r="C848" t="s">
        <v>2899</v>
      </c>
      <c r="D848" t="s">
        <v>1480</v>
      </c>
      <c r="E848" t="s">
        <v>1481</v>
      </c>
      <c r="F848" t="s">
        <v>13</v>
      </c>
      <c r="G848" t="s">
        <v>14</v>
      </c>
      <c r="H848">
        <v>0.99881774000000001</v>
      </c>
      <c r="I848">
        <v>0.99999994000000003</v>
      </c>
      <c r="J848">
        <v>0.99750139999999998</v>
      </c>
      <c r="K848">
        <f t="shared" si="40"/>
        <v>1</v>
      </c>
      <c r="L848">
        <f t="shared" si="41"/>
        <v>1</v>
      </c>
      <c r="M848">
        <f t="shared" si="42"/>
        <v>1</v>
      </c>
    </row>
    <row r="849" spans="1:13" x14ac:dyDescent="0.2">
      <c r="A849" t="s">
        <v>2683</v>
      </c>
      <c r="B849" t="s">
        <v>2893</v>
      </c>
      <c r="C849" t="s">
        <v>2899</v>
      </c>
      <c r="D849" t="s">
        <v>1482</v>
      </c>
      <c r="E849" t="s">
        <v>1483</v>
      </c>
      <c r="F849" t="s">
        <v>17</v>
      </c>
      <c r="G849" t="s">
        <v>14</v>
      </c>
      <c r="H849">
        <v>0.99905390000000005</v>
      </c>
      <c r="I849">
        <v>0.99992890000000001</v>
      </c>
      <c r="J849" s="1">
        <v>7.2719405999999997E-5</v>
      </c>
      <c r="K849">
        <f t="shared" si="40"/>
        <v>1</v>
      </c>
      <c r="L849">
        <f t="shared" si="41"/>
        <v>1</v>
      </c>
      <c r="M849">
        <f t="shared" si="42"/>
        <v>0</v>
      </c>
    </row>
    <row r="850" spans="1:13" x14ac:dyDescent="0.2">
      <c r="A850" t="s">
        <v>2684</v>
      </c>
      <c r="B850" t="s">
        <v>2893</v>
      </c>
      <c r="C850" t="s">
        <v>2899</v>
      </c>
      <c r="D850" t="s">
        <v>1484</v>
      </c>
      <c r="E850" t="s">
        <v>1485</v>
      </c>
      <c r="F850" t="s">
        <v>17</v>
      </c>
      <c r="G850" t="s">
        <v>14</v>
      </c>
      <c r="H850">
        <v>0.99999979999999999</v>
      </c>
      <c r="I850">
        <v>0.99999994000000003</v>
      </c>
      <c r="J850">
        <v>0.99981949999999997</v>
      </c>
      <c r="K850">
        <f t="shared" si="40"/>
        <v>1</v>
      </c>
      <c r="L850">
        <f t="shared" si="41"/>
        <v>1</v>
      </c>
      <c r="M850">
        <f t="shared" si="42"/>
        <v>1</v>
      </c>
    </row>
    <row r="851" spans="1:13" x14ac:dyDescent="0.2">
      <c r="A851" t="s">
        <v>2685</v>
      </c>
      <c r="B851" t="s">
        <v>2893</v>
      </c>
      <c r="C851" t="s">
        <v>2899</v>
      </c>
      <c r="D851" t="s">
        <v>1486</v>
      </c>
      <c r="E851" t="s">
        <v>1487</v>
      </c>
      <c r="F851" t="s">
        <v>17</v>
      </c>
      <c r="G851" t="s">
        <v>14</v>
      </c>
      <c r="H851">
        <v>0.99999994000000003</v>
      </c>
      <c r="I851">
        <v>0.99999959999999999</v>
      </c>
      <c r="J851">
        <v>0.52739530000000001</v>
      </c>
      <c r="K851">
        <f t="shared" si="40"/>
        <v>1</v>
      </c>
      <c r="L851">
        <f t="shared" si="41"/>
        <v>1</v>
      </c>
      <c r="M851">
        <f t="shared" si="42"/>
        <v>1</v>
      </c>
    </row>
    <row r="852" spans="1:13" x14ac:dyDescent="0.2">
      <c r="A852" t="s">
        <v>2686</v>
      </c>
      <c r="B852" t="s">
        <v>2894</v>
      </c>
      <c r="C852" t="s">
        <v>2899</v>
      </c>
      <c r="D852" t="s">
        <v>1488</v>
      </c>
      <c r="E852" t="s">
        <v>42</v>
      </c>
      <c r="F852" t="s">
        <v>17</v>
      </c>
      <c r="G852" t="s">
        <v>10</v>
      </c>
      <c r="H852">
        <v>0.99764454000000002</v>
      </c>
      <c r="I852">
        <v>0.99999994000000003</v>
      </c>
      <c r="J852">
        <v>0.99998849999999995</v>
      </c>
      <c r="K852">
        <f t="shared" si="40"/>
        <v>1</v>
      </c>
      <c r="L852">
        <f t="shared" si="41"/>
        <v>1</v>
      </c>
      <c r="M852">
        <f t="shared" si="42"/>
        <v>1</v>
      </c>
    </row>
    <row r="853" spans="1:13" x14ac:dyDescent="0.2">
      <c r="A853" t="s">
        <v>2687</v>
      </c>
      <c r="B853" t="s">
        <v>2894</v>
      </c>
      <c r="C853" t="s">
        <v>2899</v>
      </c>
      <c r="D853" t="s">
        <v>1489</v>
      </c>
      <c r="E853" t="s">
        <v>1490</v>
      </c>
      <c r="F853" t="s">
        <v>13</v>
      </c>
      <c r="G853" t="s">
        <v>65</v>
      </c>
      <c r="H853">
        <v>0.99999994000000003</v>
      </c>
      <c r="I853">
        <v>0.99999994000000003</v>
      </c>
      <c r="J853">
        <v>0.98940057000000003</v>
      </c>
      <c r="K853">
        <f t="shared" si="40"/>
        <v>1</v>
      </c>
      <c r="L853">
        <f t="shared" si="41"/>
        <v>1</v>
      </c>
      <c r="M853">
        <f t="shared" si="42"/>
        <v>1</v>
      </c>
    </row>
    <row r="854" spans="1:13" x14ac:dyDescent="0.2">
      <c r="A854" t="s">
        <v>2688</v>
      </c>
      <c r="B854" t="s">
        <v>2894</v>
      </c>
      <c r="C854" t="s">
        <v>2899</v>
      </c>
      <c r="D854" t="s">
        <v>1491</v>
      </c>
      <c r="E854" t="s">
        <v>1492</v>
      </c>
      <c r="F854" t="s">
        <v>307</v>
      </c>
      <c r="G854" t="s">
        <v>14</v>
      </c>
      <c r="H854">
        <v>0.11521592999999999</v>
      </c>
      <c r="I854" s="1">
        <v>2.9035194999999998E-7</v>
      </c>
      <c r="J854">
        <v>1.1802831999999999E-2</v>
      </c>
      <c r="K854">
        <f t="shared" si="40"/>
        <v>0</v>
      </c>
      <c r="L854">
        <f t="shared" si="41"/>
        <v>0</v>
      </c>
      <c r="M854">
        <f t="shared" si="42"/>
        <v>0</v>
      </c>
    </row>
    <row r="855" spans="1:13" x14ac:dyDescent="0.2">
      <c r="A855" t="s">
        <v>2689</v>
      </c>
      <c r="B855" t="s">
        <v>2894</v>
      </c>
      <c r="C855" t="s">
        <v>2899</v>
      </c>
      <c r="D855" t="s">
        <v>1493</v>
      </c>
      <c r="E855" t="s">
        <v>1494</v>
      </c>
      <c r="F855" t="s">
        <v>17</v>
      </c>
      <c r="G855" t="s">
        <v>14</v>
      </c>
      <c r="H855">
        <v>0.99949690000000002</v>
      </c>
      <c r="I855">
        <v>1.8906199999999999E-4</v>
      </c>
      <c r="J855">
        <v>1.4816571000000001E-2</v>
      </c>
      <c r="K855">
        <f t="shared" si="40"/>
        <v>1</v>
      </c>
      <c r="L855">
        <f t="shared" si="41"/>
        <v>0</v>
      </c>
      <c r="M855">
        <f t="shared" si="42"/>
        <v>0</v>
      </c>
    </row>
    <row r="856" spans="1:13" x14ac:dyDescent="0.2">
      <c r="A856" t="s">
        <v>2690</v>
      </c>
      <c r="B856" t="s">
        <v>2894</v>
      </c>
      <c r="C856" t="s">
        <v>2899</v>
      </c>
      <c r="D856" t="s">
        <v>1495</v>
      </c>
      <c r="E856" t="s">
        <v>1496</v>
      </c>
      <c r="F856" t="s">
        <v>9</v>
      </c>
      <c r="G856" t="s">
        <v>14</v>
      </c>
      <c r="H856">
        <v>0.99999979999999999</v>
      </c>
      <c r="I856">
        <v>0.99999919999999998</v>
      </c>
      <c r="J856">
        <v>1.4337150999999999E-3</v>
      </c>
      <c r="K856">
        <f t="shared" si="40"/>
        <v>1</v>
      </c>
      <c r="L856">
        <f t="shared" si="41"/>
        <v>1</v>
      </c>
      <c r="M856">
        <f t="shared" si="42"/>
        <v>0</v>
      </c>
    </row>
    <row r="857" spans="1:13" x14ac:dyDescent="0.2">
      <c r="A857" t="s">
        <v>2691</v>
      </c>
      <c r="B857" t="s">
        <v>2894</v>
      </c>
      <c r="C857" t="s">
        <v>2899</v>
      </c>
      <c r="D857" t="s">
        <v>1497</v>
      </c>
      <c r="E857" t="s">
        <v>1498</v>
      </c>
      <c r="F857" t="s">
        <v>13</v>
      </c>
      <c r="G857" t="s">
        <v>14</v>
      </c>
      <c r="H857">
        <v>0.99999519999999997</v>
      </c>
      <c r="I857">
        <v>0.99999994000000003</v>
      </c>
      <c r="J857">
        <v>5.3169484999999995E-4</v>
      </c>
      <c r="K857">
        <f t="shared" si="40"/>
        <v>1</v>
      </c>
      <c r="L857">
        <f t="shared" si="41"/>
        <v>1</v>
      </c>
      <c r="M857">
        <f t="shared" si="42"/>
        <v>0</v>
      </c>
    </row>
    <row r="858" spans="1:13" x14ac:dyDescent="0.2">
      <c r="A858" t="s">
        <v>2692</v>
      </c>
      <c r="B858" t="s">
        <v>2894</v>
      </c>
      <c r="C858" t="s">
        <v>2899</v>
      </c>
      <c r="D858" t="e">
        <f>-VQ-LVESGG-GLVQPGGSLRLSCAASGFNF---------SSSSIH-WVRQ-A-P-G-K--G-LE-WVASIYSY-----------SYSTSY--A--D--SV--K---GRFTISA-D---T-S--KN----T-AYLQMNSLRA-EDTAVYYCARHRYDGY---------------------SGYWYFDVWG-QGTLVTVSS</f>
        <v>#NAME?</v>
      </c>
      <c r="E858" t="s">
        <v>1499</v>
      </c>
      <c r="F858" t="s">
        <v>13</v>
      </c>
      <c r="G858" t="s">
        <v>14</v>
      </c>
      <c r="H858">
        <v>0.99999755999999995</v>
      </c>
      <c r="I858">
        <v>0.99999636000000003</v>
      </c>
      <c r="J858">
        <v>0.96492875</v>
      </c>
      <c r="K858">
        <f t="shared" si="40"/>
        <v>1</v>
      </c>
      <c r="L858">
        <f t="shared" si="41"/>
        <v>1</v>
      </c>
      <c r="M858">
        <f t="shared" si="42"/>
        <v>1</v>
      </c>
    </row>
    <row r="859" spans="1:13" x14ac:dyDescent="0.2">
      <c r="A859" t="s">
        <v>2693</v>
      </c>
      <c r="B859" t="s">
        <v>2894</v>
      </c>
      <c r="C859" t="s">
        <v>2899</v>
      </c>
      <c r="D859" t="s">
        <v>1500</v>
      </c>
      <c r="E859" t="s">
        <v>1501</v>
      </c>
      <c r="F859" t="s">
        <v>13</v>
      </c>
      <c r="G859" t="s">
        <v>14</v>
      </c>
      <c r="H859">
        <v>0.91134939999999998</v>
      </c>
      <c r="I859">
        <v>0.99999994000000003</v>
      </c>
      <c r="J859">
        <v>8.5715919999999994E-3</v>
      </c>
      <c r="K859">
        <f t="shared" si="40"/>
        <v>1</v>
      </c>
      <c r="L859">
        <f t="shared" si="41"/>
        <v>1</v>
      </c>
      <c r="M859">
        <f t="shared" si="42"/>
        <v>0</v>
      </c>
    </row>
    <row r="860" spans="1:13" x14ac:dyDescent="0.2">
      <c r="A860" t="s">
        <v>2694</v>
      </c>
      <c r="B860" t="s">
        <v>2894</v>
      </c>
      <c r="C860" t="s">
        <v>2899</v>
      </c>
      <c r="D860" t="s">
        <v>1502</v>
      </c>
      <c r="E860" t="s">
        <v>1503</v>
      </c>
      <c r="F860" t="s">
        <v>60</v>
      </c>
      <c r="G860" t="s">
        <v>14</v>
      </c>
      <c r="H860">
        <v>0.66519563999999998</v>
      </c>
      <c r="I860">
        <v>0.99999994000000003</v>
      </c>
      <c r="J860">
        <v>0.9999557</v>
      </c>
      <c r="K860">
        <f t="shared" si="40"/>
        <v>1</v>
      </c>
      <c r="L860">
        <f t="shared" si="41"/>
        <v>1</v>
      </c>
      <c r="M860">
        <f t="shared" si="42"/>
        <v>1</v>
      </c>
    </row>
    <row r="861" spans="1:13" x14ac:dyDescent="0.2">
      <c r="A861" t="s">
        <v>2695</v>
      </c>
      <c r="B861" t="s">
        <v>2894</v>
      </c>
      <c r="C861" t="s">
        <v>2899</v>
      </c>
      <c r="D861" t="s">
        <v>1504</v>
      </c>
      <c r="E861" t="s">
        <v>1505</v>
      </c>
      <c r="F861" t="s">
        <v>9</v>
      </c>
      <c r="G861" t="s">
        <v>65</v>
      </c>
      <c r="H861" s="1">
        <v>5.252419E-5</v>
      </c>
      <c r="I861" s="1">
        <v>4.3436134999999996E-6</v>
      </c>
      <c r="J861">
        <v>0.72593640000000004</v>
      </c>
      <c r="K861">
        <f t="shared" si="40"/>
        <v>0</v>
      </c>
      <c r="L861">
        <f t="shared" si="41"/>
        <v>0</v>
      </c>
      <c r="M861">
        <f t="shared" si="42"/>
        <v>1</v>
      </c>
    </row>
    <row r="862" spans="1:13" x14ac:dyDescent="0.2">
      <c r="A862" t="s">
        <v>2696</v>
      </c>
      <c r="B862" t="s">
        <v>2894</v>
      </c>
      <c r="C862" t="s">
        <v>2899</v>
      </c>
      <c r="D862" t="s">
        <v>1506</v>
      </c>
      <c r="E862" t="s">
        <v>1507</v>
      </c>
      <c r="F862" t="s">
        <v>9</v>
      </c>
      <c r="G862" t="s">
        <v>65</v>
      </c>
      <c r="H862" s="1">
        <v>5.5808391999999997E-5</v>
      </c>
      <c r="I862" s="1">
        <v>1.5845878E-6</v>
      </c>
      <c r="J862">
        <v>3.3558590000000001E-3</v>
      </c>
      <c r="K862">
        <f t="shared" si="40"/>
        <v>0</v>
      </c>
      <c r="L862">
        <f t="shared" si="41"/>
        <v>0</v>
      </c>
      <c r="M862">
        <f t="shared" si="42"/>
        <v>0</v>
      </c>
    </row>
    <row r="863" spans="1:13" x14ac:dyDescent="0.2">
      <c r="A863" t="s">
        <v>2697</v>
      </c>
      <c r="B863" t="s">
        <v>2894</v>
      </c>
      <c r="C863" t="s">
        <v>2899</v>
      </c>
      <c r="D863" t="e">
        <f>-VQ-LVESGG-GVVQPGRSLRLSCAASGFTF---------SSYAMH-WVRQ-A-P-G-K--G-LE-WVAVISYD-----------GSNKYY--A--D--SV--K---GRFTISR-D---N-S--KN----T-LYLQMSSLRS-EDTAMYYCAREHSYG-----------------------NYYYYDYWG-QGTLVTVSS</f>
        <v>#NAME?</v>
      </c>
      <c r="E863" t="s">
        <v>1508</v>
      </c>
      <c r="F863" t="s">
        <v>13</v>
      </c>
      <c r="G863" t="s">
        <v>40</v>
      </c>
      <c r="H863">
        <v>0.99999360000000004</v>
      </c>
      <c r="I863">
        <v>0.99999994000000003</v>
      </c>
      <c r="J863">
        <v>0.85352499999999998</v>
      </c>
      <c r="K863">
        <f t="shared" si="40"/>
        <v>1</v>
      </c>
      <c r="L863">
        <f t="shared" si="41"/>
        <v>1</v>
      </c>
      <c r="M863">
        <f t="shared" si="42"/>
        <v>1</v>
      </c>
    </row>
    <row r="864" spans="1:13" x14ac:dyDescent="0.2">
      <c r="A864" t="s">
        <v>2698</v>
      </c>
      <c r="B864" t="s">
        <v>2894</v>
      </c>
      <c r="C864" t="s">
        <v>2899</v>
      </c>
      <c r="D864" t="s">
        <v>1509</v>
      </c>
      <c r="E864" t="s">
        <v>1510</v>
      </c>
      <c r="F864" t="s">
        <v>13</v>
      </c>
      <c r="G864" t="s">
        <v>14</v>
      </c>
      <c r="H864">
        <v>0.99996333999999998</v>
      </c>
      <c r="I864">
        <v>0.99999994000000003</v>
      </c>
      <c r="J864">
        <v>0.99996406000000004</v>
      </c>
      <c r="K864">
        <f t="shared" si="40"/>
        <v>1</v>
      </c>
      <c r="L864">
        <f t="shared" si="41"/>
        <v>1</v>
      </c>
      <c r="M864">
        <f t="shared" si="42"/>
        <v>1</v>
      </c>
    </row>
    <row r="865" spans="1:13" x14ac:dyDescent="0.2">
      <c r="A865" t="s">
        <v>2699</v>
      </c>
      <c r="B865" t="s">
        <v>2894</v>
      </c>
      <c r="C865" t="s">
        <v>2899</v>
      </c>
      <c r="D865" t="s">
        <v>1511</v>
      </c>
      <c r="E865" t="s">
        <v>1512</v>
      </c>
      <c r="F865" t="s">
        <v>13</v>
      </c>
      <c r="G865" t="s">
        <v>14</v>
      </c>
      <c r="H865">
        <v>0.99999979999999999</v>
      </c>
      <c r="I865">
        <v>0.99999979999999999</v>
      </c>
      <c r="J865">
        <v>0.99532240000000005</v>
      </c>
      <c r="K865">
        <f t="shared" si="40"/>
        <v>1</v>
      </c>
      <c r="L865">
        <f t="shared" si="41"/>
        <v>1</v>
      </c>
      <c r="M865">
        <f t="shared" si="42"/>
        <v>1</v>
      </c>
    </row>
    <row r="866" spans="1:13" x14ac:dyDescent="0.2">
      <c r="A866" t="s">
        <v>2700</v>
      </c>
      <c r="B866" t="s">
        <v>2894</v>
      </c>
      <c r="C866" t="s">
        <v>2899</v>
      </c>
      <c r="D866" t="s">
        <v>1513</v>
      </c>
      <c r="E866" t="s">
        <v>1514</v>
      </c>
      <c r="F866" t="s">
        <v>9</v>
      </c>
      <c r="G866" t="s">
        <v>14</v>
      </c>
      <c r="H866">
        <v>0.99999709999999997</v>
      </c>
      <c r="I866">
        <v>0.99999875000000005</v>
      </c>
      <c r="J866" s="1">
        <v>1.5234708E-5</v>
      </c>
      <c r="K866">
        <f t="shared" si="40"/>
        <v>1</v>
      </c>
      <c r="L866">
        <f t="shared" si="41"/>
        <v>1</v>
      </c>
      <c r="M866">
        <f t="shared" si="42"/>
        <v>0</v>
      </c>
    </row>
    <row r="867" spans="1:13" x14ac:dyDescent="0.2">
      <c r="A867" t="s">
        <v>2701</v>
      </c>
      <c r="B867" t="s">
        <v>2894</v>
      </c>
      <c r="C867" t="s">
        <v>2899</v>
      </c>
      <c r="D867" t="s">
        <v>1515</v>
      </c>
      <c r="E867" t="s">
        <v>1516</v>
      </c>
      <c r="F867" t="s">
        <v>17</v>
      </c>
      <c r="G867" t="s">
        <v>18</v>
      </c>
      <c r="H867">
        <v>0.99999994000000003</v>
      </c>
      <c r="I867">
        <v>0.99999994000000003</v>
      </c>
      <c r="J867">
        <v>0.94120349999999997</v>
      </c>
      <c r="K867">
        <f t="shared" si="40"/>
        <v>1</v>
      </c>
      <c r="L867">
        <f t="shared" si="41"/>
        <v>1</v>
      </c>
      <c r="M867">
        <f t="shared" si="42"/>
        <v>1</v>
      </c>
    </row>
    <row r="868" spans="1:13" x14ac:dyDescent="0.2">
      <c r="A868" t="s">
        <v>2702</v>
      </c>
      <c r="B868" t="s">
        <v>2894</v>
      </c>
      <c r="C868" t="s">
        <v>2899</v>
      </c>
      <c r="D868" t="e">
        <f>-VQ-LVESGG-GVVQPGRSLRLSCAASGFTF---------KKYGMH-WVRQ-A-P-G-K--G-LE-WVAVIWYD-----------GSNKVY--S--D--RG--RF--SQGRISR-D---N-S--KD----TTVTLQTN------MDPVYFCAREGL---------------------------YNYGYWG-QGTLVSVSS</f>
        <v>#NAME?</v>
      </c>
      <c r="E868" t="s">
        <v>1517</v>
      </c>
      <c r="F868" t="s">
        <v>13</v>
      </c>
      <c r="G868" t="s">
        <v>20</v>
      </c>
      <c r="H868">
        <v>0.99999325999999999</v>
      </c>
      <c r="I868">
        <v>0.99999994000000003</v>
      </c>
      <c r="J868" s="1">
        <v>1.409302E-21</v>
      </c>
      <c r="K868">
        <f t="shared" si="40"/>
        <v>1</v>
      </c>
      <c r="L868">
        <f t="shared" si="41"/>
        <v>1</v>
      </c>
      <c r="M868">
        <f t="shared" si="42"/>
        <v>0</v>
      </c>
    </row>
    <row r="869" spans="1:13" x14ac:dyDescent="0.2">
      <c r="A869" t="s">
        <v>2703</v>
      </c>
      <c r="B869" t="s">
        <v>2894</v>
      </c>
      <c r="C869" t="s">
        <v>2899</v>
      </c>
      <c r="D869" t="s">
        <v>1518</v>
      </c>
      <c r="E869" t="s">
        <v>1519</v>
      </c>
      <c r="F869" t="s">
        <v>13</v>
      </c>
      <c r="G869" t="s">
        <v>14</v>
      </c>
      <c r="H869">
        <v>1.6633293E-2</v>
      </c>
      <c r="I869">
        <v>0.99999994000000003</v>
      </c>
      <c r="J869">
        <v>4.6632854999999998E-4</v>
      </c>
      <c r="K869">
        <f t="shared" si="40"/>
        <v>0</v>
      </c>
      <c r="L869">
        <f t="shared" si="41"/>
        <v>1</v>
      </c>
      <c r="M869">
        <f t="shared" si="42"/>
        <v>0</v>
      </c>
    </row>
    <row r="870" spans="1:13" x14ac:dyDescent="0.2">
      <c r="A870" t="s">
        <v>2704</v>
      </c>
      <c r="B870" t="s">
        <v>2894</v>
      </c>
      <c r="C870" t="s">
        <v>2899</v>
      </c>
      <c r="D870" t="s">
        <v>1520</v>
      </c>
      <c r="E870" t="s">
        <v>1521</v>
      </c>
      <c r="F870" t="s">
        <v>17</v>
      </c>
      <c r="G870" t="s">
        <v>40</v>
      </c>
      <c r="H870">
        <v>0.99828004999999997</v>
      </c>
      <c r="I870">
        <v>0.99980809999999998</v>
      </c>
      <c r="J870">
        <v>0.64157355000000005</v>
      </c>
      <c r="K870">
        <f t="shared" si="40"/>
        <v>1</v>
      </c>
      <c r="L870">
        <f t="shared" si="41"/>
        <v>1</v>
      </c>
      <c r="M870">
        <f t="shared" si="42"/>
        <v>1</v>
      </c>
    </row>
    <row r="871" spans="1:13" x14ac:dyDescent="0.2">
      <c r="A871" t="s">
        <v>2705</v>
      </c>
      <c r="B871" t="s">
        <v>2894</v>
      </c>
      <c r="C871" t="s">
        <v>2899</v>
      </c>
      <c r="D871" t="s">
        <v>1522</v>
      </c>
      <c r="E871" t="s">
        <v>1523</v>
      </c>
      <c r="F871" t="s">
        <v>9</v>
      </c>
      <c r="G871" t="s">
        <v>18</v>
      </c>
      <c r="H871">
        <v>3.0021425000000001E-4</v>
      </c>
      <c r="I871" s="1">
        <v>2.0710437999999998E-6</v>
      </c>
      <c r="J871">
        <v>0.99726250000000005</v>
      </c>
      <c r="K871">
        <f t="shared" si="40"/>
        <v>0</v>
      </c>
      <c r="L871">
        <f t="shared" si="41"/>
        <v>0</v>
      </c>
      <c r="M871">
        <f t="shared" si="42"/>
        <v>1</v>
      </c>
    </row>
    <row r="872" spans="1:13" x14ac:dyDescent="0.2">
      <c r="A872" t="s">
        <v>2706</v>
      </c>
      <c r="B872" t="s">
        <v>2894</v>
      </c>
      <c r="C872" t="s">
        <v>2899</v>
      </c>
      <c r="D872" t="s">
        <v>1524</v>
      </c>
      <c r="E872" t="s">
        <v>1525</v>
      </c>
      <c r="F872" t="s">
        <v>9</v>
      </c>
      <c r="G872" t="s">
        <v>10</v>
      </c>
      <c r="H872" s="1">
        <v>7.0468439999999994E-5</v>
      </c>
      <c r="I872" s="1">
        <v>1.3715816000000001E-6</v>
      </c>
      <c r="J872">
        <v>0.93479073000000001</v>
      </c>
      <c r="K872">
        <f t="shared" si="40"/>
        <v>0</v>
      </c>
      <c r="L872">
        <f t="shared" si="41"/>
        <v>0</v>
      </c>
      <c r="M872">
        <f t="shared" si="42"/>
        <v>1</v>
      </c>
    </row>
    <row r="873" spans="1:13" x14ac:dyDescent="0.2">
      <c r="A873" t="s">
        <v>2707</v>
      </c>
      <c r="B873" t="s">
        <v>2894</v>
      </c>
      <c r="C873" t="s">
        <v>2899</v>
      </c>
      <c r="D873" t="s">
        <v>1526</v>
      </c>
      <c r="E873" t="s">
        <v>1527</v>
      </c>
      <c r="F873" t="s">
        <v>17</v>
      </c>
      <c r="G873" t="s">
        <v>14</v>
      </c>
      <c r="H873">
        <v>0.99983716</v>
      </c>
      <c r="I873">
        <v>0.99999994000000003</v>
      </c>
      <c r="J873">
        <v>0.121871665</v>
      </c>
      <c r="K873">
        <f t="shared" si="40"/>
        <v>1</v>
      </c>
      <c r="L873">
        <f t="shared" si="41"/>
        <v>1</v>
      </c>
      <c r="M873">
        <f t="shared" si="42"/>
        <v>0</v>
      </c>
    </row>
    <row r="874" spans="1:13" x14ac:dyDescent="0.2">
      <c r="A874" t="s">
        <v>2708</v>
      </c>
      <c r="B874" t="s">
        <v>2894</v>
      </c>
      <c r="C874" t="s">
        <v>2899</v>
      </c>
      <c r="D874" t="s">
        <v>1528</v>
      </c>
      <c r="E874" t="s">
        <v>1529</v>
      </c>
      <c r="F874" t="s">
        <v>9</v>
      </c>
      <c r="G874" t="s">
        <v>14</v>
      </c>
      <c r="H874">
        <v>0.87222900000000003</v>
      </c>
      <c r="I874" s="1">
        <v>3.5242294000000002E-9</v>
      </c>
      <c r="J874" s="1">
        <v>2.7482053999999999E-6</v>
      </c>
      <c r="K874">
        <f t="shared" si="40"/>
        <v>1</v>
      </c>
      <c r="L874">
        <f t="shared" si="41"/>
        <v>0</v>
      </c>
      <c r="M874">
        <f t="shared" si="42"/>
        <v>0</v>
      </c>
    </row>
    <row r="875" spans="1:13" x14ac:dyDescent="0.2">
      <c r="A875" t="s">
        <v>2709</v>
      </c>
      <c r="B875" t="s">
        <v>2894</v>
      </c>
      <c r="C875" t="s">
        <v>2899</v>
      </c>
      <c r="D875" t="e">
        <f>-VQ-LQESGP-GLVKPSQTLSLTCTVSGGSIS--------SSNWWS-WVRQ-P-P-G-K--G-LE-WIGFIYHS------------GSTNY--N--P--SL--K---SRVTISV-D---K-S--KN----L-FSLKVNSLTA-ADTAVYYCARGGYS--------------------------GYPDYWG-QGTLVTVSS</f>
        <v>#NAME?</v>
      </c>
      <c r="E875" t="s">
        <v>1530</v>
      </c>
      <c r="F875" t="s">
        <v>17</v>
      </c>
      <c r="G875" t="s">
        <v>65</v>
      </c>
      <c r="H875">
        <v>0.99999994000000003</v>
      </c>
      <c r="I875" s="1">
        <v>4.0053374999999997E-5</v>
      </c>
      <c r="J875">
        <v>1.6180487E-2</v>
      </c>
      <c r="K875">
        <f t="shared" si="40"/>
        <v>1</v>
      </c>
      <c r="L875">
        <f t="shared" si="41"/>
        <v>0</v>
      </c>
      <c r="M875">
        <f t="shared" si="42"/>
        <v>0</v>
      </c>
    </row>
    <row r="876" spans="1:13" x14ac:dyDescent="0.2">
      <c r="A876" t="s">
        <v>2710</v>
      </c>
      <c r="B876" t="s">
        <v>2894</v>
      </c>
      <c r="C876" t="s">
        <v>2899</v>
      </c>
      <c r="D876" t="e">
        <f>-VQ-LVESGG-GLVQPGGSLRLSCAASGFNV---------YSSSIH-WVRQ-A-P-G-K--G-LE-WVASISSY-----------YGYTYY--A--D--SV--K---GRFTISA-D---T-S--KN----T-AYLQMNSLRA-EDTAVYYCARDLYPYG----------------------WYSAMDYWG-QGTLVTVSS</f>
        <v>#NAME?</v>
      </c>
      <c r="E876" t="s">
        <v>224</v>
      </c>
      <c r="F876" t="s">
        <v>13</v>
      </c>
      <c r="G876" t="s">
        <v>14</v>
      </c>
      <c r="H876">
        <v>0.99999959999999999</v>
      </c>
      <c r="I876">
        <v>0.99999994000000003</v>
      </c>
      <c r="J876">
        <v>8.5550689999999999E-2</v>
      </c>
      <c r="K876">
        <f t="shared" si="40"/>
        <v>1</v>
      </c>
      <c r="L876">
        <f t="shared" si="41"/>
        <v>1</v>
      </c>
      <c r="M876">
        <f t="shared" si="42"/>
        <v>0</v>
      </c>
    </row>
    <row r="877" spans="1:13" x14ac:dyDescent="0.2">
      <c r="A877" t="s">
        <v>2711</v>
      </c>
      <c r="B877" t="s">
        <v>2894</v>
      </c>
      <c r="C877" t="s">
        <v>2899</v>
      </c>
      <c r="D877" t="s">
        <v>1531</v>
      </c>
      <c r="E877" t="s">
        <v>1532</v>
      </c>
      <c r="F877" t="s">
        <v>13</v>
      </c>
      <c r="G877" t="s">
        <v>18</v>
      </c>
      <c r="H877">
        <v>0.99999970000000005</v>
      </c>
      <c r="I877">
        <v>0.99999994000000003</v>
      </c>
      <c r="J877">
        <v>0.40088487</v>
      </c>
      <c r="K877">
        <f t="shared" si="40"/>
        <v>1</v>
      </c>
      <c r="L877">
        <f t="shared" si="41"/>
        <v>1</v>
      </c>
      <c r="M877">
        <f t="shared" si="42"/>
        <v>0</v>
      </c>
    </row>
    <row r="878" spans="1:13" x14ac:dyDescent="0.2">
      <c r="A878" t="s">
        <v>2712</v>
      </c>
      <c r="B878" t="s">
        <v>2894</v>
      </c>
      <c r="C878" t="s">
        <v>2899</v>
      </c>
      <c r="D878" t="s">
        <v>1533</v>
      </c>
      <c r="E878" t="s">
        <v>1534</v>
      </c>
      <c r="F878" t="s">
        <v>17</v>
      </c>
      <c r="G878" t="s">
        <v>14</v>
      </c>
      <c r="H878" s="1">
        <v>5.7851623000000003E-5</v>
      </c>
      <c r="I878">
        <v>0.99999994000000003</v>
      </c>
      <c r="J878" s="1">
        <v>7.8678339999999999E-10</v>
      </c>
      <c r="K878">
        <f t="shared" si="40"/>
        <v>0</v>
      </c>
      <c r="L878">
        <f t="shared" si="41"/>
        <v>1</v>
      </c>
      <c r="M878">
        <f t="shared" si="42"/>
        <v>0</v>
      </c>
    </row>
    <row r="879" spans="1:13" x14ac:dyDescent="0.2">
      <c r="A879" t="s">
        <v>2713</v>
      </c>
      <c r="B879" t="s">
        <v>2894</v>
      </c>
      <c r="C879" t="s">
        <v>2899</v>
      </c>
      <c r="D879" t="s">
        <v>1535</v>
      </c>
      <c r="E879" t="s">
        <v>1536</v>
      </c>
      <c r="F879" t="s">
        <v>9</v>
      </c>
      <c r="G879" t="s">
        <v>14</v>
      </c>
      <c r="H879">
        <v>0.99999994000000003</v>
      </c>
      <c r="I879">
        <v>0.99999994000000003</v>
      </c>
      <c r="J879">
        <v>0.30415039999999999</v>
      </c>
      <c r="K879">
        <f t="shared" si="40"/>
        <v>1</v>
      </c>
      <c r="L879">
        <f t="shared" si="41"/>
        <v>1</v>
      </c>
      <c r="M879">
        <f t="shared" si="42"/>
        <v>0</v>
      </c>
    </row>
    <row r="880" spans="1:13" x14ac:dyDescent="0.2">
      <c r="A880" t="s">
        <v>2714</v>
      </c>
      <c r="B880" t="s">
        <v>2894</v>
      </c>
      <c r="C880" t="s">
        <v>2899</v>
      </c>
      <c r="D880" t="s">
        <v>1537</v>
      </c>
      <c r="E880" t="s">
        <v>1183</v>
      </c>
      <c r="F880" t="s">
        <v>13</v>
      </c>
      <c r="G880" t="s">
        <v>65</v>
      </c>
      <c r="H880">
        <v>0.99999979999999999</v>
      </c>
      <c r="I880">
        <v>0.99999994000000003</v>
      </c>
      <c r="J880">
        <v>8.1348110000000001E-2</v>
      </c>
      <c r="K880">
        <f t="shared" si="40"/>
        <v>1</v>
      </c>
      <c r="L880">
        <f t="shared" si="41"/>
        <v>1</v>
      </c>
      <c r="M880">
        <f t="shared" si="42"/>
        <v>0</v>
      </c>
    </row>
    <row r="881" spans="1:13" x14ac:dyDescent="0.2">
      <c r="A881" t="s">
        <v>2715</v>
      </c>
      <c r="B881" t="s">
        <v>2894</v>
      </c>
      <c r="C881" t="s">
        <v>2899</v>
      </c>
      <c r="D881" t="s">
        <v>1538</v>
      </c>
      <c r="E881" t="s">
        <v>1539</v>
      </c>
      <c r="F881" t="s">
        <v>9</v>
      </c>
      <c r="G881" t="s">
        <v>14</v>
      </c>
      <c r="H881">
        <v>0.31943359999999998</v>
      </c>
      <c r="I881" s="1">
        <v>1.8712591999999999E-5</v>
      </c>
      <c r="J881">
        <v>3.8302207E-4</v>
      </c>
      <c r="K881">
        <f t="shared" si="40"/>
        <v>0</v>
      </c>
      <c r="L881">
        <f t="shared" si="41"/>
        <v>0</v>
      </c>
      <c r="M881">
        <f t="shared" si="42"/>
        <v>0</v>
      </c>
    </row>
    <row r="882" spans="1:13" x14ac:dyDescent="0.2">
      <c r="A882" t="s">
        <v>2716</v>
      </c>
      <c r="B882" t="s">
        <v>2894</v>
      </c>
      <c r="C882" t="s">
        <v>2899</v>
      </c>
      <c r="D882" t="s">
        <v>1540</v>
      </c>
      <c r="E882" t="s">
        <v>1541</v>
      </c>
      <c r="F882" t="s">
        <v>9</v>
      </c>
      <c r="G882" t="s">
        <v>45</v>
      </c>
      <c r="H882">
        <v>4.2036384999999997E-3</v>
      </c>
      <c r="I882" s="1">
        <v>1.8765737E-8</v>
      </c>
      <c r="J882">
        <v>0.35671700000000001</v>
      </c>
      <c r="K882">
        <f t="shared" si="40"/>
        <v>0</v>
      </c>
      <c r="L882">
        <f t="shared" si="41"/>
        <v>0</v>
      </c>
      <c r="M882">
        <f t="shared" si="42"/>
        <v>0</v>
      </c>
    </row>
    <row r="883" spans="1:13" x14ac:dyDescent="0.2">
      <c r="A883" t="s">
        <v>2717</v>
      </c>
      <c r="B883" t="s">
        <v>2894</v>
      </c>
      <c r="C883" t="s">
        <v>2899</v>
      </c>
      <c r="D883" t="s">
        <v>1542</v>
      </c>
      <c r="E883" t="s">
        <v>1543</v>
      </c>
      <c r="F883" t="s">
        <v>13</v>
      </c>
      <c r="G883" t="s">
        <v>14</v>
      </c>
      <c r="H883">
        <v>0.99998430000000005</v>
      </c>
      <c r="I883">
        <v>0.73830340000000005</v>
      </c>
      <c r="J883">
        <v>0.63248979999999999</v>
      </c>
      <c r="K883">
        <f t="shared" si="40"/>
        <v>1</v>
      </c>
      <c r="L883">
        <f t="shared" si="41"/>
        <v>1</v>
      </c>
      <c r="M883">
        <f t="shared" si="42"/>
        <v>1</v>
      </c>
    </row>
    <row r="884" spans="1:13" x14ac:dyDescent="0.2">
      <c r="A884" t="s">
        <v>2718</v>
      </c>
      <c r="B884" t="s">
        <v>2894</v>
      </c>
      <c r="C884" t="s">
        <v>2899</v>
      </c>
      <c r="D884" t="s">
        <v>1544</v>
      </c>
      <c r="E884" t="s">
        <v>1545</v>
      </c>
      <c r="F884" t="s">
        <v>9</v>
      </c>
      <c r="G884" t="s">
        <v>14</v>
      </c>
      <c r="H884">
        <v>0.98608580000000001</v>
      </c>
      <c r="I884">
        <v>0.99999994000000003</v>
      </c>
      <c r="J884">
        <v>0.47209325000000002</v>
      </c>
      <c r="K884">
        <f t="shared" si="40"/>
        <v>1</v>
      </c>
      <c r="L884">
        <f t="shared" si="41"/>
        <v>1</v>
      </c>
      <c r="M884">
        <f t="shared" si="42"/>
        <v>0</v>
      </c>
    </row>
    <row r="885" spans="1:13" x14ac:dyDescent="0.2">
      <c r="A885" t="s">
        <v>2719</v>
      </c>
      <c r="B885" t="s">
        <v>2894</v>
      </c>
      <c r="C885" t="s">
        <v>2899</v>
      </c>
      <c r="D885" t="s">
        <v>1546</v>
      </c>
      <c r="E885" t="s">
        <v>1547</v>
      </c>
      <c r="F885" t="s">
        <v>9</v>
      </c>
      <c r="G885" t="s">
        <v>14</v>
      </c>
      <c r="H885">
        <v>1.1777326999999999E-3</v>
      </c>
      <c r="I885" s="1">
        <v>2.1821352999999999E-7</v>
      </c>
      <c r="J885">
        <v>1.7218292999999999E-3</v>
      </c>
      <c r="K885">
        <f t="shared" si="40"/>
        <v>0</v>
      </c>
      <c r="L885">
        <f t="shared" si="41"/>
        <v>0</v>
      </c>
      <c r="M885">
        <f t="shared" si="42"/>
        <v>0</v>
      </c>
    </row>
    <row r="886" spans="1:13" x14ac:dyDescent="0.2">
      <c r="A886" t="s">
        <v>2720</v>
      </c>
      <c r="B886" t="s">
        <v>2894</v>
      </c>
      <c r="C886" t="s">
        <v>2899</v>
      </c>
      <c r="D886" t="s">
        <v>1548</v>
      </c>
      <c r="E886" t="s">
        <v>1549</v>
      </c>
      <c r="F886" t="s">
        <v>17</v>
      </c>
      <c r="G886" t="s">
        <v>14</v>
      </c>
      <c r="H886">
        <v>0.99999994000000003</v>
      </c>
      <c r="I886">
        <v>0.99999994000000003</v>
      </c>
      <c r="J886">
        <v>0.89962419999999998</v>
      </c>
      <c r="K886">
        <f t="shared" si="40"/>
        <v>1</v>
      </c>
      <c r="L886">
        <f t="shared" si="41"/>
        <v>1</v>
      </c>
      <c r="M886">
        <f t="shared" si="42"/>
        <v>1</v>
      </c>
    </row>
    <row r="887" spans="1:13" x14ac:dyDescent="0.2">
      <c r="A887" t="s">
        <v>2721</v>
      </c>
      <c r="B887" t="s">
        <v>2894</v>
      </c>
      <c r="C887" t="s">
        <v>2899</v>
      </c>
      <c r="D887" t="s">
        <v>1550</v>
      </c>
      <c r="E887" t="s">
        <v>1551</v>
      </c>
      <c r="F887" t="s">
        <v>17</v>
      </c>
      <c r="G887" t="s">
        <v>14</v>
      </c>
      <c r="H887">
        <v>0.99439089999999997</v>
      </c>
      <c r="I887">
        <v>1.0240140999999999E-2</v>
      </c>
      <c r="J887" s="1">
        <v>1.2615717999999999E-6</v>
      </c>
      <c r="K887">
        <f t="shared" si="40"/>
        <v>1</v>
      </c>
      <c r="L887">
        <f t="shared" si="41"/>
        <v>0</v>
      </c>
      <c r="M887">
        <f t="shared" si="42"/>
        <v>0</v>
      </c>
    </row>
    <row r="888" spans="1:13" x14ac:dyDescent="0.2">
      <c r="A888" t="s">
        <v>2722</v>
      </c>
      <c r="B888" t="s">
        <v>2894</v>
      </c>
      <c r="C888" t="s">
        <v>2899</v>
      </c>
      <c r="D888" t="s">
        <v>1552</v>
      </c>
      <c r="E888" t="s">
        <v>1553</v>
      </c>
      <c r="F888" t="s">
        <v>13</v>
      </c>
      <c r="G888" t="s">
        <v>14</v>
      </c>
      <c r="H888">
        <v>0.99999934000000001</v>
      </c>
      <c r="I888">
        <v>0.99999994000000003</v>
      </c>
      <c r="J888">
        <v>1.3155501E-3</v>
      </c>
      <c r="K888">
        <f t="shared" si="40"/>
        <v>1</v>
      </c>
      <c r="L888">
        <f t="shared" si="41"/>
        <v>1</v>
      </c>
      <c r="M888">
        <f t="shared" si="42"/>
        <v>0</v>
      </c>
    </row>
    <row r="889" spans="1:13" x14ac:dyDescent="0.2">
      <c r="A889" t="s">
        <v>2723</v>
      </c>
      <c r="B889" t="s">
        <v>2894</v>
      </c>
      <c r="C889" t="s">
        <v>2899</v>
      </c>
      <c r="D889" t="s">
        <v>1554</v>
      </c>
      <c r="E889" t="s">
        <v>1555</v>
      </c>
      <c r="F889" t="s">
        <v>17</v>
      </c>
      <c r="G889" t="s">
        <v>10</v>
      </c>
      <c r="H889">
        <v>0.99999970000000005</v>
      </c>
      <c r="I889" s="1">
        <v>5.8669804000000002E-7</v>
      </c>
      <c r="J889" s="1">
        <v>3.6625046999999998E-11</v>
      </c>
      <c r="K889">
        <f t="shared" si="40"/>
        <v>1</v>
      </c>
      <c r="L889">
        <f t="shared" si="41"/>
        <v>0</v>
      </c>
      <c r="M889">
        <f t="shared" si="42"/>
        <v>0</v>
      </c>
    </row>
    <row r="890" spans="1:13" x14ac:dyDescent="0.2">
      <c r="A890" t="s">
        <v>2724</v>
      </c>
      <c r="B890" t="s">
        <v>2894</v>
      </c>
      <c r="C890" t="s">
        <v>2899</v>
      </c>
      <c r="D890" t="s">
        <v>1556</v>
      </c>
      <c r="E890" t="s">
        <v>1557</v>
      </c>
      <c r="F890" t="s">
        <v>9</v>
      </c>
      <c r="G890" t="s">
        <v>10</v>
      </c>
      <c r="H890">
        <v>0.99999696000000005</v>
      </c>
      <c r="I890">
        <v>0.99999994000000003</v>
      </c>
      <c r="J890">
        <v>0.99999360000000004</v>
      </c>
      <c r="K890">
        <f t="shared" si="40"/>
        <v>1</v>
      </c>
      <c r="L890">
        <f t="shared" si="41"/>
        <v>1</v>
      </c>
      <c r="M890">
        <f t="shared" si="42"/>
        <v>1</v>
      </c>
    </row>
    <row r="891" spans="1:13" x14ac:dyDescent="0.2">
      <c r="A891" t="s">
        <v>2725</v>
      </c>
      <c r="B891" t="s">
        <v>2894</v>
      </c>
      <c r="C891" t="s">
        <v>2899</v>
      </c>
      <c r="D891" t="s">
        <v>1558</v>
      </c>
      <c r="E891" t="s">
        <v>1559</v>
      </c>
      <c r="F891" t="s">
        <v>645</v>
      </c>
      <c r="G891" t="s">
        <v>18</v>
      </c>
      <c r="H891" s="1">
        <v>4.0112669999999998E-6</v>
      </c>
      <c r="I891" s="1">
        <v>2.8396747E-7</v>
      </c>
      <c r="J891">
        <v>3.4810696E-3</v>
      </c>
      <c r="K891">
        <f t="shared" si="40"/>
        <v>0</v>
      </c>
      <c r="L891">
        <f t="shared" si="41"/>
        <v>0</v>
      </c>
      <c r="M891">
        <f t="shared" si="42"/>
        <v>0</v>
      </c>
    </row>
    <row r="892" spans="1:13" x14ac:dyDescent="0.2">
      <c r="A892" t="s">
        <v>2726</v>
      </c>
      <c r="B892" t="s">
        <v>2894</v>
      </c>
      <c r="C892" t="s">
        <v>2899</v>
      </c>
      <c r="D892" t="s">
        <v>1560</v>
      </c>
      <c r="E892" t="s">
        <v>1561</v>
      </c>
      <c r="F892" t="s">
        <v>9</v>
      </c>
      <c r="G892" t="s">
        <v>212</v>
      </c>
      <c r="H892">
        <v>0.99999780000000005</v>
      </c>
      <c r="I892">
        <v>0.97828150000000003</v>
      </c>
      <c r="J892">
        <v>0.99889386000000002</v>
      </c>
      <c r="K892">
        <f t="shared" si="40"/>
        <v>1</v>
      </c>
      <c r="L892">
        <f t="shared" si="41"/>
        <v>1</v>
      </c>
      <c r="M892">
        <f t="shared" si="42"/>
        <v>1</v>
      </c>
    </row>
    <row r="893" spans="1:13" x14ac:dyDescent="0.2">
      <c r="A893" t="s">
        <v>2727</v>
      </c>
      <c r="B893" t="s">
        <v>2894</v>
      </c>
      <c r="C893" t="s">
        <v>2899</v>
      </c>
      <c r="D893" t="s">
        <v>1562</v>
      </c>
      <c r="E893" t="s">
        <v>1563</v>
      </c>
      <c r="F893" t="s">
        <v>9</v>
      </c>
      <c r="G893" t="s">
        <v>10</v>
      </c>
      <c r="H893">
        <v>1.3402282999999999E-2</v>
      </c>
      <c r="I893" s="1">
        <v>6.0782636E-6</v>
      </c>
      <c r="J893">
        <v>0.23968300000000001</v>
      </c>
      <c r="K893">
        <f t="shared" si="40"/>
        <v>0</v>
      </c>
      <c r="L893">
        <f t="shared" si="41"/>
        <v>0</v>
      </c>
      <c r="M893">
        <f t="shared" si="42"/>
        <v>0</v>
      </c>
    </row>
    <row r="894" spans="1:13" x14ac:dyDescent="0.2">
      <c r="A894" t="s">
        <v>2728</v>
      </c>
      <c r="B894" t="s">
        <v>2894</v>
      </c>
      <c r="C894" t="s">
        <v>2899</v>
      </c>
      <c r="D894" t="e">
        <f>-VQ-LVESGG-GLVQPGGSLRLSCAASGFNV---------SSSYIH-WVRQ-A-P-G-K--G-LE-WVASISSS-----------SGSTSY--A--D--SV--K---GRFTISA-D---T-S--KN----T-AYLQMNSLRA-EDTAVYYCARQW-----------------------------GSDYWG-QGTLVTVSS</f>
        <v>#NAME?</v>
      </c>
      <c r="E894" t="s">
        <v>1564</v>
      </c>
      <c r="F894" t="s">
        <v>13</v>
      </c>
      <c r="G894" t="s">
        <v>14</v>
      </c>
      <c r="H894">
        <v>0.99999959999999999</v>
      </c>
      <c r="I894">
        <v>0.99999610000000005</v>
      </c>
      <c r="J894">
        <v>0.97562199999999999</v>
      </c>
      <c r="K894">
        <f t="shared" si="40"/>
        <v>1</v>
      </c>
      <c r="L894">
        <f t="shared" si="41"/>
        <v>1</v>
      </c>
      <c r="M894">
        <f t="shared" si="42"/>
        <v>1</v>
      </c>
    </row>
    <row r="895" spans="1:13" x14ac:dyDescent="0.2">
      <c r="A895" t="s">
        <v>2729</v>
      </c>
      <c r="B895" t="s">
        <v>2894</v>
      </c>
      <c r="C895" t="s">
        <v>2899</v>
      </c>
      <c r="D895" t="s">
        <v>1565</v>
      </c>
      <c r="E895" t="s">
        <v>1566</v>
      </c>
      <c r="F895" t="s">
        <v>13</v>
      </c>
      <c r="G895" t="s">
        <v>14</v>
      </c>
      <c r="H895">
        <v>0.99999994000000003</v>
      </c>
      <c r="I895">
        <v>0.99999660000000001</v>
      </c>
      <c r="J895">
        <v>0.45547932000000002</v>
      </c>
      <c r="K895">
        <f t="shared" si="40"/>
        <v>1</v>
      </c>
      <c r="L895">
        <f t="shared" si="41"/>
        <v>1</v>
      </c>
      <c r="M895">
        <f t="shared" si="42"/>
        <v>0</v>
      </c>
    </row>
    <row r="896" spans="1:13" x14ac:dyDescent="0.2">
      <c r="A896" t="s">
        <v>2730</v>
      </c>
      <c r="B896" t="s">
        <v>2894</v>
      </c>
      <c r="C896" t="s">
        <v>2899</v>
      </c>
      <c r="D896" t="s">
        <v>1567</v>
      </c>
      <c r="E896" t="s">
        <v>1568</v>
      </c>
      <c r="F896" t="s">
        <v>13</v>
      </c>
      <c r="G896" t="s">
        <v>610</v>
      </c>
      <c r="H896">
        <v>2.1537599999999998E-3</v>
      </c>
      <c r="I896">
        <v>9.2941010000000008E-3</v>
      </c>
      <c r="J896">
        <v>1.8188771E-3</v>
      </c>
      <c r="K896">
        <f t="shared" si="40"/>
        <v>0</v>
      </c>
      <c r="L896">
        <f t="shared" si="41"/>
        <v>0</v>
      </c>
      <c r="M896">
        <f t="shared" si="42"/>
        <v>0</v>
      </c>
    </row>
    <row r="897" spans="1:13" x14ac:dyDescent="0.2">
      <c r="A897" t="s">
        <v>2731</v>
      </c>
      <c r="B897" t="s">
        <v>2894</v>
      </c>
      <c r="C897" t="s">
        <v>2899</v>
      </c>
      <c r="D897" t="s">
        <v>1569</v>
      </c>
      <c r="E897" t="s">
        <v>1570</v>
      </c>
      <c r="F897" t="s">
        <v>17</v>
      </c>
      <c r="G897" t="s">
        <v>212</v>
      </c>
      <c r="H897">
        <v>0.99999709999999997</v>
      </c>
      <c r="I897">
        <v>0.99999994000000003</v>
      </c>
      <c r="J897">
        <v>1.4510049000000001E-2</v>
      </c>
      <c r="K897">
        <f t="shared" si="40"/>
        <v>1</v>
      </c>
      <c r="L897">
        <f t="shared" si="41"/>
        <v>1</v>
      </c>
      <c r="M897">
        <f t="shared" si="42"/>
        <v>0</v>
      </c>
    </row>
    <row r="898" spans="1:13" x14ac:dyDescent="0.2">
      <c r="A898" t="s">
        <v>2732</v>
      </c>
      <c r="B898" t="s">
        <v>2894</v>
      </c>
      <c r="C898" t="s">
        <v>2899</v>
      </c>
      <c r="D898" t="s">
        <v>1571</v>
      </c>
      <c r="E898" t="s">
        <v>1572</v>
      </c>
      <c r="F898" t="s">
        <v>17</v>
      </c>
      <c r="G898" t="s">
        <v>14</v>
      </c>
      <c r="H898">
        <v>0.99999994000000003</v>
      </c>
      <c r="I898">
        <v>0.99999994000000003</v>
      </c>
      <c r="J898">
        <v>0.5497763</v>
      </c>
      <c r="K898">
        <f t="shared" si="40"/>
        <v>1</v>
      </c>
      <c r="L898">
        <f t="shared" si="41"/>
        <v>1</v>
      </c>
      <c r="M898">
        <f t="shared" si="42"/>
        <v>1</v>
      </c>
    </row>
    <row r="899" spans="1:13" x14ac:dyDescent="0.2">
      <c r="A899" t="s">
        <v>2733</v>
      </c>
      <c r="B899" t="s">
        <v>2894</v>
      </c>
      <c r="C899" t="s">
        <v>2899</v>
      </c>
      <c r="D899" t="s">
        <v>1573</v>
      </c>
      <c r="E899" t="s">
        <v>1574</v>
      </c>
      <c r="F899" t="s">
        <v>17</v>
      </c>
      <c r="G899" t="s">
        <v>10</v>
      </c>
      <c r="H899">
        <v>0.99989490000000003</v>
      </c>
      <c r="I899">
        <v>0.99999919999999998</v>
      </c>
      <c r="J899">
        <v>0.74384550000000005</v>
      </c>
      <c r="K899">
        <f t="shared" ref="K899:K962" si="43">IF(H899&gt;=0.5,1,0)</f>
        <v>1</v>
      </c>
      <c r="L899">
        <f t="shared" ref="L899:L962" si="44">IF(I899&gt;=0.5,1,0)</f>
        <v>1</v>
      </c>
      <c r="M899">
        <f t="shared" ref="M899:M962" si="45">IF(J899&gt;=0.5,1,0)</f>
        <v>1</v>
      </c>
    </row>
    <row r="900" spans="1:13" x14ac:dyDescent="0.2">
      <c r="A900" t="s">
        <v>2734</v>
      </c>
      <c r="B900" t="s">
        <v>2894</v>
      </c>
      <c r="C900" t="s">
        <v>2899</v>
      </c>
      <c r="D900" t="s">
        <v>1575</v>
      </c>
      <c r="E900" t="s">
        <v>1576</v>
      </c>
      <c r="F900" t="s">
        <v>13</v>
      </c>
      <c r="G900" t="s">
        <v>14</v>
      </c>
      <c r="H900">
        <v>0.99999970000000005</v>
      </c>
      <c r="I900">
        <v>0.99999994000000003</v>
      </c>
      <c r="J900" s="1">
        <v>1.3958711000000001E-5</v>
      </c>
      <c r="K900">
        <f t="shared" si="43"/>
        <v>1</v>
      </c>
      <c r="L900">
        <f t="shared" si="44"/>
        <v>1</v>
      </c>
      <c r="M900">
        <f t="shared" si="45"/>
        <v>0</v>
      </c>
    </row>
    <row r="901" spans="1:13" x14ac:dyDescent="0.2">
      <c r="A901" t="s">
        <v>2735</v>
      </c>
      <c r="B901" t="s">
        <v>2894</v>
      </c>
      <c r="C901" t="s">
        <v>2899</v>
      </c>
      <c r="D901" t="s">
        <v>1577</v>
      </c>
      <c r="E901" t="s">
        <v>1578</v>
      </c>
      <c r="F901" t="s">
        <v>13</v>
      </c>
      <c r="G901" t="s">
        <v>14</v>
      </c>
      <c r="H901">
        <v>0.99979779999999996</v>
      </c>
      <c r="I901">
        <v>0.99998540000000002</v>
      </c>
      <c r="J901">
        <v>1.5909474E-3</v>
      </c>
      <c r="K901">
        <f t="shared" si="43"/>
        <v>1</v>
      </c>
      <c r="L901">
        <f t="shared" si="44"/>
        <v>1</v>
      </c>
      <c r="M901">
        <f t="shared" si="45"/>
        <v>0</v>
      </c>
    </row>
    <row r="902" spans="1:13" x14ac:dyDescent="0.2">
      <c r="A902" t="s">
        <v>2736</v>
      </c>
      <c r="B902" t="s">
        <v>2895</v>
      </c>
      <c r="C902" t="s">
        <v>2899</v>
      </c>
      <c r="D902" t="s">
        <v>1579</v>
      </c>
      <c r="E902" t="s">
        <v>1580</v>
      </c>
      <c r="F902" t="s">
        <v>17</v>
      </c>
      <c r="G902" t="s">
        <v>10</v>
      </c>
      <c r="H902">
        <v>0.99307310000000004</v>
      </c>
      <c r="I902">
        <v>0.99999994000000003</v>
      </c>
      <c r="J902" s="1">
        <v>9.713959E-6</v>
      </c>
      <c r="K902">
        <f t="shared" si="43"/>
        <v>1</v>
      </c>
      <c r="L902">
        <f t="shared" si="44"/>
        <v>1</v>
      </c>
      <c r="M902">
        <f t="shared" si="45"/>
        <v>0</v>
      </c>
    </row>
    <row r="903" spans="1:13" x14ac:dyDescent="0.2">
      <c r="A903" t="s">
        <v>2737</v>
      </c>
      <c r="B903" t="s">
        <v>2895</v>
      </c>
      <c r="C903" t="s">
        <v>2899</v>
      </c>
      <c r="D903" t="s">
        <v>1581</v>
      </c>
      <c r="E903" t="s">
        <v>1582</v>
      </c>
      <c r="F903" t="s">
        <v>13</v>
      </c>
      <c r="G903" t="s">
        <v>14</v>
      </c>
      <c r="H903">
        <v>0.99999919999999998</v>
      </c>
      <c r="I903">
        <v>0.99998489999999995</v>
      </c>
      <c r="J903">
        <v>0.99799959999999999</v>
      </c>
      <c r="K903">
        <f t="shared" si="43"/>
        <v>1</v>
      </c>
      <c r="L903">
        <f t="shared" si="44"/>
        <v>1</v>
      </c>
      <c r="M903">
        <f t="shared" si="45"/>
        <v>1</v>
      </c>
    </row>
    <row r="904" spans="1:13" x14ac:dyDescent="0.2">
      <c r="A904" t="s">
        <v>2738</v>
      </c>
      <c r="B904" t="s">
        <v>2895</v>
      </c>
      <c r="C904" t="s">
        <v>2899</v>
      </c>
      <c r="D904" t="s">
        <v>1583</v>
      </c>
      <c r="E904" t="s">
        <v>1584</v>
      </c>
      <c r="F904" t="s">
        <v>9</v>
      </c>
      <c r="G904" t="s">
        <v>10</v>
      </c>
      <c r="H904">
        <v>0.99984264</v>
      </c>
      <c r="I904">
        <v>0.99999994000000003</v>
      </c>
      <c r="J904">
        <v>0.99915259999999995</v>
      </c>
      <c r="K904">
        <f t="shared" si="43"/>
        <v>1</v>
      </c>
      <c r="L904">
        <f t="shared" si="44"/>
        <v>1</v>
      </c>
      <c r="M904">
        <f t="shared" si="45"/>
        <v>1</v>
      </c>
    </row>
    <row r="905" spans="1:13" x14ac:dyDescent="0.2">
      <c r="A905" t="s">
        <v>2739</v>
      </c>
      <c r="B905" t="s">
        <v>2895</v>
      </c>
      <c r="C905" t="s">
        <v>2899</v>
      </c>
      <c r="D905" t="s">
        <v>1585</v>
      </c>
      <c r="E905" t="s">
        <v>1586</v>
      </c>
      <c r="F905" t="s">
        <v>13</v>
      </c>
      <c r="G905" t="s">
        <v>212</v>
      </c>
      <c r="H905">
        <v>0.99939359999999999</v>
      </c>
      <c r="I905">
        <v>0.99999994000000003</v>
      </c>
      <c r="J905">
        <v>0.99999994000000003</v>
      </c>
      <c r="K905">
        <f t="shared" si="43"/>
        <v>1</v>
      </c>
      <c r="L905">
        <f t="shared" si="44"/>
        <v>1</v>
      </c>
      <c r="M905">
        <f t="shared" si="45"/>
        <v>1</v>
      </c>
    </row>
    <row r="906" spans="1:13" x14ac:dyDescent="0.2">
      <c r="A906" t="s">
        <v>2740</v>
      </c>
      <c r="B906" t="s">
        <v>2895</v>
      </c>
      <c r="C906" t="s">
        <v>2899</v>
      </c>
      <c r="D906" t="s">
        <v>1587</v>
      </c>
      <c r="E906" t="s">
        <v>1588</v>
      </c>
      <c r="F906" t="s">
        <v>13</v>
      </c>
      <c r="G906" t="s">
        <v>212</v>
      </c>
      <c r="H906">
        <v>0.99999623999999998</v>
      </c>
      <c r="I906">
        <v>0.99993770000000004</v>
      </c>
      <c r="J906">
        <v>4.683296E-3</v>
      </c>
      <c r="K906">
        <f t="shared" si="43"/>
        <v>1</v>
      </c>
      <c r="L906">
        <f t="shared" si="44"/>
        <v>1</v>
      </c>
      <c r="M906">
        <f t="shared" si="45"/>
        <v>0</v>
      </c>
    </row>
    <row r="907" spans="1:13" x14ac:dyDescent="0.2">
      <c r="A907" t="s">
        <v>2741</v>
      </c>
      <c r="B907" t="s">
        <v>2895</v>
      </c>
      <c r="C907" t="s">
        <v>2899</v>
      </c>
      <c r="D907" t="s">
        <v>1589</v>
      </c>
      <c r="E907" t="s">
        <v>1590</v>
      </c>
      <c r="F907" t="s">
        <v>9</v>
      </c>
      <c r="G907" t="s">
        <v>65</v>
      </c>
      <c r="H907">
        <v>0.99999136</v>
      </c>
      <c r="I907">
        <v>0.99999994000000003</v>
      </c>
      <c r="J907">
        <v>0.11605074999999999</v>
      </c>
      <c r="K907">
        <f t="shared" si="43"/>
        <v>1</v>
      </c>
      <c r="L907">
        <f t="shared" si="44"/>
        <v>1</v>
      </c>
      <c r="M907">
        <f t="shared" si="45"/>
        <v>0</v>
      </c>
    </row>
    <row r="908" spans="1:13" x14ac:dyDescent="0.2">
      <c r="A908" t="s">
        <v>2742</v>
      </c>
      <c r="B908" t="s">
        <v>2895</v>
      </c>
      <c r="C908" t="s">
        <v>2899</v>
      </c>
      <c r="D908" t="s">
        <v>1591</v>
      </c>
      <c r="E908" t="s">
        <v>1592</v>
      </c>
      <c r="F908" t="s">
        <v>9</v>
      </c>
      <c r="G908" t="s">
        <v>14</v>
      </c>
      <c r="H908">
        <v>1.0465965000000001E-2</v>
      </c>
      <c r="I908" s="1">
        <v>3.5094873999999998E-7</v>
      </c>
      <c r="J908" s="1">
        <v>1.9050428000000001E-7</v>
      </c>
      <c r="K908">
        <f t="shared" si="43"/>
        <v>0</v>
      </c>
      <c r="L908">
        <f t="shared" si="44"/>
        <v>0</v>
      </c>
      <c r="M908">
        <f t="shared" si="45"/>
        <v>0</v>
      </c>
    </row>
    <row r="909" spans="1:13" x14ac:dyDescent="0.2">
      <c r="A909" t="s">
        <v>2743</v>
      </c>
      <c r="B909" t="s">
        <v>2895</v>
      </c>
      <c r="C909" t="s">
        <v>2899</v>
      </c>
      <c r="D909" t="s">
        <v>1593</v>
      </c>
      <c r="E909" t="s">
        <v>1594</v>
      </c>
      <c r="F909" t="s">
        <v>13</v>
      </c>
      <c r="G909" t="s">
        <v>10</v>
      </c>
      <c r="H909">
        <v>0.99699013999999997</v>
      </c>
      <c r="I909">
        <v>0.99999994000000003</v>
      </c>
      <c r="J909">
        <v>0.92673004000000003</v>
      </c>
      <c r="K909">
        <f t="shared" si="43"/>
        <v>1</v>
      </c>
      <c r="L909">
        <f t="shared" si="44"/>
        <v>1</v>
      </c>
      <c r="M909">
        <f t="shared" si="45"/>
        <v>1</v>
      </c>
    </row>
    <row r="910" spans="1:13" x14ac:dyDescent="0.2">
      <c r="A910" t="s">
        <v>2744</v>
      </c>
      <c r="B910" t="s">
        <v>2895</v>
      </c>
      <c r="C910" t="s">
        <v>2899</v>
      </c>
      <c r="D910" t="s">
        <v>1595</v>
      </c>
      <c r="E910" t="s">
        <v>1596</v>
      </c>
      <c r="F910" t="s">
        <v>13</v>
      </c>
      <c r="G910" t="s">
        <v>14</v>
      </c>
      <c r="H910">
        <v>0.87036480000000005</v>
      </c>
      <c r="I910">
        <v>0.99999994000000003</v>
      </c>
      <c r="J910">
        <v>0.99998299999999996</v>
      </c>
      <c r="K910">
        <f t="shared" si="43"/>
        <v>1</v>
      </c>
      <c r="L910">
        <f t="shared" si="44"/>
        <v>1</v>
      </c>
      <c r="M910">
        <f t="shared" si="45"/>
        <v>1</v>
      </c>
    </row>
    <row r="911" spans="1:13" x14ac:dyDescent="0.2">
      <c r="A911" t="s">
        <v>2745</v>
      </c>
      <c r="B911" t="s">
        <v>2895</v>
      </c>
      <c r="C911" t="s">
        <v>2899</v>
      </c>
      <c r="D911" t="s">
        <v>1597</v>
      </c>
      <c r="E911" t="s">
        <v>1598</v>
      </c>
      <c r="F911" t="s">
        <v>9</v>
      </c>
      <c r="G911" t="s">
        <v>65</v>
      </c>
      <c r="H911">
        <v>0.99999959999999999</v>
      </c>
      <c r="I911">
        <v>0.99999994000000003</v>
      </c>
      <c r="J911">
        <v>0.39552187999999999</v>
      </c>
      <c r="K911">
        <f t="shared" si="43"/>
        <v>1</v>
      </c>
      <c r="L911">
        <f t="shared" si="44"/>
        <v>1</v>
      </c>
      <c r="M911">
        <f t="shared" si="45"/>
        <v>0</v>
      </c>
    </row>
    <row r="912" spans="1:13" x14ac:dyDescent="0.2">
      <c r="A912" t="s">
        <v>2746</v>
      </c>
      <c r="B912" t="s">
        <v>2895</v>
      </c>
      <c r="C912" t="s">
        <v>2899</v>
      </c>
      <c r="D912" t="s">
        <v>1599</v>
      </c>
      <c r="E912" t="s">
        <v>1600</v>
      </c>
      <c r="F912" t="s">
        <v>13</v>
      </c>
      <c r="G912" t="s">
        <v>14</v>
      </c>
      <c r="H912">
        <v>0.99999979999999999</v>
      </c>
      <c r="I912">
        <v>0.99999994000000003</v>
      </c>
      <c r="J912">
        <v>0.98475599999999996</v>
      </c>
      <c r="K912">
        <f t="shared" si="43"/>
        <v>1</v>
      </c>
      <c r="L912">
        <f t="shared" si="44"/>
        <v>1</v>
      </c>
      <c r="M912">
        <f t="shared" si="45"/>
        <v>1</v>
      </c>
    </row>
    <row r="913" spans="1:13" x14ac:dyDescent="0.2">
      <c r="A913" t="s">
        <v>2747</v>
      </c>
      <c r="B913" t="s">
        <v>2895</v>
      </c>
      <c r="C913" t="s">
        <v>2899</v>
      </c>
      <c r="D913" t="s">
        <v>1601</v>
      </c>
      <c r="E913" t="s">
        <v>1602</v>
      </c>
      <c r="F913" t="s">
        <v>13</v>
      </c>
      <c r="G913" t="s">
        <v>14</v>
      </c>
      <c r="H913">
        <v>0.99999099999999996</v>
      </c>
      <c r="I913">
        <v>0.99994784999999997</v>
      </c>
      <c r="J913">
        <v>0.78898679999999999</v>
      </c>
      <c r="K913">
        <f t="shared" si="43"/>
        <v>1</v>
      </c>
      <c r="L913">
        <f t="shared" si="44"/>
        <v>1</v>
      </c>
      <c r="M913">
        <f t="shared" si="45"/>
        <v>1</v>
      </c>
    </row>
    <row r="914" spans="1:13" x14ac:dyDescent="0.2">
      <c r="A914" t="s">
        <v>2748</v>
      </c>
      <c r="B914" t="s">
        <v>2895</v>
      </c>
      <c r="C914" t="s">
        <v>2899</v>
      </c>
      <c r="D914" t="e">
        <f>-VQ-LVQSGA-EVKKPGSSVKVSCKASGGTF---------SSYAIS-WVRQ-A-P-G-Q--G-LE-WMGGIIPI-----------FGTANY--A--Q--KF--Q---GRVTITA-D---K-S--TS----T-AYMELSSLRS-EDTAVYYCAREGWV--------------------------TSFDYWG-QGTLVTVSS</f>
        <v>#NAME?</v>
      </c>
      <c r="E914" t="s">
        <v>1603</v>
      </c>
      <c r="F914" t="s">
        <v>9</v>
      </c>
      <c r="G914" t="s">
        <v>10</v>
      </c>
      <c r="H914">
        <v>0.99941550000000001</v>
      </c>
      <c r="I914">
        <v>0.99999994000000003</v>
      </c>
      <c r="J914">
        <v>0.99999979999999999</v>
      </c>
      <c r="K914">
        <f t="shared" si="43"/>
        <v>1</v>
      </c>
      <c r="L914">
        <f t="shared" si="44"/>
        <v>1</v>
      </c>
      <c r="M914">
        <f t="shared" si="45"/>
        <v>1</v>
      </c>
    </row>
    <row r="915" spans="1:13" x14ac:dyDescent="0.2">
      <c r="A915" t="s">
        <v>2749</v>
      </c>
      <c r="B915" t="s">
        <v>2895</v>
      </c>
      <c r="C915" t="s">
        <v>2899</v>
      </c>
      <c r="D915" t="s">
        <v>1604</v>
      </c>
      <c r="E915" t="s">
        <v>1605</v>
      </c>
      <c r="F915" t="s">
        <v>9</v>
      </c>
      <c r="G915" t="s">
        <v>14</v>
      </c>
      <c r="H915">
        <v>0.99999934000000001</v>
      </c>
      <c r="I915">
        <v>0.99999994000000003</v>
      </c>
      <c r="J915">
        <v>0.99999970000000005</v>
      </c>
      <c r="K915">
        <f t="shared" si="43"/>
        <v>1</v>
      </c>
      <c r="L915">
        <f t="shared" si="44"/>
        <v>1</v>
      </c>
      <c r="M915">
        <f t="shared" si="45"/>
        <v>1</v>
      </c>
    </row>
    <row r="916" spans="1:13" x14ac:dyDescent="0.2">
      <c r="A916" t="s">
        <v>2750</v>
      </c>
      <c r="B916" t="s">
        <v>2895</v>
      </c>
      <c r="C916" t="s">
        <v>2899</v>
      </c>
      <c r="D916" t="s">
        <v>1606</v>
      </c>
      <c r="E916" t="s">
        <v>1607</v>
      </c>
      <c r="F916" t="s">
        <v>13</v>
      </c>
      <c r="G916" t="s">
        <v>14</v>
      </c>
      <c r="H916">
        <v>1.4573162E-3</v>
      </c>
      <c r="I916">
        <v>0.99976350000000003</v>
      </c>
      <c r="J916">
        <v>0.57130789999999998</v>
      </c>
      <c r="K916">
        <f t="shared" si="43"/>
        <v>0</v>
      </c>
      <c r="L916">
        <f t="shared" si="44"/>
        <v>1</v>
      </c>
      <c r="M916">
        <f t="shared" si="45"/>
        <v>1</v>
      </c>
    </row>
    <row r="917" spans="1:13" x14ac:dyDescent="0.2">
      <c r="A917" t="s">
        <v>2751</v>
      </c>
      <c r="B917" t="s">
        <v>2895</v>
      </c>
      <c r="C917" t="s">
        <v>2899</v>
      </c>
      <c r="D917" t="s">
        <v>1608</v>
      </c>
      <c r="E917" t="s">
        <v>1384</v>
      </c>
      <c r="F917" t="s">
        <v>13</v>
      </c>
      <c r="G917" t="s">
        <v>14</v>
      </c>
      <c r="H917">
        <v>0.99999994000000003</v>
      </c>
      <c r="I917">
        <v>0.99903934999999999</v>
      </c>
      <c r="J917">
        <v>0.99984309999999998</v>
      </c>
      <c r="K917">
        <f t="shared" si="43"/>
        <v>1</v>
      </c>
      <c r="L917">
        <f t="shared" si="44"/>
        <v>1</v>
      </c>
      <c r="M917">
        <f t="shared" si="45"/>
        <v>1</v>
      </c>
    </row>
    <row r="918" spans="1:13" x14ac:dyDescent="0.2">
      <c r="A918" t="s">
        <v>2752</v>
      </c>
      <c r="B918" t="s">
        <v>2895</v>
      </c>
      <c r="C918" t="s">
        <v>2899</v>
      </c>
      <c r="D918" t="e">
        <f>--S-LEESGG-GLVKPGGSLKLSCAASGFAF---------SSYSMN-WVRQ-A-P-G-K--G-LE-WVASISRS-----------GGSIYY--A--D--SL--K---GRVTISR-D---N-S--QS----S-LYLQMNSLRA-EDTAVYYCARSVGYG------------------------GIAMDYWG-QGTLVTVSS</f>
        <v>#NAME?</v>
      </c>
      <c r="E918" t="s">
        <v>1609</v>
      </c>
      <c r="F918" t="s">
        <v>13</v>
      </c>
      <c r="G918" t="s">
        <v>14</v>
      </c>
      <c r="H918">
        <v>0.99999802999999998</v>
      </c>
      <c r="I918">
        <v>0.99999910000000003</v>
      </c>
      <c r="J918">
        <v>0.98672959999999998</v>
      </c>
      <c r="K918">
        <f t="shared" si="43"/>
        <v>1</v>
      </c>
      <c r="L918">
        <f t="shared" si="44"/>
        <v>1</v>
      </c>
      <c r="M918">
        <f t="shared" si="45"/>
        <v>1</v>
      </c>
    </row>
    <row r="919" spans="1:13" x14ac:dyDescent="0.2">
      <c r="A919" t="s">
        <v>2753</v>
      </c>
      <c r="B919" t="s">
        <v>2895</v>
      </c>
      <c r="C919" t="s">
        <v>2899</v>
      </c>
      <c r="D919" t="s">
        <v>1610</v>
      </c>
      <c r="E919" t="s">
        <v>1611</v>
      </c>
      <c r="F919" t="s">
        <v>17</v>
      </c>
      <c r="G919" t="s">
        <v>65</v>
      </c>
      <c r="H919">
        <v>0.99968239999999997</v>
      </c>
      <c r="I919">
        <v>1.7119254000000001E-4</v>
      </c>
      <c r="J919" s="1">
        <v>5.7317067000000001E-8</v>
      </c>
      <c r="K919">
        <f t="shared" si="43"/>
        <v>1</v>
      </c>
      <c r="L919">
        <f t="shared" si="44"/>
        <v>0</v>
      </c>
      <c r="M919">
        <f t="shared" si="45"/>
        <v>0</v>
      </c>
    </row>
    <row r="920" spans="1:13" x14ac:dyDescent="0.2">
      <c r="A920" t="s">
        <v>2754</v>
      </c>
      <c r="B920" t="s">
        <v>2895</v>
      </c>
      <c r="C920" t="s">
        <v>2899</v>
      </c>
      <c r="D920" t="s">
        <v>1612</v>
      </c>
      <c r="E920" t="s">
        <v>1613</v>
      </c>
      <c r="F920" t="s">
        <v>13</v>
      </c>
      <c r="G920" t="s">
        <v>14</v>
      </c>
      <c r="H920">
        <v>0.99998909999999996</v>
      </c>
      <c r="I920">
        <v>0.9999015</v>
      </c>
      <c r="J920">
        <v>0.99971734999999995</v>
      </c>
      <c r="K920">
        <f t="shared" si="43"/>
        <v>1</v>
      </c>
      <c r="L920">
        <f t="shared" si="44"/>
        <v>1</v>
      </c>
      <c r="M920">
        <f t="shared" si="45"/>
        <v>1</v>
      </c>
    </row>
    <row r="921" spans="1:13" x14ac:dyDescent="0.2">
      <c r="A921" t="s">
        <v>2755</v>
      </c>
      <c r="B921" t="s">
        <v>2895</v>
      </c>
      <c r="C921" t="s">
        <v>2899</v>
      </c>
      <c r="D921" t="s">
        <v>1614</v>
      </c>
      <c r="E921" t="s">
        <v>1615</v>
      </c>
      <c r="F921" t="s">
        <v>9</v>
      </c>
      <c r="G921" t="s">
        <v>14</v>
      </c>
      <c r="H921">
        <v>0.99999696000000005</v>
      </c>
      <c r="I921">
        <v>0.99999994000000003</v>
      </c>
      <c r="J921">
        <v>8.5786089999999995E-2</v>
      </c>
      <c r="K921">
        <f t="shared" si="43"/>
        <v>1</v>
      </c>
      <c r="L921">
        <f t="shared" si="44"/>
        <v>1</v>
      </c>
      <c r="M921">
        <f t="shared" si="45"/>
        <v>0</v>
      </c>
    </row>
    <row r="922" spans="1:13" x14ac:dyDescent="0.2">
      <c r="A922" t="s">
        <v>2756</v>
      </c>
      <c r="B922" t="s">
        <v>2895</v>
      </c>
      <c r="C922" t="s">
        <v>2899</v>
      </c>
      <c r="D922" t="s">
        <v>1616</v>
      </c>
      <c r="E922" t="s">
        <v>1617</v>
      </c>
      <c r="F922" t="s">
        <v>13</v>
      </c>
      <c r="G922" t="s">
        <v>14</v>
      </c>
      <c r="H922">
        <v>0.99999899999999997</v>
      </c>
      <c r="I922">
        <v>0.99991816</v>
      </c>
      <c r="J922">
        <v>0.95608599999999999</v>
      </c>
      <c r="K922">
        <f t="shared" si="43"/>
        <v>1</v>
      </c>
      <c r="L922">
        <f t="shared" si="44"/>
        <v>1</v>
      </c>
      <c r="M922">
        <f t="shared" si="45"/>
        <v>1</v>
      </c>
    </row>
    <row r="923" spans="1:13" x14ac:dyDescent="0.2">
      <c r="A923" t="s">
        <v>2757</v>
      </c>
      <c r="B923" t="s">
        <v>2895</v>
      </c>
      <c r="C923" t="s">
        <v>2899</v>
      </c>
      <c r="D923" t="s">
        <v>1618</v>
      </c>
      <c r="E923" t="s">
        <v>1619</v>
      </c>
      <c r="F923" t="s">
        <v>13</v>
      </c>
      <c r="G923" t="s">
        <v>14</v>
      </c>
      <c r="H923">
        <v>0.99999729999999998</v>
      </c>
      <c r="I923">
        <v>0.99999994000000003</v>
      </c>
      <c r="J923">
        <v>0.98609939999999996</v>
      </c>
      <c r="K923">
        <f t="shared" si="43"/>
        <v>1</v>
      </c>
      <c r="L923">
        <f t="shared" si="44"/>
        <v>1</v>
      </c>
      <c r="M923">
        <f t="shared" si="45"/>
        <v>1</v>
      </c>
    </row>
    <row r="924" spans="1:13" x14ac:dyDescent="0.2">
      <c r="A924" t="s">
        <v>2758</v>
      </c>
      <c r="B924" t="s">
        <v>2895</v>
      </c>
      <c r="C924" t="s">
        <v>2899</v>
      </c>
      <c r="D924" t="s">
        <v>1620</v>
      </c>
      <c r="E924" t="s">
        <v>128</v>
      </c>
      <c r="F924" t="s">
        <v>13</v>
      </c>
      <c r="G924" t="s">
        <v>14</v>
      </c>
      <c r="H924">
        <v>0.99999994000000003</v>
      </c>
      <c r="I924">
        <v>0.9999903</v>
      </c>
      <c r="J924">
        <v>0.99579070000000003</v>
      </c>
      <c r="K924">
        <f t="shared" si="43"/>
        <v>1</v>
      </c>
      <c r="L924">
        <f t="shared" si="44"/>
        <v>1</v>
      </c>
      <c r="M924">
        <f t="shared" si="45"/>
        <v>1</v>
      </c>
    </row>
    <row r="925" spans="1:13" x14ac:dyDescent="0.2">
      <c r="A925" t="s">
        <v>2759</v>
      </c>
      <c r="B925" t="s">
        <v>2895</v>
      </c>
      <c r="C925" t="s">
        <v>2899</v>
      </c>
      <c r="D925" t="s">
        <v>1621</v>
      </c>
      <c r="E925" t="s">
        <v>1622</v>
      </c>
      <c r="F925" t="s">
        <v>13</v>
      </c>
      <c r="G925" t="s">
        <v>14</v>
      </c>
      <c r="H925">
        <v>0.97229546</v>
      </c>
      <c r="I925">
        <v>0.99999243000000004</v>
      </c>
      <c r="J925">
        <v>0.17411489999999999</v>
      </c>
      <c r="K925">
        <f t="shared" si="43"/>
        <v>1</v>
      </c>
      <c r="L925">
        <f t="shared" si="44"/>
        <v>1</v>
      </c>
      <c r="M925">
        <f t="shared" si="45"/>
        <v>0</v>
      </c>
    </row>
    <row r="926" spans="1:13" x14ac:dyDescent="0.2">
      <c r="A926" t="s">
        <v>2760</v>
      </c>
      <c r="B926" t="s">
        <v>2895</v>
      </c>
      <c r="C926" t="s">
        <v>2899</v>
      </c>
      <c r="D926" t="s">
        <v>1623</v>
      </c>
      <c r="E926" t="s">
        <v>1624</v>
      </c>
      <c r="F926" t="s">
        <v>17</v>
      </c>
      <c r="G926" t="s">
        <v>14</v>
      </c>
      <c r="H926">
        <v>0.99870409999999998</v>
      </c>
      <c r="I926">
        <v>0.99999994000000003</v>
      </c>
      <c r="J926">
        <v>0.58587020000000001</v>
      </c>
      <c r="K926">
        <f t="shared" si="43"/>
        <v>1</v>
      </c>
      <c r="L926">
        <f t="shared" si="44"/>
        <v>1</v>
      </c>
      <c r="M926">
        <f t="shared" si="45"/>
        <v>1</v>
      </c>
    </row>
    <row r="927" spans="1:13" x14ac:dyDescent="0.2">
      <c r="A927" t="s">
        <v>2761</v>
      </c>
      <c r="B927" t="s">
        <v>2895</v>
      </c>
      <c r="C927" t="s">
        <v>2899</v>
      </c>
      <c r="D927" t="s">
        <v>1625</v>
      </c>
      <c r="E927" t="s">
        <v>1626</v>
      </c>
      <c r="F927" t="s">
        <v>13</v>
      </c>
      <c r="G927" t="s">
        <v>14</v>
      </c>
      <c r="H927">
        <v>0.96095560000000002</v>
      </c>
      <c r="I927">
        <v>0.99999994000000003</v>
      </c>
      <c r="J927">
        <v>0.93640230000000002</v>
      </c>
      <c r="K927">
        <f t="shared" si="43"/>
        <v>1</v>
      </c>
      <c r="L927">
        <f t="shared" si="44"/>
        <v>1</v>
      </c>
      <c r="M927">
        <f t="shared" si="45"/>
        <v>1</v>
      </c>
    </row>
    <row r="928" spans="1:13" x14ac:dyDescent="0.2">
      <c r="A928" t="s">
        <v>2762</v>
      </c>
      <c r="B928" t="s">
        <v>2895</v>
      </c>
      <c r="C928" t="s">
        <v>2899</v>
      </c>
      <c r="D928" t="s">
        <v>1627</v>
      </c>
      <c r="E928" t="s">
        <v>1628</v>
      </c>
      <c r="F928" t="s">
        <v>9</v>
      </c>
      <c r="G928" t="s">
        <v>18</v>
      </c>
      <c r="H928">
        <v>0.99999994000000003</v>
      </c>
      <c r="I928">
        <v>0.99999994000000003</v>
      </c>
      <c r="J928">
        <v>3.2096412000000001E-3</v>
      </c>
      <c r="K928">
        <f t="shared" si="43"/>
        <v>1</v>
      </c>
      <c r="L928">
        <f t="shared" si="44"/>
        <v>1</v>
      </c>
      <c r="M928">
        <f t="shared" si="45"/>
        <v>0</v>
      </c>
    </row>
    <row r="929" spans="1:13" x14ac:dyDescent="0.2">
      <c r="A929" t="s">
        <v>2763</v>
      </c>
      <c r="B929" t="s">
        <v>2895</v>
      </c>
      <c r="C929" t="s">
        <v>2899</v>
      </c>
      <c r="D929" t="s">
        <v>1629</v>
      </c>
      <c r="E929" t="s">
        <v>147</v>
      </c>
      <c r="F929" t="s">
        <v>13</v>
      </c>
      <c r="G929" t="s">
        <v>14</v>
      </c>
      <c r="H929">
        <v>0.99929570000000001</v>
      </c>
      <c r="I929">
        <v>0.99933510000000003</v>
      </c>
      <c r="J929">
        <v>0.99853939999999997</v>
      </c>
      <c r="K929">
        <f t="shared" si="43"/>
        <v>1</v>
      </c>
      <c r="L929">
        <f t="shared" si="44"/>
        <v>1</v>
      </c>
      <c r="M929">
        <f t="shared" si="45"/>
        <v>1</v>
      </c>
    </row>
    <row r="930" spans="1:13" x14ac:dyDescent="0.2">
      <c r="A930" t="s">
        <v>2764</v>
      </c>
      <c r="B930" t="s">
        <v>2895</v>
      </c>
      <c r="C930" t="s">
        <v>2899</v>
      </c>
      <c r="D930" t="e">
        <f>-VQ-LVESGG-GLVQPGGSLRLSCAASGFTF---------SSYWMS-WVRQ-A-P-G-K--G-LE-WVANIKDS-----------GNNTYY--A--D--SV--K---GRFTISR-D---N-S--KN----T-LYLQMNSLRA-EDTAVYYCSRQFYLY------------------------YYGMDVWG-QGTLVTVSS</f>
        <v>#NAME?</v>
      </c>
      <c r="E930" t="s">
        <v>1630</v>
      </c>
      <c r="F930" t="s">
        <v>13</v>
      </c>
      <c r="G930" t="s">
        <v>40</v>
      </c>
      <c r="H930">
        <v>0.99997729999999996</v>
      </c>
      <c r="I930">
        <v>0.99982643000000004</v>
      </c>
      <c r="J930">
        <v>0.22654464999999999</v>
      </c>
      <c r="K930">
        <f t="shared" si="43"/>
        <v>1</v>
      </c>
      <c r="L930">
        <f t="shared" si="44"/>
        <v>1</v>
      </c>
      <c r="M930">
        <f t="shared" si="45"/>
        <v>0</v>
      </c>
    </row>
    <row r="931" spans="1:13" x14ac:dyDescent="0.2">
      <c r="A931" t="s">
        <v>2765</v>
      </c>
      <c r="B931" t="s">
        <v>2895</v>
      </c>
      <c r="C931" t="s">
        <v>2899</v>
      </c>
      <c r="D931" t="s">
        <v>1631</v>
      </c>
      <c r="E931" t="s">
        <v>1632</v>
      </c>
      <c r="F931" t="s">
        <v>9</v>
      </c>
      <c r="G931" t="s">
        <v>10</v>
      </c>
      <c r="H931">
        <v>0.99999970000000005</v>
      </c>
      <c r="I931">
        <v>0.99999994000000003</v>
      </c>
      <c r="J931">
        <v>0.1294208</v>
      </c>
      <c r="K931">
        <f t="shared" si="43"/>
        <v>1</v>
      </c>
      <c r="L931">
        <f t="shared" si="44"/>
        <v>1</v>
      </c>
      <c r="M931">
        <f t="shared" si="45"/>
        <v>0</v>
      </c>
    </row>
    <row r="932" spans="1:13" x14ac:dyDescent="0.2">
      <c r="A932" t="s">
        <v>2766</v>
      </c>
      <c r="B932" t="s">
        <v>2895</v>
      </c>
      <c r="C932" t="s">
        <v>2899</v>
      </c>
      <c r="D932" t="s">
        <v>1633</v>
      </c>
      <c r="E932" t="s">
        <v>1634</v>
      </c>
      <c r="F932" t="s">
        <v>13</v>
      </c>
      <c r="G932" t="s">
        <v>14</v>
      </c>
      <c r="H932">
        <v>0.57205474000000001</v>
      </c>
      <c r="I932">
        <v>0.95534660000000005</v>
      </c>
      <c r="J932">
        <v>1.3424643E-2</v>
      </c>
      <c r="K932">
        <f t="shared" si="43"/>
        <v>1</v>
      </c>
      <c r="L932">
        <f t="shared" si="44"/>
        <v>1</v>
      </c>
      <c r="M932">
        <f t="shared" si="45"/>
        <v>0</v>
      </c>
    </row>
    <row r="933" spans="1:13" x14ac:dyDescent="0.2">
      <c r="A933" t="s">
        <v>2767</v>
      </c>
      <c r="B933" t="s">
        <v>2895</v>
      </c>
      <c r="C933" t="s">
        <v>2899</v>
      </c>
      <c r="D933" t="s">
        <v>1635</v>
      </c>
      <c r="E933" t="s">
        <v>1636</v>
      </c>
      <c r="F933" t="s">
        <v>13</v>
      </c>
      <c r="G933" t="s">
        <v>14</v>
      </c>
      <c r="H933">
        <v>0.99997824000000002</v>
      </c>
      <c r="I933">
        <v>0.99999994000000003</v>
      </c>
      <c r="J933">
        <v>0.38648945000000001</v>
      </c>
      <c r="K933">
        <f t="shared" si="43"/>
        <v>1</v>
      </c>
      <c r="L933">
        <f t="shared" si="44"/>
        <v>1</v>
      </c>
      <c r="M933">
        <f t="shared" si="45"/>
        <v>0</v>
      </c>
    </row>
    <row r="934" spans="1:13" x14ac:dyDescent="0.2">
      <c r="A934" t="s">
        <v>2768</v>
      </c>
      <c r="B934" t="s">
        <v>2895</v>
      </c>
      <c r="C934" t="s">
        <v>2899</v>
      </c>
      <c r="D934" t="s">
        <v>1637</v>
      </c>
      <c r="E934" t="s">
        <v>1638</v>
      </c>
      <c r="F934" t="s">
        <v>9</v>
      </c>
      <c r="G934" t="s">
        <v>45</v>
      </c>
      <c r="H934">
        <v>0.25674960000000002</v>
      </c>
      <c r="I934" s="1">
        <v>1.2147126999999999E-7</v>
      </c>
      <c r="J934" s="1">
        <v>3.1257066000000003E-5</v>
      </c>
      <c r="K934">
        <f t="shared" si="43"/>
        <v>0</v>
      </c>
      <c r="L934">
        <f t="shared" si="44"/>
        <v>0</v>
      </c>
      <c r="M934">
        <f t="shared" si="45"/>
        <v>0</v>
      </c>
    </row>
    <row r="935" spans="1:13" x14ac:dyDescent="0.2">
      <c r="A935" t="s">
        <v>2769</v>
      </c>
      <c r="B935" t="s">
        <v>2895</v>
      </c>
      <c r="C935" t="s">
        <v>2899</v>
      </c>
      <c r="D935" t="s">
        <v>1639</v>
      </c>
      <c r="E935" t="s">
        <v>1640</v>
      </c>
      <c r="F935" t="s">
        <v>13</v>
      </c>
      <c r="G935" t="s">
        <v>45</v>
      </c>
      <c r="H935">
        <v>0.99951535000000002</v>
      </c>
      <c r="I935" s="1">
        <v>4.3370738000000001E-10</v>
      </c>
      <c r="J935" s="1">
        <v>1.1464447E-5</v>
      </c>
      <c r="K935">
        <f t="shared" si="43"/>
        <v>1</v>
      </c>
      <c r="L935">
        <f t="shared" si="44"/>
        <v>0</v>
      </c>
      <c r="M935">
        <f t="shared" si="45"/>
        <v>0</v>
      </c>
    </row>
    <row r="936" spans="1:13" x14ac:dyDescent="0.2">
      <c r="A936" t="s">
        <v>2770</v>
      </c>
      <c r="B936" t="s">
        <v>2895</v>
      </c>
      <c r="C936" t="s">
        <v>2899</v>
      </c>
      <c r="D936" t="s">
        <v>1641</v>
      </c>
      <c r="E936" t="s">
        <v>1642</v>
      </c>
      <c r="F936" t="s">
        <v>13</v>
      </c>
      <c r="G936" t="s">
        <v>65</v>
      </c>
      <c r="H936">
        <v>0.99946773</v>
      </c>
      <c r="I936">
        <v>0.99999994000000003</v>
      </c>
      <c r="J936">
        <v>0.99439089999999997</v>
      </c>
      <c r="K936">
        <f t="shared" si="43"/>
        <v>1</v>
      </c>
      <c r="L936">
        <f t="shared" si="44"/>
        <v>1</v>
      </c>
      <c r="M936">
        <f t="shared" si="45"/>
        <v>1</v>
      </c>
    </row>
    <row r="937" spans="1:13" x14ac:dyDescent="0.2">
      <c r="A937" t="s">
        <v>2771</v>
      </c>
      <c r="B937" t="s">
        <v>2895</v>
      </c>
      <c r="C937" t="s">
        <v>2899</v>
      </c>
      <c r="D937" t="s">
        <v>1643</v>
      </c>
      <c r="E937" t="s">
        <v>1644</v>
      </c>
      <c r="F937" t="s">
        <v>17</v>
      </c>
      <c r="G937" t="s">
        <v>14</v>
      </c>
      <c r="H937">
        <v>0.99998299999999996</v>
      </c>
      <c r="I937">
        <v>0.99999959999999999</v>
      </c>
      <c r="J937">
        <v>8.0166650000000006E-2</v>
      </c>
      <c r="K937">
        <f t="shared" si="43"/>
        <v>1</v>
      </c>
      <c r="L937">
        <f t="shared" si="44"/>
        <v>1</v>
      </c>
      <c r="M937">
        <f t="shared" si="45"/>
        <v>0</v>
      </c>
    </row>
    <row r="938" spans="1:13" x14ac:dyDescent="0.2">
      <c r="A938" t="s">
        <v>2772</v>
      </c>
      <c r="B938" t="s">
        <v>2895</v>
      </c>
      <c r="C938" t="s">
        <v>2899</v>
      </c>
      <c r="D938" t="s">
        <v>1645</v>
      </c>
      <c r="E938" t="s">
        <v>258</v>
      </c>
      <c r="F938" t="s">
        <v>13</v>
      </c>
      <c r="G938" t="s">
        <v>14</v>
      </c>
      <c r="H938">
        <v>0.95752906999999998</v>
      </c>
      <c r="I938">
        <v>0.99999994000000003</v>
      </c>
      <c r="J938">
        <v>0.99999696000000005</v>
      </c>
      <c r="K938">
        <f t="shared" si="43"/>
        <v>1</v>
      </c>
      <c r="L938">
        <f t="shared" si="44"/>
        <v>1</v>
      </c>
      <c r="M938">
        <f t="shared" si="45"/>
        <v>1</v>
      </c>
    </row>
    <row r="939" spans="1:13" x14ac:dyDescent="0.2">
      <c r="A939" t="s">
        <v>2773</v>
      </c>
      <c r="B939" t="s">
        <v>2895</v>
      </c>
      <c r="C939" t="s">
        <v>2899</v>
      </c>
      <c r="D939" t="s">
        <v>1646</v>
      </c>
      <c r="E939" t="s">
        <v>1248</v>
      </c>
      <c r="F939" t="s">
        <v>13</v>
      </c>
      <c r="G939" t="s">
        <v>14</v>
      </c>
      <c r="H939">
        <v>0.20016226000000001</v>
      </c>
      <c r="I939">
        <v>0.99999994000000003</v>
      </c>
      <c r="J939">
        <v>0.99999959999999999</v>
      </c>
      <c r="K939">
        <f t="shared" si="43"/>
        <v>0</v>
      </c>
      <c r="L939">
        <f t="shared" si="44"/>
        <v>1</v>
      </c>
      <c r="M939">
        <f t="shared" si="45"/>
        <v>1</v>
      </c>
    </row>
    <row r="940" spans="1:13" x14ac:dyDescent="0.2">
      <c r="A940" t="s">
        <v>2774</v>
      </c>
      <c r="B940" t="s">
        <v>2895</v>
      </c>
      <c r="C940" t="s">
        <v>2899</v>
      </c>
      <c r="D940" t="e">
        <f>-VQ-LVESGG-GLVQPGGSLRLSCAASGFTF---------SSYSMN-WVRQ-A-P-G-K--G-LE-WVSSISGT------------GSSYY--A--D--SV--K---GRFTISR-D---N-S--KN----T-LYLQMNSLRA-EDTAVYYCARDGL----------------------------DYDYWG-QGTLVTVSS</f>
        <v>#NAME?</v>
      </c>
      <c r="E940" t="s">
        <v>1647</v>
      </c>
      <c r="F940" t="s">
        <v>13</v>
      </c>
      <c r="G940" t="s">
        <v>14</v>
      </c>
      <c r="H940">
        <v>0.99991540000000001</v>
      </c>
      <c r="I940">
        <v>0.99999994000000003</v>
      </c>
      <c r="J940">
        <v>0.96293220000000002</v>
      </c>
      <c r="K940">
        <f t="shared" si="43"/>
        <v>1</v>
      </c>
      <c r="L940">
        <f t="shared" si="44"/>
        <v>1</v>
      </c>
      <c r="M940">
        <f t="shared" si="45"/>
        <v>1</v>
      </c>
    </row>
    <row r="941" spans="1:13" x14ac:dyDescent="0.2">
      <c r="A941" t="s">
        <v>2775</v>
      </c>
      <c r="B941" t="s">
        <v>2895</v>
      </c>
      <c r="C941" t="s">
        <v>2899</v>
      </c>
      <c r="D941" t="s">
        <v>1648</v>
      </c>
      <c r="E941" t="s">
        <v>1649</v>
      </c>
      <c r="F941" t="s">
        <v>17</v>
      </c>
      <c r="G941" t="s">
        <v>14</v>
      </c>
      <c r="H941">
        <v>0.99936455000000002</v>
      </c>
      <c r="I941">
        <v>0.99999994000000003</v>
      </c>
      <c r="J941">
        <v>1.4069099000000001E-4</v>
      </c>
      <c r="K941">
        <f t="shared" si="43"/>
        <v>1</v>
      </c>
      <c r="L941">
        <f t="shared" si="44"/>
        <v>1</v>
      </c>
      <c r="M941">
        <f t="shared" si="45"/>
        <v>0</v>
      </c>
    </row>
    <row r="942" spans="1:13" x14ac:dyDescent="0.2">
      <c r="A942" t="s">
        <v>2776</v>
      </c>
      <c r="B942" t="s">
        <v>2895</v>
      </c>
      <c r="C942" t="s">
        <v>2899</v>
      </c>
      <c r="D942" t="s">
        <v>1650</v>
      </c>
      <c r="E942" t="s">
        <v>1651</v>
      </c>
      <c r="F942" t="s">
        <v>17</v>
      </c>
      <c r="G942" t="s">
        <v>14</v>
      </c>
      <c r="H942" s="1">
        <v>3.4916644999999999E-6</v>
      </c>
      <c r="I942">
        <v>0.99999886999999998</v>
      </c>
      <c r="J942">
        <v>0.13780327000000001</v>
      </c>
      <c r="K942">
        <f t="shared" si="43"/>
        <v>0</v>
      </c>
      <c r="L942">
        <f t="shared" si="44"/>
        <v>1</v>
      </c>
      <c r="M942">
        <f t="shared" si="45"/>
        <v>0</v>
      </c>
    </row>
    <row r="943" spans="1:13" x14ac:dyDescent="0.2">
      <c r="A943" t="s">
        <v>2777</v>
      </c>
      <c r="B943" t="s">
        <v>2895</v>
      </c>
      <c r="C943" t="s">
        <v>2899</v>
      </c>
      <c r="D943" t="s">
        <v>1652</v>
      </c>
      <c r="E943" t="s">
        <v>1653</v>
      </c>
      <c r="F943" t="s">
        <v>13</v>
      </c>
      <c r="G943" t="s">
        <v>14</v>
      </c>
      <c r="H943">
        <v>0.99996320000000005</v>
      </c>
      <c r="I943">
        <v>0.99999994000000003</v>
      </c>
      <c r="J943">
        <v>0.99997026</v>
      </c>
      <c r="K943">
        <f t="shared" si="43"/>
        <v>1</v>
      </c>
      <c r="L943">
        <f t="shared" si="44"/>
        <v>1</v>
      </c>
      <c r="M943">
        <f t="shared" si="45"/>
        <v>1</v>
      </c>
    </row>
    <row r="944" spans="1:13" x14ac:dyDescent="0.2">
      <c r="A944" t="s">
        <v>2778</v>
      </c>
      <c r="B944" t="s">
        <v>2895</v>
      </c>
      <c r="C944" t="s">
        <v>2899</v>
      </c>
      <c r="D944" t="s">
        <v>1654</v>
      </c>
      <c r="E944" t="s">
        <v>128</v>
      </c>
      <c r="F944" t="s">
        <v>13</v>
      </c>
      <c r="G944" t="s">
        <v>14</v>
      </c>
      <c r="H944">
        <v>0.99999934000000001</v>
      </c>
      <c r="I944">
        <v>0.9999903</v>
      </c>
      <c r="J944">
        <v>0.4192958</v>
      </c>
      <c r="K944">
        <f t="shared" si="43"/>
        <v>1</v>
      </c>
      <c r="L944">
        <f t="shared" si="44"/>
        <v>1</v>
      </c>
      <c r="M944">
        <f t="shared" si="45"/>
        <v>0</v>
      </c>
    </row>
    <row r="945" spans="1:13" x14ac:dyDescent="0.2">
      <c r="A945" t="s">
        <v>2779</v>
      </c>
      <c r="B945" t="s">
        <v>2895</v>
      </c>
      <c r="C945" t="s">
        <v>2899</v>
      </c>
      <c r="D945" t="s">
        <v>1655</v>
      </c>
      <c r="E945" t="s">
        <v>1656</v>
      </c>
      <c r="F945" t="s">
        <v>60</v>
      </c>
      <c r="G945" t="s">
        <v>40</v>
      </c>
      <c r="H945">
        <v>0.28232153999999998</v>
      </c>
      <c r="I945">
        <v>0.99999994000000003</v>
      </c>
      <c r="J945">
        <v>0.51669670000000001</v>
      </c>
      <c r="K945">
        <f t="shared" si="43"/>
        <v>0</v>
      </c>
      <c r="L945">
        <f t="shared" si="44"/>
        <v>1</v>
      </c>
      <c r="M945">
        <f t="shared" si="45"/>
        <v>1</v>
      </c>
    </row>
    <row r="946" spans="1:13" x14ac:dyDescent="0.2">
      <c r="A946" t="s">
        <v>2780</v>
      </c>
      <c r="B946" t="s">
        <v>2895</v>
      </c>
      <c r="C946" t="s">
        <v>2899</v>
      </c>
      <c r="D946" t="s">
        <v>1657</v>
      </c>
      <c r="E946" t="s">
        <v>147</v>
      </c>
      <c r="F946" t="s">
        <v>13</v>
      </c>
      <c r="G946" t="s">
        <v>14</v>
      </c>
      <c r="H946">
        <v>0.99999994000000003</v>
      </c>
      <c r="I946">
        <v>0.99933510000000003</v>
      </c>
      <c r="J946">
        <v>0.99562839999999997</v>
      </c>
      <c r="K946">
        <f t="shared" si="43"/>
        <v>1</v>
      </c>
      <c r="L946">
        <f t="shared" si="44"/>
        <v>1</v>
      </c>
      <c r="M946">
        <f t="shared" si="45"/>
        <v>1</v>
      </c>
    </row>
    <row r="947" spans="1:13" x14ac:dyDescent="0.2">
      <c r="A947" t="s">
        <v>2781</v>
      </c>
      <c r="B947" t="s">
        <v>2895</v>
      </c>
      <c r="C947" t="s">
        <v>2899</v>
      </c>
      <c r="D947" t="e">
        <f>-VQ-LKESGP-GLVAPSQSLSITCTVSGFSL---------TTYGVW-WIRQ-P-P-G-K--G-LE-WLGVIWAG------------GSTNY--N--P--SL--K---SRITISR-D---N-S--KN----F-LYLQMNSLRA-EDTAVYYCARVG-----------------------------YLWYWG-QGTLVTVFN</f>
        <v>#NAME?</v>
      </c>
      <c r="E947" t="s">
        <v>1658</v>
      </c>
      <c r="F947" t="s">
        <v>17</v>
      </c>
      <c r="G947" t="s">
        <v>14</v>
      </c>
      <c r="H947">
        <v>8.2843849999999997E-2</v>
      </c>
      <c r="I947">
        <v>0.99993080000000001</v>
      </c>
      <c r="J947">
        <v>0.96431920000000004</v>
      </c>
      <c r="K947">
        <f t="shared" si="43"/>
        <v>0</v>
      </c>
      <c r="L947">
        <f t="shared" si="44"/>
        <v>1</v>
      </c>
      <c r="M947">
        <f t="shared" si="45"/>
        <v>1</v>
      </c>
    </row>
    <row r="948" spans="1:13" x14ac:dyDescent="0.2">
      <c r="A948" t="s">
        <v>2782</v>
      </c>
      <c r="B948" t="s">
        <v>2895</v>
      </c>
      <c r="C948" t="s">
        <v>2899</v>
      </c>
      <c r="D948" t="s">
        <v>1659</v>
      </c>
      <c r="E948" t="s">
        <v>1660</v>
      </c>
      <c r="F948" t="s">
        <v>9</v>
      </c>
      <c r="G948" t="s">
        <v>10</v>
      </c>
      <c r="H948">
        <v>0.99999979999999999</v>
      </c>
      <c r="I948">
        <v>0.97181609999999996</v>
      </c>
      <c r="J948" s="1">
        <v>6.4346159999999994E-5</v>
      </c>
      <c r="K948">
        <f t="shared" si="43"/>
        <v>1</v>
      </c>
      <c r="L948">
        <f t="shared" si="44"/>
        <v>1</v>
      </c>
      <c r="M948">
        <f t="shared" si="45"/>
        <v>0</v>
      </c>
    </row>
    <row r="949" spans="1:13" x14ac:dyDescent="0.2">
      <c r="A949" t="s">
        <v>2783</v>
      </c>
      <c r="B949" t="s">
        <v>2895</v>
      </c>
      <c r="C949" t="s">
        <v>2899</v>
      </c>
      <c r="D949" t="s">
        <v>1661</v>
      </c>
      <c r="E949" t="s">
        <v>1662</v>
      </c>
      <c r="F949" t="s">
        <v>13</v>
      </c>
      <c r="G949" t="s">
        <v>14</v>
      </c>
      <c r="H949">
        <v>0.9998591</v>
      </c>
      <c r="I949">
        <v>0.99999994000000003</v>
      </c>
      <c r="J949">
        <v>0.86729690000000004</v>
      </c>
      <c r="K949">
        <f t="shared" si="43"/>
        <v>1</v>
      </c>
      <c r="L949">
        <f t="shared" si="44"/>
        <v>1</v>
      </c>
      <c r="M949">
        <f t="shared" si="45"/>
        <v>1</v>
      </c>
    </row>
    <row r="950" spans="1:13" x14ac:dyDescent="0.2">
      <c r="A950" t="s">
        <v>2784</v>
      </c>
      <c r="B950" t="s">
        <v>2895</v>
      </c>
      <c r="C950" t="s">
        <v>2899</v>
      </c>
      <c r="D950" t="s">
        <v>1663</v>
      </c>
      <c r="E950" t="s">
        <v>1664</v>
      </c>
      <c r="F950" t="s">
        <v>17</v>
      </c>
      <c r="G950" t="s">
        <v>10</v>
      </c>
      <c r="H950">
        <v>0.99999994000000003</v>
      </c>
      <c r="I950">
        <v>0.99999994000000003</v>
      </c>
      <c r="J950">
        <v>0.99627900000000003</v>
      </c>
      <c r="K950">
        <f t="shared" si="43"/>
        <v>1</v>
      </c>
      <c r="L950">
        <f t="shared" si="44"/>
        <v>1</v>
      </c>
      <c r="M950">
        <f t="shared" si="45"/>
        <v>1</v>
      </c>
    </row>
    <row r="951" spans="1:13" x14ac:dyDescent="0.2">
      <c r="A951" t="s">
        <v>2785</v>
      </c>
      <c r="B951" t="s">
        <v>2895</v>
      </c>
      <c r="C951" t="s">
        <v>2899</v>
      </c>
      <c r="D951" t="s">
        <v>1665</v>
      </c>
      <c r="E951" t="s">
        <v>1529</v>
      </c>
      <c r="F951" t="s">
        <v>13</v>
      </c>
      <c r="G951" t="s">
        <v>14</v>
      </c>
      <c r="H951">
        <v>0.99867620000000001</v>
      </c>
      <c r="I951" s="1">
        <v>3.5242294000000002E-9</v>
      </c>
      <c r="J951">
        <v>5.4313559999999997E-2</v>
      </c>
      <c r="K951">
        <f t="shared" si="43"/>
        <v>1</v>
      </c>
      <c r="L951">
        <f t="shared" si="44"/>
        <v>0</v>
      </c>
      <c r="M951">
        <f t="shared" si="45"/>
        <v>0</v>
      </c>
    </row>
    <row r="952" spans="1:13" x14ac:dyDescent="0.2">
      <c r="A952" t="s">
        <v>2786</v>
      </c>
      <c r="B952" t="s">
        <v>2896</v>
      </c>
      <c r="C952" t="s">
        <v>2899</v>
      </c>
      <c r="D952" t="s">
        <v>1666</v>
      </c>
      <c r="E952" t="s">
        <v>1667</v>
      </c>
      <c r="F952" t="s">
        <v>9</v>
      </c>
      <c r="G952" t="s">
        <v>65</v>
      </c>
      <c r="H952">
        <v>0.86022920000000003</v>
      </c>
      <c r="I952">
        <v>0.99999994000000003</v>
      </c>
      <c r="J952">
        <v>0.27566605999999999</v>
      </c>
      <c r="K952">
        <f t="shared" si="43"/>
        <v>1</v>
      </c>
      <c r="L952">
        <f t="shared" si="44"/>
        <v>1</v>
      </c>
      <c r="M952">
        <f t="shared" si="45"/>
        <v>0</v>
      </c>
    </row>
    <row r="953" spans="1:13" x14ac:dyDescent="0.2">
      <c r="A953" t="s">
        <v>2787</v>
      </c>
      <c r="B953" t="s">
        <v>2896</v>
      </c>
      <c r="C953" t="s">
        <v>2899</v>
      </c>
      <c r="D953" t="s">
        <v>1668</v>
      </c>
      <c r="E953" t="s">
        <v>142</v>
      </c>
      <c r="F953" t="s">
        <v>9</v>
      </c>
      <c r="G953" t="s">
        <v>143</v>
      </c>
      <c r="H953">
        <v>1.4871590000000001E-3</v>
      </c>
      <c r="I953" s="1">
        <v>1.5476132000000001E-8</v>
      </c>
      <c r="J953">
        <v>0.80923710000000004</v>
      </c>
      <c r="K953">
        <f t="shared" si="43"/>
        <v>0</v>
      </c>
      <c r="L953">
        <f t="shared" si="44"/>
        <v>0</v>
      </c>
      <c r="M953">
        <f t="shared" si="45"/>
        <v>1</v>
      </c>
    </row>
    <row r="954" spans="1:13" x14ac:dyDescent="0.2">
      <c r="A954" t="s">
        <v>2788</v>
      </c>
      <c r="B954" t="s">
        <v>2896</v>
      </c>
      <c r="C954" t="s">
        <v>2899</v>
      </c>
      <c r="D954" t="e">
        <f>-VQ-LQQSGP-GLVKPSQTLSLTCTVTGISST--------DYAYWS-WIRQ-P-P-G-K--G-LE-WIGSIYP-------------GDTSY--N--P--SL--K---SRVTISV-D---T-S--KN----Q-FSLKLSSVTA-ADTAVYYCARQGYAGY----------------------DSGYYYSWG-QGTLVTVSS</f>
        <v>#NAME?</v>
      </c>
      <c r="E954" t="s">
        <v>1669</v>
      </c>
      <c r="F954" t="s">
        <v>17</v>
      </c>
      <c r="G954" t="s">
        <v>10</v>
      </c>
      <c r="H954">
        <v>0.99999994000000003</v>
      </c>
      <c r="I954">
        <v>0.99999859999999996</v>
      </c>
      <c r="J954">
        <v>1.5447750000000001E-4</v>
      </c>
      <c r="K954">
        <f t="shared" si="43"/>
        <v>1</v>
      </c>
      <c r="L954">
        <f t="shared" si="44"/>
        <v>1</v>
      </c>
      <c r="M954">
        <f t="shared" si="45"/>
        <v>0</v>
      </c>
    </row>
    <row r="955" spans="1:13" x14ac:dyDescent="0.2">
      <c r="A955" t="s">
        <v>2789</v>
      </c>
      <c r="B955" t="s">
        <v>2896</v>
      </c>
      <c r="C955" t="s">
        <v>2899</v>
      </c>
      <c r="D955" t="s">
        <v>1670</v>
      </c>
      <c r="E955" t="s">
        <v>1671</v>
      </c>
      <c r="F955" t="s">
        <v>9</v>
      </c>
      <c r="G955" t="s">
        <v>14</v>
      </c>
      <c r="H955">
        <v>9.9626009999999997E-3</v>
      </c>
      <c r="I955" s="1">
        <v>4.041923E-8</v>
      </c>
      <c r="J955" s="1">
        <v>7.4984586999999996E-7</v>
      </c>
      <c r="K955">
        <f t="shared" si="43"/>
        <v>0</v>
      </c>
      <c r="L955">
        <f t="shared" si="44"/>
        <v>0</v>
      </c>
      <c r="M955">
        <f t="shared" si="45"/>
        <v>0</v>
      </c>
    </row>
    <row r="956" spans="1:13" x14ac:dyDescent="0.2">
      <c r="A956" t="s">
        <v>2790</v>
      </c>
      <c r="B956" t="s">
        <v>2896</v>
      </c>
      <c r="C956" t="s">
        <v>2899</v>
      </c>
      <c r="D956" t="s">
        <v>1672</v>
      </c>
      <c r="E956" t="s">
        <v>399</v>
      </c>
      <c r="F956" t="s">
        <v>9</v>
      </c>
      <c r="G956" t="s">
        <v>14</v>
      </c>
      <c r="H956">
        <v>0.99995655000000006</v>
      </c>
      <c r="I956">
        <v>0.99999994000000003</v>
      </c>
      <c r="J956">
        <v>0.99999623999999998</v>
      </c>
      <c r="K956">
        <f t="shared" si="43"/>
        <v>1</v>
      </c>
      <c r="L956">
        <f t="shared" si="44"/>
        <v>1</v>
      </c>
      <c r="M956">
        <f t="shared" si="45"/>
        <v>1</v>
      </c>
    </row>
    <row r="957" spans="1:13" x14ac:dyDescent="0.2">
      <c r="A957" t="s">
        <v>2791</v>
      </c>
      <c r="B957" t="s">
        <v>2896</v>
      </c>
      <c r="C957" t="s">
        <v>2899</v>
      </c>
      <c r="D957" t="s">
        <v>1673</v>
      </c>
      <c r="E957" t="s">
        <v>1674</v>
      </c>
      <c r="F957" t="s">
        <v>9</v>
      </c>
      <c r="G957" t="s">
        <v>45</v>
      </c>
      <c r="H957">
        <v>9.9063180000000001E-2</v>
      </c>
      <c r="I957" s="1">
        <v>3.2653856999999998E-5</v>
      </c>
      <c r="J957" s="1">
        <v>7.8967830000000002E-8</v>
      </c>
      <c r="K957">
        <f t="shared" si="43"/>
        <v>0</v>
      </c>
      <c r="L957">
        <f t="shared" si="44"/>
        <v>0</v>
      </c>
      <c r="M957">
        <f t="shared" si="45"/>
        <v>0</v>
      </c>
    </row>
    <row r="958" spans="1:13" x14ac:dyDescent="0.2">
      <c r="A958" t="s">
        <v>2792</v>
      </c>
      <c r="B958" t="s">
        <v>2896</v>
      </c>
      <c r="C958" t="s">
        <v>2899</v>
      </c>
      <c r="D958" t="s">
        <v>1675</v>
      </c>
      <c r="E958" t="s">
        <v>1676</v>
      </c>
      <c r="F958" t="s">
        <v>13</v>
      </c>
      <c r="G958" t="s">
        <v>212</v>
      </c>
      <c r="H958">
        <v>0.99999994000000003</v>
      </c>
      <c r="I958">
        <v>0.99999994000000003</v>
      </c>
      <c r="J958">
        <v>0.99999979999999999</v>
      </c>
      <c r="K958">
        <f t="shared" si="43"/>
        <v>1</v>
      </c>
      <c r="L958">
        <f t="shared" si="44"/>
        <v>1</v>
      </c>
      <c r="M958">
        <f t="shared" si="45"/>
        <v>1</v>
      </c>
    </row>
    <row r="959" spans="1:13" x14ac:dyDescent="0.2">
      <c r="A959" t="s">
        <v>2793</v>
      </c>
      <c r="B959" t="s">
        <v>2896</v>
      </c>
      <c r="C959" t="s">
        <v>2899</v>
      </c>
      <c r="D959" t="s">
        <v>1677</v>
      </c>
      <c r="E959" t="s">
        <v>1678</v>
      </c>
      <c r="F959" t="s">
        <v>13</v>
      </c>
      <c r="G959" t="s">
        <v>14</v>
      </c>
      <c r="H959">
        <v>0.99999994000000003</v>
      </c>
      <c r="I959">
        <v>0.99999994000000003</v>
      </c>
      <c r="J959">
        <v>2.7344675999999998E-2</v>
      </c>
      <c r="K959">
        <f t="shared" si="43"/>
        <v>1</v>
      </c>
      <c r="L959">
        <f t="shared" si="44"/>
        <v>1</v>
      </c>
      <c r="M959">
        <f t="shared" si="45"/>
        <v>0</v>
      </c>
    </row>
    <row r="960" spans="1:13" x14ac:dyDescent="0.2">
      <c r="A960" t="s">
        <v>2794</v>
      </c>
      <c r="B960" t="s">
        <v>2896</v>
      </c>
      <c r="C960" t="s">
        <v>2899</v>
      </c>
      <c r="D960" t="s">
        <v>1679</v>
      </c>
      <c r="E960" t="s">
        <v>1680</v>
      </c>
      <c r="F960" t="s">
        <v>9</v>
      </c>
      <c r="G960" t="s">
        <v>14</v>
      </c>
      <c r="H960">
        <v>0.99999979999999999</v>
      </c>
      <c r="I960">
        <v>0.99999994000000003</v>
      </c>
      <c r="J960">
        <v>0.99477079999999996</v>
      </c>
      <c r="K960">
        <f t="shared" si="43"/>
        <v>1</v>
      </c>
      <c r="L960">
        <f t="shared" si="44"/>
        <v>1</v>
      </c>
      <c r="M960">
        <f t="shared" si="45"/>
        <v>1</v>
      </c>
    </row>
    <row r="961" spans="1:13" x14ac:dyDescent="0.2">
      <c r="A961" t="s">
        <v>2795</v>
      </c>
      <c r="B961" t="s">
        <v>2896</v>
      </c>
      <c r="C961" t="s">
        <v>2899</v>
      </c>
      <c r="D961" t="s">
        <v>1681</v>
      </c>
      <c r="E961" t="s">
        <v>1682</v>
      </c>
      <c r="F961" t="s">
        <v>13</v>
      </c>
      <c r="G961" t="s">
        <v>18</v>
      </c>
      <c r="H961">
        <v>0.99997599999999998</v>
      </c>
      <c r="I961">
        <v>0.99999994000000003</v>
      </c>
      <c r="J961">
        <v>1.1485341E-2</v>
      </c>
      <c r="K961">
        <f t="shared" si="43"/>
        <v>1</v>
      </c>
      <c r="L961">
        <f t="shared" si="44"/>
        <v>1</v>
      </c>
      <c r="M961">
        <f t="shared" si="45"/>
        <v>0</v>
      </c>
    </row>
    <row r="962" spans="1:13" x14ac:dyDescent="0.2">
      <c r="A962" t="s">
        <v>2796</v>
      </c>
      <c r="B962" t="s">
        <v>2896</v>
      </c>
      <c r="C962" t="s">
        <v>2899</v>
      </c>
      <c r="D962" t="s">
        <v>1683</v>
      </c>
      <c r="E962" t="s">
        <v>1684</v>
      </c>
      <c r="F962" t="s">
        <v>13</v>
      </c>
      <c r="G962" t="s">
        <v>10</v>
      </c>
      <c r="H962">
        <v>0.99999994000000003</v>
      </c>
      <c r="I962">
        <v>0.99999994000000003</v>
      </c>
      <c r="J962">
        <v>5.4700717000000003E-2</v>
      </c>
      <c r="K962">
        <f t="shared" si="43"/>
        <v>1</v>
      </c>
      <c r="L962">
        <f t="shared" si="44"/>
        <v>1</v>
      </c>
      <c r="M962">
        <f t="shared" si="45"/>
        <v>0</v>
      </c>
    </row>
    <row r="963" spans="1:13" x14ac:dyDescent="0.2">
      <c r="A963" t="s">
        <v>2797</v>
      </c>
      <c r="B963" t="s">
        <v>2896</v>
      </c>
      <c r="C963" t="s">
        <v>2899</v>
      </c>
      <c r="D963" t="e">
        <f>-VQ-LVESGG-GLVQPGGSLRLSCAASGFSL---------SSYAMS-WVRQ-A-P-G-K--G-LE-WVSYISSG------------GGTYY--A--D--SV--K---GRFTISA-D---T-S--KN----T-AYLQM---RA-EDTAVYYCAREYYGWGY--------------------GSGYAMDYWG-QGTLVTVSS</f>
        <v>#NAME?</v>
      </c>
      <c r="E963" t="s">
        <v>1685</v>
      </c>
      <c r="F963" t="s">
        <v>13</v>
      </c>
      <c r="G963" t="s">
        <v>14</v>
      </c>
      <c r="H963">
        <v>0.99999945999999995</v>
      </c>
      <c r="I963">
        <v>0.99999720000000003</v>
      </c>
      <c r="J963">
        <v>2.2116610000000002E-3</v>
      </c>
      <c r="K963">
        <f t="shared" ref="K963:K1026" si="46">IF(H963&gt;=0.5,1,0)</f>
        <v>1</v>
      </c>
      <c r="L963">
        <f t="shared" ref="L963:L1026" si="47">IF(I963&gt;=0.5,1,0)</f>
        <v>1</v>
      </c>
      <c r="M963">
        <f t="shared" ref="M963:M1026" si="48">IF(J963&gt;=0.5,1,0)</f>
        <v>0</v>
      </c>
    </row>
    <row r="964" spans="1:13" x14ac:dyDescent="0.2">
      <c r="A964" t="s">
        <v>2798</v>
      </c>
      <c r="B964" t="s">
        <v>2896</v>
      </c>
      <c r="C964" t="s">
        <v>2899</v>
      </c>
      <c r="D964" t="s">
        <v>1686</v>
      </c>
      <c r="E964" t="s">
        <v>1687</v>
      </c>
      <c r="F964" t="s">
        <v>13</v>
      </c>
      <c r="G964" t="s">
        <v>14</v>
      </c>
      <c r="H964">
        <v>0.75117385000000003</v>
      </c>
      <c r="I964">
        <v>0.99999994000000003</v>
      </c>
      <c r="J964">
        <v>9.0500707000000004E-4</v>
      </c>
      <c r="K964">
        <f t="shared" si="46"/>
        <v>1</v>
      </c>
      <c r="L964">
        <f t="shared" si="47"/>
        <v>1</v>
      </c>
      <c r="M964">
        <f t="shared" si="48"/>
        <v>0</v>
      </c>
    </row>
    <row r="965" spans="1:13" x14ac:dyDescent="0.2">
      <c r="A965" t="s">
        <v>2799</v>
      </c>
      <c r="B965" t="s">
        <v>2896</v>
      </c>
      <c r="C965" t="s">
        <v>2899</v>
      </c>
      <c r="D965" t="s">
        <v>1688</v>
      </c>
      <c r="E965" t="s">
        <v>1689</v>
      </c>
      <c r="F965" t="s">
        <v>13</v>
      </c>
      <c r="G965" t="s">
        <v>14</v>
      </c>
      <c r="H965">
        <v>0.99998635000000002</v>
      </c>
      <c r="I965">
        <v>0.99999994000000003</v>
      </c>
      <c r="J965">
        <v>0.96030789999999999</v>
      </c>
      <c r="K965">
        <f t="shared" si="46"/>
        <v>1</v>
      </c>
      <c r="L965">
        <f t="shared" si="47"/>
        <v>1</v>
      </c>
      <c r="M965">
        <f t="shared" si="48"/>
        <v>1</v>
      </c>
    </row>
    <row r="966" spans="1:13" x14ac:dyDescent="0.2">
      <c r="A966" t="s">
        <v>2800</v>
      </c>
      <c r="B966" t="s">
        <v>2896</v>
      </c>
      <c r="C966" t="s">
        <v>2899</v>
      </c>
      <c r="D966" t="e">
        <f>-VQ-LVQSGA-EVKKPGASVKVSCKASGYTF---------TSYYMY-WVRQ-A-P-G-Q--G-LE-WMGWINPN-----------SGGTNY--A--Q--KL--Q---GRVTMTT-D---T-S--TS----T-AYMELRSLRS-DDTAVYYCARGEG---------------------------WYFDYWG-QGTLVTVSS</f>
        <v>#NAME?</v>
      </c>
      <c r="E966" t="s">
        <v>1248</v>
      </c>
      <c r="F966" t="s">
        <v>9</v>
      </c>
      <c r="G966" t="s">
        <v>14</v>
      </c>
      <c r="H966">
        <v>0.99146484999999995</v>
      </c>
      <c r="I966">
        <v>0.99999994000000003</v>
      </c>
      <c r="J966">
        <v>0.999942</v>
      </c>
      <c r="K966">
        <f t="shared" si="46"/>
        <v>1</v>
      </c>
      <c r="L966">
        <f t="shared" si="47"/>
        <v>1</v>
      </c>
      <c r="M966">
        <f t="shared" si="48"/>
        <v>1</v>
      </c>
    </row>
    <row r="967" spans="1:13" x14ac:dyDescent="0.2">
      <c r="A967" t="s">
        <v>2801</v>
      </c>
      <c r="B967" t="s">
        <v>2896</v>
      </c>
      <c r="C967" t="s">
        <v>2899</v>
      </c>
      <c r="D967" t="s">
        <v>1690</v>
      </c>
      <c r="E967" t="s">
        <v>1691</v>
      </c>
      <c r="F967" t="s">
        <v>9</v>
      </c>
      <c r="G967" t="s">
        <v>14</v>
      </c>
      <c r="H967" s="1">
        <v>5.3196976999999998E-6</v>
      </c>
      <c r="I967">
        <v>0.99999994000000003</v>
      </c>
      <c r="J967">
        <v>2.1134826E-4</v>
      </c>
      <c r="K967">
        <f t="shared" si="46"/>
        <v>0</v>
      </c>
      <c r="L967">
        <f t="shared" si="47"/>
        <v>1</v>
      </c>
      <c r="M967">
        <f t="shared" si="48"/>
        <v>0</v>
      </c>
    </row>
    <row r="968" spans="1:13" x14ac:dyDescent="0.2">
      <c r="A968" t="s">
        <v>2802</v>
      </c>
      <c r="B968" t="s">
        <v>2896</v>
      </c>
      <c r="C968" t="s">
        <v>2899</v>
      </c>
      <c r="D968" t="s">
        <v>1692</v>
      </c>
      <c r="E968" t="s">
        <v>1693</v>
      </c>
      <c r="F968" t="s">
        <v>13</v>
      </c>
      <c r="G968" t="s">
        <v>14</v>
      </c>
      <c r="H968">
        <v>0.99999970000000005</v>
      </c>
      <c r="I968">
        <v>0.99999994000000003</v>
      </c>
      <c r="J968">
        <v>0.89180760000000003</v>
      </c>
      <c r="K968">
        <f t="shared" si="46"/>
        <v>1</v>
      </c>
      <c r="L968">
        <f t="shared" si="47"/>
        <v>1</v>
      </c>
      <c r="M968">
        <f t="shared" si="48"/>
        <v>1</v>
      </c>
    </row>
    <row r="969" spans="1:13" x14ac:dyDescent="0.2">
      <c r="A969" t="s">
        <v>2803</v>
      </c>
      <c r="B969" t="s">
        <v>2896</v>
      </c>
      <c r="C969" t="s">
        <v>2899</v>
      </c>
      <c r="D969" t="e">
        <f>-VQ-LVQSGA-EVKKPGASVKVSCKASGYTF---------TSYYMY-WVRQ-A-P-G-Q--G-LE-WMGWINNS------------GNTNY--A--Q--KF--Q---GRVTMTR-D---T-S--TS----T-VYMEL---RS-DDTAVYYCVKGSSY--------------------------SGYDYWG-QGTLVTVSS</f>
        <v>#NAME?</v>
      </c>
      <c r="E969" t="s">
        <v>1694</v>
      </c>
      <c r="F969" t="s">
        <v>9</v>
      </c>
      <c r="G969" t="s">
        <v>212</v>
      </c>
      <c r="H969">
        <v>0.99999959999999999</v>
      </c>
      <c r="I969">
        <v>0.99997382999999995</v>
      </c>
      <c r="J969">
        <v>0.93831010000000004</v>
      </c>
      <c r="K969">
        <f t="shared" si="46"/>
        <v>1</v>
      </c>
      <c r="L969">
        <f t="shared" si="47"/>
        <v>1</v>
      </c>
      <c r="M969">
        <f t="shared" si="48"/>
        <v>1</v>
      </c>
    </row>
    <row r="970" spans="1:13" x14ac:dyDescent="0.2">
      <c r="A970" t="s">
        <v>2804</v>
      </c>
      <c r="B970" t="s">
        <v>2896</v>
      </c>
      <c r="C970" t="s">
        <v>2899</v>
      </c>
      <c r="D970" t="s">
        <v>207</v>
      </c>
      <c r="E970" t="s">
        <v>634</v>
      </c>
      <c r="F970" t="s">
        <v>9</v>
      </c>
      <c r="G970" t="s">
        <v>10</v>
      </c>
      <c r="H970">
        <v>0.8016913</v>
      </c>
      <c r="I970" s="1">
        <v>3.9501170000000004E-6</v>
      </c>
      <c r="J970">
        <v>1.4216321999999999E-4</v>
      </c>
      <c r="K970">
        <f t="shared" si="46"/>
        <v>1</v>
      </c>
      <c r="L970">
        <f t="shared" si="47"/>
        <v>0</v>
      </c>
      <c r="M970">
        <f t="shared" si="48"/>
        <v>0</v>
      </c>
    </row>
    <row r="971" spans="1:13" x14ac:dyDescent="0.2">
      <c r="A971" t="s">
        <v>2805</v>
      </c>
      <c r="B971" t="s">
        <v>2896</v>
      </c>
      <c r="C971" t="s">
        <v>2899</v>
      </c>
      <c r="D971" t="s">
        <v>1695</v>
      </c>
      <c r="E971" t="s">
        <v>1696</v>
      </c>
      <c r="F971" t="s">
        <v>9</v>
      </c>
      <c r="G971" t="s">
        <v>10</v>
      </c>
      <c r="H971">
        <v>0.99316939999999998</v>
      </c>
      <c r="I971">
        <v>6.109345E-4</v>
      </c>
      <c r="J971">
        <v>1.5865769E-3</v>
      </c>
      <c r="K971">
        <f t="shared" si="46"/>
        <v>1</v>
      </c>
      <c r="L971">
        <f t="shared" si="47"/>
        <v>0</v>
      </c>
      <c r="M971">
        <f t="shared" si="48"/>
        <v>0</v>
      </c>
    </row>
    <row r="972" spans="1:13" x14ac:dyDescent="0.2">
      <c r="A972" t="s">
        <v>2806</v>
      </c>
      <c r="B972" t="s">
        <v>2896</v>
      </c>
      <c r="C972" t="s">
        <v>2899</v>
      </c>
      <c r="D972" t="s">
        <v>1697</v>
      </c>
      <c r="E972" t="s">
        <v>1698</v>
      </c>
      <c r="F972" t="s">
        <v>13</v>
      </c>
      <c r="G972" t="s">
        <v>10</v>
      </c>
      <c r="H972">
        <v>0.99998240000000005</v>
      </c>
      <c r="I972">
        <v>0.99999994000000003</v>
      </c>
      <c r="J972">
        <v>0.98559903999999998</v>
      </c>
      <c r="K972">
        <f t="shared" si="46"/>
        <v>1</v>
      </c>
      <c r="L972">
        <f t="shared" si="47"/>
        <v>1</v>
      </c>
      <c r="M972">
        <f t="shared" si="48"/>
        <v>1</v>
      </c>
    </row>
    <row r="973" spans="1:13" x14ac:dyDescent="0.2">
      <c r="A973" t="s">
        <v>2807</v>
      </c>
      <c r="B973" t="s">
        <v>2896</v>
      </c>
      <c r="C973" t="s">
        <v>2899</v>
      </c>
      <c r="D973" t="s">
        <v>1699</v>
      </c>
      <c r="E973" t="s">
        <v>1700</v>
      </c>
      <c r="F973" t="s">
        <v>13</v>
      </c>
      <c r="G973" t="s">
        <v>14</v>
      </c>
      <c r="H973">
        <v>0.99999459999999996</v>
      </c>
      <c r="I973">
        <v>0.99998885000000004</v>
      </c>
      <c r="J973">
        <v>0.99883549999999999</v>
      </c>
      <c r="K973">
        <f t="shared" si="46"/>
        <v>1</v>
      </c>
      <c r="L973">
        <f t="shared" si="47"/>
        <v>1</v>
      </c>
      <c r="M973">
        <f t="shared" si="48"/>
        <v>1</v>
      </c>
    </row>
    <row r="974" spans="1:13" x14ac:dyDescent="0.2">
      <c r="A974" t="s">
        <v>2808</v>
      </c>
      <c r="B974" t="s">
        <v>2896</v>
      </c>
      <c r="C974" t="s">
        <v>2899</v>
      </c>
      <c r="D974" t="s">
        <v>1701</v>
      </c>
      <c r="E974" t="s">
        <v>1702</v>
      </c>
      <c r="F974" t="s">
        <v>9</v>
      </c>
      <c r="G974" t="s">
        <v>143</v>
      </c>
      <c r="H974">
        <v>9.3051960000000003E-2</v>
      </c>
      <c r="I974" s="1">
        <v>1.4987619000000001E-9</v>
      </c>
      <c r="J974">
        <v>1.2643858000000001E-3</v>
      </c>
      <c r="K974">
        <f t="shared" si="46"/>
        <v>0</v>
      </c>
      <c r="L974">
        <f t="shared" si="47"/>
        <v>0</v>
      </c>
      <c r="M974">
        <f t="shared" si="48"/>
        <v>0</v>
      </c>
    </row>
    <row r="975" spans="1:13" x14ac:dyDescent="0.2">
      <c r="A975" t="s">
        <v>2809</v>
      </c>
      <c r="B975" t="s">
        <v>2896</v>
      </c>
      <c r="C975" t="s">
        <v>2899</v>
      </c>
      <c r="D975" t="s">
        <v>1703</v>
      </c>
      <c r="E975" t="s">
        <v>1704</v>
      </c>
      <c r="F975" t="s">
        <v>13</v>
      </c>
      <c r="G975" t="s">
        <v>14</v>
      </c>
      <c r="H975">
        <v>0.99951416000000004</v>
      </c>
      <c r="I975">
        <v>0.99932960000000004</v>
      </c>
      <c r="J975">
        <v>0.95972199999999996</v>
      </c>
      <c r="K975">
        <f t="shared" si="46"/>
        <v>1</v>
      </c>
      <c r="L975">
        <f t="shared" si="47"/>
        <v>1</v>
      </c>
      <c r="M975">
        <f t="shared" si="48"/>
        <v>1</v>
      </c>
    </row>
    <row r="976" spans="1:13" x14ac:dyDescent="0.2">
      <c r="A976" t="s">
        <v>2810</v>
      </c>
      <c r="B976" t="s">
        <v>2896</v>
      </c>
      <c r="C976" t="s">
        <v>2899</v>
      </c>
      <c r="D976" t="e">
        <f>--K-LVESGG-GLVQPGGSLRLTCSASTVFF----------HNAMY-WVRQ-A-P-G-K--G-LE-WVGRIDPD-----------SENTYY--A--S--WA--K---GRFTISK-T---S-T--------T-VDLKITSPTT-EDTATYFCARSVYD-------------------------SGSIGYWG-QGTLVTVSS</f>
        <v>#NAME?</v>
      </c>
      <c r="E976" t="s">
        <v>1705</v>
      </c>
      <c r="F976" t="s">
        <v>13</v>
      </c>
      <c r="G976" t="s">
        <v>65</v>
      </c>
      <c r="H976">
        <v>0.99957339999999995</v>
      </c>
      <c r="I976">
        <v>0.1834778</v>
      </c>
      <c r="J976">
        <v>0.53733103999999998</v>
      </c>
      <c r="K976">
        <f t="shared" si="46"/>
        <v>1</v>
      </c>
      <c r="L976">
        <f t="shared" si="47"/>
        <v>0</v>
      </c>
      <c r="M976">
        <f t="shared" si="48"/>
        <v>1</v>
      </c>
    </row>
    <row r="977" spans="1:13" x14ac:dyDescent="0.2">
      <c r="A977" t="s">
        <v>2811</v>
      </c>
      <c r="B977" t="s">
        <v>2896</v>
      </c>
      <c r="C977" t="s">
        <v>2899</v>
      </c>
      <c r="D977" t="e">
        <f>-TQ-LVQSGP-EVKKPGTSVKVSCKASGYTF---------TDYGIS-WVRQ-A-P-G-Q--G-LE-WMGWISAD------------GNTKY--S--Q--KF--Q---DRVTITT-D---S-A--SS----T-AYMELSSLRS-EDTAVYYCARQGITG------------------------YTGFDYWG-QGTTVTVSS</f>
        <v>#NAME?</v>
      </c>
      <c r="E977" t="s">
        <v>1706</v>
      </c>
      <c r="F977" t="s">
        <v>9</v>
      </c>
      <c r="G977" t="s">
        <v>14</v>
      </c>
      <c r="H977">
        <v>0.99968409999999996</v>
      </c>
      <c r="I977">
        <v>0.99933976000000002</v>
      </c>
      <c r="J977">
        <v>0.97316426</v>
      </c>
      <c r="K977">
        <f t="shared" si="46"/>
        <v>1</v>
      </c>
      <c r="L977">
        <f t="shared" si="47"/>
        <v>1</v>
      </c>
      <c r="M977">
        <f t="shared" si="48"/>
        <v>1</v>
      </c>
    </row>
    <row r="978" spans="1:13" x14ac:dyDescent="0.2">
      <c r="A978" t="s">
        <v>2812</v>
      </c>
      <c r="B978" t="s">
        <v>2896</v>
      </c>
      <c r="C978" t="s">
        <v>2899</v>
      </c>
      <c r="D978" t="s">
        <v>1707</v>
      </c>
      <c r="E978" t="s">
        <v>1708</v>
      </c>
      <c r="F978" t="s">
        <v>13</v>
      </c>
      <c r="G978" t="s">
        <v>14</v>
      </c>
      <c r="H978">
        <v>2.0093316E-2</v>
      </c>
      <c r="I978">
        <v>0.98770990000000003</v>
      </c>
      <c r="J978">
        <v>1.18439595E-4</v>
      </c>
      <c r="K978">
        <f t="shared" si="46"/>
        <v>0</v>
      </c>
      <c r="L978">
        <f t="shared" si="47"/>
        <v>1</v>
      </c>
      <c r="M978">
        <f t="shared" si="48"/>
        <v>0</v>
      </c>
    </row>
    <row r="979" spans="1:13" x14ac:dyDescent="0.2">
      <c r="A979" t="s">
        <v>2813</v>
      </c>
      <c r="B979" t="s">
        <v>2896</v>
      </c>
      <c r="C979" t="s">
        <v>2899</v>
      </c>
      <c r="D979" t="s">
        <v>1709</v>
      </c>
      <c r="E979" t="s">
        <v>1710</v>
      </c>
      <c r="F979" t="s">
        <v>9</v>
      </c>
      <c r="G979" t="s">
        <v>14</v>
      </c>
      <c r="H979">
        <v>0.99999934000000001</v>
      </c>
      <c r="I979">
        <v>0.99999994000000003</v>
      </c>
      <c r="J979">
        <v>0.99122613999999998</v>
      </c>
      <c r="K979">
        <f t="shared" si="46"/>
        <v>1</v>
      </c>
      <c r="L979">
        <f t="shared" si="47"/>
        <v>1</v>
      </c>
      <c r="M979">
        <f t="shared" si="48"/>
        <v>1</v>
      </c>
    </row>
    <row r="980" spans="1:13" x14ac:dyDescent="0.2">
      <c r="A980" t="s">
        <v>2814</v>
      </c>
      <c r="B980" t="s">
        <v>2896</v>
      </c>
      <c r="C980" t="s">
        <v>2899</v>
      </c>
      <c r="D980" t="s">
        <v>1711</v>
      </c>
      <c r="E980" t="s">
        <v>1712</v>
      </c>
      <c r="F980" t="s">
        <v>13</v>
      </c>
      <c r="G980" t="s">
        <v>14</v>
      </c>
      <c r="H980">
        <v>0.99810666000000003</v>
      </c>
      <c r="I980">
        <v>0.99999994000000003</v>
      </c>
      <c r="J980">
        <v>0.99998670000000001</v>
      </c>
      <c r="K980">
        <f t="shared" si="46"/>
        <v>1</v>
      </c>
      <c r="L980">
        <f t="shared" si="47"/>
        <v>1</v>
      </c>
      <c r="M980">
        <f t="shared" si="48"/>
        <v>1</v>
      </c>
    </row>
    <row r="981" spans="1:13" x14ac:dyDescent="0.2">
      <c r="A981" t="s">
        <v>2815</v>
      </c>
      <c r="B981" t="s">
        <v>2896</v>
      </c>
      <c r="C981" t="s">
        <v>2899</v>
      </c>
      <c r="D981" t="s">
        <v>1713</v>
      </c>
      <c r="E981" t="s">
        <v>1714</v>
      </c>
      <c r="F981" t="s">
        <v>9</v>
      </c>
      <c r="G981" t="s">
        <v>212</v>
      </c>
      <c r="H981">
        <v>0.18064163999999999</v>
      </c>
      <c r="I981" s="1">
        <v>5.9354140000000002E-8</v>
      </c>
      <c r="J981" s="1">
        <v>2.9723849999999999E-6</v>
      </c>
      <c r="K981">
        <f t="shared" si="46"/>
        <v>0</v>
      </c>
      <c r="L981">
        <f t="shared" si="47"/>
        <v>0</v>
      </c>
      <c r="M981">
        <f t="shared" si="48"/>
        <v>0</v>
      </c>
    </row>
    <row r="982" spans="1:13" x14ac:dyDescent="0.2">
      <c r="A982" t="s">
        <v>2816</v>
      </c>
      <c r="B982" t="s">
        <v>2896</v>
      </c>
      <c r="C982" t="s">
        <v>2899</v>
      </c>
      <c r="D982" t="s">
        <v>1715</v>
      </c>
      <c r="E982" t="s">
        <v>1716</v>
      </c>
      <c r="F982" t="s">
        <v>9</v>
      </c>
      <c r="G982" t="s">
        <v>14</v>
      </c>
      <c r="H982">
        <v>0.99999994000000003</v>
      </c>
      <c r="I982">
        <v>0.99999994000000003</v>
      </c>
      <c r="J982">
        <v>0.98528119999999997</v>
      </c>
      <c r="K982">
        <f t="shared" si="46"/>
        <v>1</v>
      </c>
      <c r="L982">
        <f t="shared" si="47"/>
        <v>1</v>
      </c>
      <c r="M982">
        <f t="shared" si="48"/>
        <v>1</v>
      </c>
    </row>
    <row r="983" spans="1:13" x14ac:dyDescent="0.2">
      <c r="A983" t="s">
        <v>2817</v>
      </c>
      <c r="B983" t="s">
        <v>2896</v>
      </c>
      <c r="C983" t="s">
        <v>2899</v>
      </c>
      <c r="D983" t="s">
        <v>1717</v>
      </c>
      <c r="E983" t="s">
        <v>1718</v>
      </c>
      <c r="F983" t="s">
        <v>9</v>
      </c>
      <c r="G983" t="s">
        <v>65</v>
      </c>
      <c r="H983">
        <v>0.98958283999999996</v>
      </c>
      <c r="I983">
        <v>0.99999994000000003</v>
      </c>
      <c r="J983" s="1">
        <v>5.0167014999999997E-5</v>
      </c>
      <c r="K983">
        <f t="shared" si="46"/>
        <v>1</v>
      </c>
      <c r="L983">
        <f t="shared" si="47"/>
        <v>1</v>
      </c>
      <c r="M983">
        <f t="shared" si="48"/>
        <v>0</v>
      </c>
    </row>
    <row r="984" spans="1:13" x14ac:dyDescent="0.2">
      <c r="A984" t="s">
        <v>2818</v>
      </c>
      <c r="B984" t="s">
        <v>2896</v>
      </c>
      <c r="C984" t="s">
        <v>2899</v>
      </c>
      <c r="D984" t="s">
        <v>1719</v>
      </c>
      <c r="E984" t="s">
        <v>1720</v>
      </c>
      <c r="F984" t="s">
        <v>13</v>
      </c>
      <c r="G984" t="s">
        <v>65</v>
      </c>
      <c r="H984">
        <v>0.99999684</v>
      </c>
      <c r="I984">
        <v>1.9795916E-4</v>
      </c>
      <c r="J984">
        <v>9.4335570000000004E-3</v>
      </c>
      <c r="K984">
        <f t="shared" si="46"/>
        <v>1</v>
      </c>
      <c r="L984">
        <f t="shared" si="47"/>
        <v>0</v>
      </c>
      <c r="M984">
        <f t="shared" si="48"/>
        <v>0</v>
      </c>
    </row>
    <row r="985" spans="1:13" x14ac:dyDescent="0.2">
      <c r="A985" t="s">
        <v>2819</v>
      </c>
      <c r="B985" t="s">
        <v>2896</v>
      </c>
      <c r="C985" t="s">
        <v>2899</v>
      </c>
      <c r="D985" t="s">
        <v>1721</v>
      </c>
      <c r="E985" t="s">
        <v>1722</v>
      </c>
      <c r="F985" t="s">
        <v>9</v>
      </c>
      <c r="G985" t="s">
        <v>14</v>
      </c>
      <c r="H985">
        <v>0.9999673</v>
      </c>
      <c r="I985">
        <v>0.76060660000000002</v>
      </c>
      <c r="J985">
        <v>4.0120805999999999E-4</v>
      </c>
      <c r="K985">
        <f t="shared" si="46"/>
        <v>1</v>
      </c>
      <c r="L985">
        <f t="shared" si="47"/>
        <v>1</v>
      </c>
      <c r="M985">
        <f t="shared" si="48"/>
        <v>0</v>
      </c>
    </row>
    <row r="986" spans="1:13" x14ac:dyDescent="0.2">
      <c r="A986" t="s">
        <v>2820</v>
      </c>
      <c r="B986" t="s">
        <v>2896</v>
      </c>
      <c r="C986" t="s">
        <v>2899</v>
      </c>
      <c r="D986" t="s">
        <v>1723</v>
      </c>
      <c r="E986" t="s">
        <v>1724</v>
      </c>
      <c r="F986" t="s">
        <v>13</v>
      </c>
      <c r="G986" t="s">
        <v>371</v>
      </c>
      <c r="H986">
        <v>0.99986553</v>
      </c>
      <c r="I986" s="1">
        <v>2.2245329999999999E-7</v>
      </c>
      <c r="J986">
        <v>0.97925549999999995</v>
      </c>
      <c r="K986">
        <f t="shared" si="46"/>
        <v>1</v>
      </c>
      <c r="L986">
        <f t="shared" si="47"/>
        <v>0</v>
      </c>
      <c r="M986">
        <f t="shared" si="48"/>
        <v>1</v>
      </c>
    </row>
    <row r="987" spans="1:13" x14ac:dyDescent="0.2">
      <c r="A987" t="s">
        <v>2821</v>
      </c>
      <c r="B987" t="s">
        <v>2896</v>
      </c>
      <c r="C987" t="s">
        <v>2899</v>
      </c>
      <c r="D987" t="s">
        <v>1725</v>
      </c>
      <c r="E987" t="s">
        <v>1726</v>
      </c>
      <c r="F987" t="s">
        <v>13</v>
      </c>
      <c r="G987" t="s">
        <v>14</v>
      </c>
      <c r="H987">
        <v>0.99999994000000003</v>
      </c>
      <c r="I987">
        <v>0.99998014999999996</v>
      </c>
      <c r="J987">
        <v>0.99742454000000003</v>
      </c>
      <c r="K987">
        <f t="shared" si="46"/>
        <v>1</v>
      </c>
      <c r="L987">
        <f t="shared" si="47"/>
        <v>1</v>
      </c>
      <c r="M987">
        <f t="shared" si="48"/>
        <v>1</v>
      </c>
    </row>
    <row r="988" spans="1:13" x14ac:dyDescent="0.2">
      <c r="A988" t="s">
        <v>2822</v>
      </c>
      <c r="B988" t="s">
        <v>2896</v>
      </c>
      <c r="C988" t="s">
        <v>2899</v>
      </c>
      <c r="D988" t="s">
        <v>1727</v>
      </c>
      <c r="E988" t="s">
        <v>1728</v>
      </c>
      <c r="F988" t="s">
        <v>13</v>
      </c>
      <c r="G988" t="s">
        <v>14</v>
      </c>
      <c r="H988">
        <v>0.99996894999999997</v>
      </c>
      <c r="I988">
        <v>0.99999744000000002</v>
      </c>
      <c r="J988">
        <v>0.62980354000000005</v>
      </c>
      <c r="K988">
        <f t="shared" si="46"/>
        <v>1</v>
      </c>
      <c r="L988">
        <f t="shared" si="47"/>
        <v>1</v>
      </c>
      <c r="M988">
        <f t="shared" si="48"/>
        <v>1</v>
      </c>
    </row>
    <row r="989" spans="1:13" x14ac:dyDescent="0.2">
      <c r="A989" t="s">
        <v>2823</v>
      </c>
      <c r="B989" t="s">
        <v>2896</v>
      </c>
      <c r="C989" t="s">
        <v>2899</v>
      </c>
      <c r="D989" t="s">
        <v>1729</v>
      </c>
      <c r="E989" t="s">
        <v>1730</v>
      </c>
      <c r="F989" t="s">
        <v>17</v>
      </c>
      <c r="G989" t="s">
        <v>14</v>
      </c>
      <c r="H989">
        <v>7.3672435999999994E-2</v>
      </c>
      <c r="I989">
        <v>3.3419929000000001E-4</v>
      </c>
      <c r="J989">
        <v>5.5930320000000004E-3</v>
      </c>
      <c r="K989">
        <f t="shared" si="46"/>
        <v>0</v>
      </c>
      <c r="L989">
        <f t="shared" si="47"/>
        <v>0</v>
      </c>
      <c r="M989">
        <f t="shared" si="48"/>
        <v>0</v>
      </c>
    </row>
    <row r="990" spans="1:13" x14ac:dyDescent="0.2">
      <c r="A990" t="s">
        <v>2824</v>
      </c>
      <c r="B990" t="s">
        <v>2896</v>
      </c>
      <c r="C990" t="s">
        <v>2899</v>
      </c>
      <c r="D990" t="s">
        <v>1731</v>
      </c>
      <c r="E990" t="s">
        <v>1732</v>
      </c>
      <c r="F990" t="s">
        <v>13</v>
      </c>
      <c r="G990" t="s">
        <v>14</v>
      </c>
      <c r="H990">
        <v>0.99946630000000003</v>
      </c>
      <c r="I990">
        <v>0.99999994000000003</v>
      </c>
      <c r="J990">
        <v>0.46506273999999997</v>
      </c>
      <c r="K990">
        <f t="shared" si="46"/>
        <v>1</v>
      </c>
      <c r="L990">
        <f t="shared" si="47"/>
        <v>1</v>
      </c>
      <c r="M990">
        <f t="shared" si="48"/>
        <v>0</v>
      </c>
    </row>
    <row r="991" spans="1:13" x14ac:dyDescent="0.2">
      <c r="A991" t="s">
        <v>2825</v>
      </c>
      <c r="B991" t="s">
        <v>2896</v>
      </c>
      <c r="C991" t="s">
        <v>2899</v>
      </c>
      <c r="D991" t="s">
        <v>1733</v>
      </c>
      <c r="E991" t="s">
        <v>1734</v>
      </c>
      <c r="F991" t="s">
        <v>9</v>
      </c>
      <c r="G991" t="s">
        <v>10</v>
      </c>
      <c r="H991" s="1">
        <v>9.5273150000000002E-7</v>
      </c>
      <c r="I991" s="1">
        <v>5.1893523000000002E-10</v>
      </c>
      <c r="J991" s="1">
        <v>3.927078E-10</v>
      </c>
      <c r="K991">
        <f t="shared" si="46"/>
        <v>0</v>
      </c>
      <c r="L991">
        <f t="shared" si="47"/>
        <v>0</v>
      </c>
      <c r="M991">
        <f t="shared" si="48"/>
        <v>0</v>
      </c>
    </row>
    <row r="992" spans="1:13" x14ac:dyDescent="0.2">
      <c r="A992" t="s">
        <v>2826</v>
      </c>
      <c r="B992" t="s">
        <v>2896</v>
      </c>
      <c r="C992" t="s">
        <v>2899</v>
      </c>
      <c r="D992" t="s">
        <v>1735</v>
      </c>
      <c r="E992" t="s">
        <v>1736</v>
      </c>
      <c r="F992" t="s">
        <v>13</v>
      </c>
      <c r="G992" t="s">
        <v>14</v>
      </c>
      <c r="H992">
        <v>0.99998920000000002</v>
      </c>
      <c r="I992">
        <v>0.97676194000000005</v>
      </c>
      <c r="J992">
        <v>0.18025598000000001</v>
      </c>
      <c r="K992">
        <f t="shared" si="46"/>
        <v>1</v>
      </c>
      <c r="L992">
        <f t="shared" si="47"/>
        <v>1</v>
      </c>
      <c r="M992">
        <f t="shared" si="48"/>
        <v>0</v>
      </c>
    </row>
    <row r="993" spans="1:13" x14ac:dyDescent="0.2">
      <c r="A993" t="s">
        <v>2827</v>
      </c>
      <c r="B993" t="s">
        <v>2896</v>
      </c>
      <c r="C993" t="s">
        <v>2899</v>
      </c>
      <c r="D993" t="s">
        <v>1737</v>
      </c>
      <c r="E993" t="s">
        <v>1738</v>
      </c>
      <c r="F993" t="s">
        <v>17</v>
      </c>
      <c r="G993" t="s">
        <v>14</v>
      </c>
      <c r="H993">
        <v>1.1460941999999999E-3</v>
      </c>
      <c r="I993">
        <v>0.99986459999999999</v>
      </c>
      <c r="J993">
        <v>2.0033641999999999E-4</v>
      </c>
      <c r="K993">
        <f t="shared" si="46"/>
        <v>0</v>
      </c>
      <c r="L993">
        <f t="shared" si="47"/>
        <v>1</v>
      </c>
      <c r="M993">
        <f t="shared" si="48"/>
        <v>0</v>
      </c>
    </row>
    <row r="994" spans="1:13" x14ac:dyDescent="0.2">
      <c r="A994" t="s">
        <v>2828</v>
      </c>
      <c r="B994" t="s">
        <v>2896</v>
      </c>
      <c r="C994" t="s">
        <v>2899</v>
      </c>
      <c r="D994" t="s">
        <v>1739</v>
      </c>
      <c r="E994" t="s">
        <v>1740</v>
      </c>
      <c r="F994" t="s">
        <v>17</v>
      </c>
      <c r="G994" t="s">
        <v>14</v>
      </c>
      <c r="H994">
        <v>6.3339739999999998E-4</v>
      </c>
      <c r="I994">
        <v>0.99999970000000005</v>
      </c>
      <c r="J994">
        <v>0.74337169999999997</v>
      </c>
      <c r="K994">
        <f t="shared" si="46"/>
        <v>0</v>
      </c>
      <c r="L994">
        <f t="shared" si="47"/>
        <v>1</v>
      </c>
      <c r="M994">
        <f t="shared" si="48"/>
        <v>1</v>
      </c>
    </row>
    <row r="995" spans="1:13" x14ac:dyDescent="0.2">
      <c r="A995" t="s">
        <v>2829</v>
      </c>
      <c r="B995" t="s">
        <v>2896</v>
      </c>
      <c r="C995" t="s">
        <v>2899</v>
      </c>
      <c r="D995" t="e">
        <f>-VQ-LVESGG-GLVQPGGSLRLSCAASGFSI---------YSSSIH-WVRQ-A-P-G-K--G-LE-WVASISSY-----------YGYTYY--A--D--SV--K---GRFTISA-D---T-S--KN----T-AYLQMNSLRA-EDTAVYYCARSDYSY-----------------------YYYGMDVWG-QGTLVTVSS</f>
        <v>#NAME?</v>
      </c>
      <c r="E995" t="s">
        <v>1741</v>
      </c>
      <c r="F995" t="s">
        <v>13</v>
      </c>
      <c r="G995" t="s">
        <v>14</v>
      </c>
      <c r="H995">
        <v>0.99999636000000003</v>
      </c>
      <c r="I995">
        <v>0.99999959999999999</v>
      </c>
      <c r="J995">
        <v>0.95319480000000001</v>
      </c>
      <c r="K995">
        <f t="shared" si="46"/>
        <v>1</v>
      </c>
      <c r="L995">
        <f t="shared" si="47"/>
        <v>1</v>
      </c>
      <c r="M995">
        <f t="shared" si="48"/>
        <v>1</v>
      </c>
    </row>
    <row r="996" spans="1:13" x14ac:dyDescent="0.2">
      <c r="A996" t="s">
        <v>2830</v>
      </c>
      <c r="B996" t="s">
        <v>2896</v>
      </c>
      <c r="C996" t="s">
        <v>2899</v>
      </c>
      <c r="D996" t="s">
        <v>1742</v>
      </c>
      <c r="E996" t="s">
        <v>1743</v>
      </c>
      <c r="F996" t="s">
        <v>13</v>
      </c>
      <c r="G996" t="s">
        <v>14</v>
      </c>
      <c r="H996">
        <v>0.89167249999999998</v>
      </c>
      <c r="I996">
        <v>0.59645592999999997</v>
      </c>
      <c r="J996">
        <v>0.84304009999999996</v>
      </c>
      <c r="K996">
        <f t="shared" si="46"/>
        <v>1</v>
      </c>
      <c r="L996">
        <f t="shared" si="47"/>
        <v>1</v>
      </c>
      <c r="M996">
        <f t="shared" si="48"/>
        <v>1</v>
      </c>
    </row>
    <row r="997" spans="1:13" x14ac:dyDescent="0.2">
      <c r="A997" t="s">
        <v>2831</v>
      </c>
      <c r="B997" t="s">
        <v>2896</v>
      </c>
      <c r="C997" t="s">
        <v>2899</v>
      </c>
      <c r="D997" t="s">
        <v>1744</v>
      </c>
      <c r="E997" t="s">
        <v>1034</v>
      </c>
      <c r="F997" t="s">
        <v>9</v>
      </c>
      <c r="G997" t="s">
        <v>36</v>
      </c>
      <c r="H997" s="1">
        <v>4.3511557999999997E-5</v>
      </c>
      <c r="I997" s="1">
        <v>8.0834020000000001E-8</v>
      </c>
      <c r="J997">
        <v>1.631564E-4</v>
      </c>
      <c r="K997">
        <f t="shared" si="46"/>
        <v>0</v>
      </c>
      <c r="L997">
        <f t="shared" si="47"/>
        <v>0</v>
      </c>
      <c r="M997">
        <f t="shared" si="48"/>
        <v>0</v>
      </c>
    </row>
    <row r="998" spans="1:13" x14ac:dyDescent="0.2">
      <c r="A998" t="s">
        <v>2832</v>
      </c>
      <c r="B998" t="s">
        <v>2896</v>
      </c>
      <c r="C998" t="s">
        <v>2899</v>
      </c>
      <c r="D998" t="s">
        <v>1745</v>
      </c>
      <c r="E998" t="s">
        <v>992</v>
      </c>
      <c r="F998" t="s">
        <v>13</v>
      </c>
      <c r="G998" t="s">
        <v>14</v>
      </c>
      <c r="H998">
        <v>0.99999919999999998</v>
      </c>
      <c r="I998">
        <v>0.99999994000000003</v>
      </c>
      <c r="J998">
        <v>0.99701390000000001</v>
      </c>
      <c r="K998">
        <f t="shared" si="46"/>
        <v>1</v>
      </c>
      <c r="L998">
        <f t="shared" si="47"/>
        <v>1</v>
      </c>
      <c r="M998">
        <f t="shared" si="48"/>
        <v>1</v>
      </c>
    </row>
    <row r="999" spans="1:13" x14ac:dyDescent="0.2">
      <c r="A999" t="s">
        <v>2833</v>
      </c>
      <c r="B999" t="s">
        <v>2896</v>
      </c>
      <c r="C999" t="s">
        <v>2899</v>
      </c>
      <c r="D999" t="e">
        <f>-LQ-LQESGP-GLVKPSETLSLTCTVSGASI---------TSYYWN-WIRQ-P-P-G-K--G-LE-WIGVIGGN-----------SGNTNY--N--P--SL--K---SRVTISV-D---T-S--KN----Q-FSLKLSSVTA-ADTAVYYCARVSPYG------------------------YWYFDVWG-KGTTVTVSS</f>
        <v>#NAME?</v>
      </c>
      <c r="E999" t="s">
        <v>1746</v>
      </c>
      <c r="F999" t="s">
        <v>17</v>
      </c>
      <c r="G999" t="s">
        <v>10</v>
      </c>
      <c r="H999">
        <v>0.87501775999999998</v>
      </c>
      <c r="I999">
        <v>0.99846179999999995</v>
      </c>
      <c r="J999">
        <v>0.6768575</v>
      </c>
      <c r="K999">
        <f t="shared" si="46"/>
        <v>1</v>
      </c>
      <c r="L999">
        <f t="shared" si="47"/>
        <v>1</v>
      </c>
      <c r="M999">
        <f t="shared" si="48"/>
        <v>1</v>
      </c>
    </row>
    <row r="1000" spans="1:13" x14ac:dyDescent="0.2">
      <c r="A1000" t="s">
        <v>2834</v>
      </c>
      <c r="B1000" t="s">
        <v>2896</v>
      </c>
      <c r="C1000" t="s">
        <v>2899</v>
      </c>
      <c r="D1000" t="s">
        <v>1747</v>
      </c>
      <c r="E1000" t="s">
        <v>1748</v>
      </c>
      <c r="F1000" t="s">
        <v>13</v>
      </c>
      <c r="G1000" t="s">
        <v>14</v>
      </c>
      <c r="H1000">
        <v>0.99997659999999999</v>
      </c>
      <c r="I1000">
        <v>0.99999400000000005</v>
      </c>
      <c r="J1000">
        <v>0.92099390000000003</v>
      </c>
      <c r="K1000">
        <f t="shared" si="46"/>
        <v>1</v>
      </c>
      <c r="L1000">
        <f t="shared" si="47"/>
        <v>1</v>
      </c>
      <c r="M1000">
        <f t="shared" si="48"/>
        <v>1</v>
      </c>
    </row>
    <row r="1001" spans="1:13" x14ac:dyDescent="0.2">
      <c r="A1001" t="s">
        <v>2835</v>
      </c>
      <c r="B1001" t="s">
        <v>2896</v>
      </c>
      <c r="C1001" t="s">
        <v>2899</v>
      </c>
      <c r="D1001" t="s">
        <v>1749</v>
      </c>
      <c r="E1001" t="s">
        <v>1750</v>
      </c>
      <c r="F1001" t="s">
        <v>13</v>
      </c>
      <c r="G1001" t="s">
        <v>14</v>
      </c>
      <c r="H1001">
        <v>0.99992055000000002</v>
      </c>
      <c r="I1001">
        <v>0.99998575000000001</v>
      </c>
      <c r="J1001">
        <v>0.97490036000000002</v>
      </c>
      <c r="K1001">
        <f t="shared" si="46"/>
        <v>1</v>
      </c>
      <c r="L1001">
        <f t="shared" si="47"/>
        <v>1</v>
      </c>
      <c r="M1001">
        <f t="shared" si="48"/>
        <v>1</v>
      </c>
    </row>
    <row r="1002" spans="1:13" x14ac:dyDescent="0.2">
      <c r="A1002" t="s">
        <v>2836</v>
      </c>
      <c r="B1002" t="s">
        <v>2897</v>
      </c>
      <c r="C1002" t="s">
        <v>2899</v>
      </c>
      <c r="D1002" t="s">
        <v>1751</v>
      </c>
      <c r="E1002" t="s">
        <v>1752</v>
      </c>
      <c r="F1002" t="s">
        <v>9</v>
      </c>
      <c r="G1002" t="s">
        <v>14</v>
      </c>
      <c r="H1002">
        <v>0.99999979999999999</v>
      </c>
      <c r="I1002">
        <v>0.62978940000000005</v>
      </c>
      <c r="J1002">
        <v>0.91076433999999995</v>
      </c>
      <c r="K1002">
        <f t="shared" si="46"/>
        <v>1</v>
      </c>
      <c r="L1002">
        <f t="shared" si="47"/>
        <v>1</v>
      </c>
      <c r="M1002">
        <f t="shared" si="48"/>
        <v>1</v>
      </c>
    </row>
    <row r="1003" spans="1:13" x14ac:dyDescent="0.2">
      <c r="A1003" t="s">
        <v>2837</v>
      </c>
      <c r="B1003" t="s">
        <v>2897</v>
      </c>
      <c r="C1003" t="s">
        <v>2899</v>
      </c>
      <c r="D1003" t="s">
        <v>1753</v>
      </c>
      <c r="E1003" t="s">
        <v>1754</v>
      </c>
      <c r="F1003" t="s">
        <v>13</v>
      </c>
      <c r="G1003" t="s">
        <v>212</v>
      </c>
      <c r="H1003">
        <v>0.99999979999999999</v>
      </c>
      <c r="I1003">
        <v>0.95914763000000003</v>
      </c>
      <c r="J1003">
        <v>0.99701583000000005</v>
      </c>
      <c r="K1003">
        <f t="shared" si="46"/>
        <v>1</v>
      </c>
      <c r="L1003">
        <f t="shared" si="47"/>
        <v>1</v>
      </c>
      <c r="M1003">
        <f t="shared" si="48"/>
        <v>1</v>
      </c>
    </row>
    <row r="1004" spans="1:13" x14ac:dyDescent="0.2">
      <c r="A1004" t="s">
        <v>2838</v>
      </c>
      <c r="B1004" t="s">
        <v>2897</v>
      </c>
      <c r="C1004" t="s">
        <v>2899</v>
      </c>
      <c r="D1004" t="s">
        <v>1755</v>
      </c>
      <c r="E1004" t="s">
        <v>1756</v>
      </c>
      <c r="F1004" t="s">
        <v>9</v>
      </c>
      <c r="G1004" t="s">
        <v>10</v>
      </c>
      <c r="H1004">
        <v>2.6286057999999998E-3</v>
      </c>
      <c r="I1004" s="1">
        <v>9.8688900000000006E-6</v>
      </c>
      <c r="J1004" s="1">
        <v>3.4892399999999998E-5</v>
      </c>
      <c r="K1004">
        <f t="shared" si="46"/>
        <v>0</v>
      </c>
      <c r="L1004">
        <f t="shared" si="47"/>
        <v>0</v>
      </c>
      <c r="M1004">
        <f t="shared" si="48"/>
        <v>0</v>
      </c>
    </row>
    <row r="1005" spans="1:13" x14ac:dyDescent="0.2">
      <c r="A1005" t="s">
        <v>2839</v>
      </c>
      <c r="B1005" t="s">
        <v>2897</v>
      </c>
      <c r="C1005" t="s">
        <v>2899</v>
      </c>
      <c r="D1005" t="s">
        <v>1757</v>
      </c>
      <c r="E1005" t="s">
        <v>1758</v>
      </c>
      <c r="F1005" t="s">
        <v>13</v>
      </c>
      <c r="G1005" t="s">
        <v>14</v>
      </c>
      <c r="H1005">
        <v>0.99998860000000001</v>
      </c>
      <c r="I1005">
        <v>0.99999994000000003</v>
      </c>
      <c r="J1005">
        <v>0.94705075000000005</v>
      </c>
      <c r="K1005">
        <f t="shared" si="46"/>
        <v>1</v>
      </c>
      <c r="L1005">
        <f t="shared" si="47"/>
        <v>1</v>
      </c>
      <c r="M1005">
        <f t="shared" si="48"/>
        <v>1</v>
      </c>
    </row>
    <row r="1006" spans="1:13" x14ac:dyDescent="0.2">
      <c r="A1006" t="s">
        <v>2840</v>
      </c>
      <c r="B1006" t="s">
        <v>2897</v>
      </c>
      <c r="C1006" t="s">
        <v>2899</v>
      </c>
      <c r="D1006" t="s">
        <v>1759</v>
      </c>
      <c r="E1006" t="s">
        <v>1760</v>
      </c>
      <c r="F1006" t="s">
        <v>13</v>
      </c>
      <c r="G1006" t="s">
        <v>14</v>
      </c>
      <c r="H1006">
        <v>0.99999945999999995</v>
      </c>
      <c r="I1006">
        <v>0.99983120000000003</v>
      </c>
      <c r="J1006">
        <v>0.98846763000000004</v>
      </c>
      <c r="K1006">
        <f t="shared" si="46"/>
        <v>1</v>
      </c>
      <c r="L1006">
        <f t="shared" si="47"/>
        <v>1</v>
      </c>
      <c r="M1006">
        <f t="shared" si="48"/>
        <v>1</v>
      </c>
    </row>
    <row r="1007" spans="1:13" x14ac:dyDescent="0.2">
      <c r="A1007" t="s">
        <v>2841</v>
      </c>
      <c r="B1007" t="s">
        <v>2897</v>
      </c>
      <c r="C1007" t="s">
        <v>2899</v>
      </c>
      <c r="D1007" t="s">
        <v>1761</v>
      </c>
      <c r="E1007" t="s">
        <v>1762</v>
      </c>
      <c r="F1007" t="s">
        <v>13</v>
      </c>
      <c r="G1007" t="s">
        <v>14</v>
      </c>
      <c r="H1007">
        <v>0.99999530000000003</v>
      </c>
      <c r="I1007">
        <v>0.99999994000000003</v>
      </c>
      <c r="J1007">
        <v>0.24279734</v>
      </c>
      <c r="K1007">
        <f t="shared" si="46"/>
        <v>1</v>
      </c>
      <c r="L1007">
        <f t="shared" si="47"/>
        <v>1</v>
      </c>
      <c r="M1007">
        <f t="shared" si="48"/>
        <v>0</v>
      </c>
    </row>
    <row r="1008" spans="1:13" x14ac:dyDescent="0.2">
      <c r="A1008" t="s">
        <v>2842</v>
      </c>
      <c r="B1008" t="s">
        <v>2897</v>
      </c>
      <c r="C1008" t="s">
        <v>2899</v>
      </c>
      <c r="D1008" t="s">
        <v>1763</v>
      </c>
      <c r="E1008" t="s">
        <v>634</v>
      </c>
      <c r="F1008" t="s">
        <v>9</v>
      </c>
      <c r="G1008" t="s">
        <v>10</v>
      </c>
      <c r="H1008">
        <v>0.75859343999999995</v>
      </c>
      <c r="I1008" s="1">
        <v>3.9501170000000004E-6</v>
      </c>
      <c r="J1008">
        <v>2.1878979000000001E-4</v>
      </c>
      <c r="K1008">
        <f t="shared" si="46"/>
        <v>1</v>
      </c>
      <c r="L1008">
        <f t="shared" si="47"/>
        <v>0</v>
      </c>
      <c r="M1008">
        <f t="shared" si="48"/>
        <v>0</v>
      </c>
    </row>
    <row r="1009" spans="1:13" x14ac:dyDescent="0.2">
      <c r="A1009" t="s">
        <v>2843</v>
      </c>
      <c r="B1009" t="s">
        <v>2897</v>
      </c>
      <c r="C1009" t="s">
        <v>2899</v>
      </c>
      <c r="D1009" t="s">
        <v>1764</v>
      </c>
      <c r="E1009" t="s">
        <v>1765</v>
      </c>
      <c r="F1009" t="s">
        <v>13</v>
      </c>
      <c r="G1009" t="s">
        <v>14</v>
      </c>
      <c r="H1009">
        <v>0.99994665000000005</v>
      </c>
      <c r="I1009">
        <v>0.99997610000000003</v>
      </c>
      <c r="J1009">
        <v>0.54467509999999997</v>
      </c>
      <c r="K1009">
        <f t="shared" si="46"/>
        <v>1</v>
      </c>
      <c r="L1009">
        <f t="shared" si="47"/>
        <v>1</v>
      </c>
      <c r="M1009">
        <f t="shared" si="48"/>
        <v>1</v>
      </c>
    </row>
    <row r="1010" spans="1:13" x14ac:dyDescent="0.2">
      <c r="A1010" t="s">
        <v>2844</v>
      </c>
      <c r="B1010" t="s">
        <v>2897</v>
      </c>
      <c r="C1010" t="s">
        <v>2899</v>
      </c>
      <c r="D1010" t="s">
        <v>1766</v>
      </c>
      <c r="E1010" t="s">
        <v>1767</v>
      </c>
      <c r="F1010" t="s">
        <v>13</v>
      </c>
      <c r="G1010" t="s">
        <v>40</v>
      </c>
      <c r="H1010">
        <v>0.99998600000000004</v>
      </c>
      <c r="I1010">
        <v>0.99999994000000003</v>
      </c>
      <c r="J1010">
        <v>0.79031090000000004</v>
      </c>
      <c r="K1010">
        <f t="shared" si="46"/>
        <v>1</v>
      </c>
      <c r="L1010">
        <f t="shared" si="47"/>
        <v>1</v>
      </c>
      <c r="M1010">
        <f t="shared" si="48"/>
        <v>1</v>
      </c>
    </row>
    <row r="1011" spans="1:13" x14ac:dyDescent="0.2">
      <c r="A1011" t="s">
        <v>2845</v>
      </c>
      <c r="B1011" t="s">
        <v>2897</v>
      </c>
      <c r="C1011" t="s">
        <v>2899</v>
      </c>
      <c r="D1011" t="s">
        <v>1768</v>
      </c>
      <c r="E1011" t="s">
        <v>1769</v>
      </c>
      <c r="F1011" t="s">
        <v>13</v>
      </c>
      <c r="G1011" t="s">
        <v>14</v>
      </c>
      <c r="H1011">
        <v>0.99999720000000003</v>
      </c>
      <c r="I1011">
        <v>0.99913954999999999</v>
      </c>
      <c r="J1011">
        <v>4.6820633E-2</v>
      </c>
      <c r="K1011">
        <f t="shared" si="46"/>
        <v>1</v>
      </c>
      <c r="L1011">
        <f t="shared" si="47"/>
        <v>1</v>
      </c>
      <c r="M1011">
        <f t="shared" si="48"/>
        <v>0</v>
      </c>
    </row>
    <row r="1012" spans="1:13" x14ac:dyDescent="0.2">
      <c r="A1012" t="s">
        <v>2846</v>
      </c>
      <c r="B1012" t="s">
        <v>2897</v>
      </c>
      <c r="C1012" t="s">
        <v>2899</v>
      </c>
      <c r="D1012" t="s">
        <v>1770</v>
      </c>
      <c r="E1012" t="s">
        <v>1771</v>
      </c>
      <c r="F1012" t="s">
        <v>9</v>
      </c>
      <c r="G1012" t="s">
        <v>18</v>
      </c>
      <c r="H1012">
        <v>6.0903125000000002E-2</v>
      </c>
      <c r="I1012">
        <v>0.99999994000000003</v>
      </c>
      <c r="J1012">
        <v>7.9517469999999997E-4</v>
      </c>
      <c r="K1012">
        <f t="shared" si="46"/>
        <v>0</v>
      </c>
      <c r="L1012">
        <f t="shared" si="47"/>
        <v>1</v>
      </c>
      <c r="M1012">
        <f t="shared" si="48"/>
        <v>0</v>
      </c>
    </row>
    <row r="1013" spans="1:13" x14ac:dyDescent="0.2">
      <c r="A1013" t="s">
        <v>2847</v>
      </c>
      <c r="B1013" t="s">
        <v>2897</v>
      </c>
      <c r="C1013" t="s">
        <v>2899</v>
      </c>
      <c r="D1013" t="s">
        <v>1096</v>
      </c>
      <c r="E1013" t="s">
        <v>634</v>
      </c>
      <c r="F1013" t="s">
        <v>9</v>
      </c>
      <c r="G1013" t="s">
        <v>10</v>
      </c>
      <c r="H1013">
        <v>0.87064355999999998</v>
      </c>
      <c r="I1013" s="1">
        <v>3.9501170000000004E-6</v>
      </c>
      <c r="J1013" s="1">
        <v>1.1613232999999999E-5</v>
      </c>
      <c r="K1013">
        <f t="shared" si="46"/>
        <v>1</v>
      </c>
      <c r="L1013">
        <f t="shared" si="47"/>
        <v>0</v>
      </c>
      <c r="M1013">
        <f t="shared" si="48"/>
        <v>0</v>
      </c>
    </row>
    <row r="1014" spans="1:13" x14ac:dyDescent="0.2">
      <c r="A1014" t="s">
        <v>2848</v>
      </c>
      <c r="B1014" t="s">
        <v>2897</v>
      </c>
      <c r="C1014" t="s">
        <v>2899</v>
      </c>
      <c r="D1014" t="s">
        <v>1772</v>
      </c>
      <c r="E1014" t="s">
        <v>142</v>
      </c>
      <c r="F1014" t="s">
        <v>9</v>
      </c>
      <c r="G1014" t="s">
        <v>143</v>
      </c>
      <c r="H1014" s="1">
        <v>9.2683859999999993E-6</v>
      </c>
      <c r="I1014" s="1">
        <v>1.5476132000000001E-8</v>
      </c>
      <c r="J1014">
        <v>0.46027455</v>
      </c>
      <c r="K1014">
        <f t="shared" si="46"/>
        <v>0</v>
      </c>
      <c r="L1014">
        <f t="shared" si="47"/>
        <v>0</v>
      </c>
      <c r="M1014">
        <f t="shared" si="48"/>
        <v>0</v>
      </c>
    </row>
    <row r="1015" spans="1:13" x14ac:dyDescent="0.2">
      <c r="A1015" t="s">
        <v>2849</v>
      </c>
      <c r="B1015" t="s">
        <v>2897</v>
      </c>
      <c r="C1015" t="s">
        <v>2899</v>
      </c>
      <c r="D1015" t="s">
        <v>1773</v>
      </c>
      <c r="E1015" t="s">
        <v>1774</v>
      </c>
      <c r="F1015" t="s">
        <v>9</v>
      </c>
      <c r="G1015" t="s">
        <v>14</v>
      </c>
      <c r="H1015">
        <v>0.11652638999999999</v>
      </c>
      <c r="I1015">
        <v>0.99986934999999999</v>
      </c>
      <c r="J1015">
        <v>0.46776659999999998</v>
      </c>
      <c r="K1015">
        <f t="shared" si="46"/>
        <v>0</v>
      </c>
      <c r="L1015">
        <f t="shared" si="47"/>
        <v>1</v>
      </c>
      <c r="M1015">
        <f t="shared" si="48"/>
        <v>0</v>
      </c>
    </row>
    <row r="1016" spans="1:13" x14ac:dyDescent="0.2">
      <c r="A1016" t="s">
        <v>2850</v>
      </c>
      <c r="B1016" t="s">
        <v>2897</v>
      </c>
      <c r="C1016" t="s">
        <v>2899</v>
      </c>
      <c r="D1016" t="s">
        <v>1775</v>
      </c>
      <c r="E1016" t="s">
        <v>1776</v>
      </c>
      <c r="F1016" t="s">
        <v>17</v>
      </c>
      <c r="G1016" t="s">
        <v>14</v>
      </c>
      <c r="H1016">
        <v>0.99996879999999999</v>
      </c>
      <c r="I1016">
        <v>0.99999994000000003</v>
      </c>
      <c r="J1016">
        <v>0.39631164000000002</v>
      </c>
      <c r="K1016">
        <f t="shared" si="46"/>
        <v>1</v>
      </c>
      <c r="L1016">
        <f t="shared" si="47"/>
        <v>1</v>
      </c>
      <c r="M1016">
        <f t="shared" si="48"/>
        <v>0</v>
      </c>
    </row>
    <row r="1017" spans="1:13" x14ac:dyDescent="0.2">
      <c r="A1017" t="s">
        <v>2851</v>
      </c>
      <c r="B1017" t="s">
        <v>2897</v>
      </c>
      <c r="C1017" t="s">
        <v>2899</v>
      </c>
      <c r="D1017" t="s">
        <v>207</v>
      </c>
      <c r="E1017" t="s">
        <v>634</v>
      </c>
      <c r="F1017" t="s">
        <v>9</v>
      </c>
      <c r="G1017" t="s">
        <v>10</v>
      </c>
      <c r="H1017">
        <v>0.8016913</v>
      </c>
      <c r="I1017" s="1">
        <v>3.9501170000000004E-6</v>
      </c>
      <c r="J1017">
        <v>1.4216321999999999E-4</v>
      </c>
      <c r="K1017">
        <f t="shared" si="46"/>
        <v>1</v>
      </c>
      <c r="L1017">
        <f t="shared" si="47"/>
        <v>0</v>
      </c>
      <c r="M1017">
        <f t="shared" si="48"/>
        <v>0</v>
      </c>
    </row>
    <row r="1018" spans="1:13" x14ac:dyDescent="0.2">
      <c r="A1018" t="s">
        <v>2852</v>
      </c>
      <c r="B1018" t="s">
        <v>2897</v>
      </c>
      <c r="C1018" t="s">
        <v>2899</v>
      </c>
      <c r="D1018" t="s">
        <v>207</v>
      </c>
      <c r="E1018" t="s">
        <v>634</v>
      </c>
      <c r="F1018" t="s">
        <v>9</v>
      </c>
      <c r="G1018" t="s">
        <v>10</v>
      </c>
      <c r="H1018">
        <v>0.8016913</v>
      </c>
      <c r="I1018" s="1">
        <v>3.9501170000000004E-6</v>
      </c>
      <c r="J1018">
        <v>1.4216321999999999E-4</v>
      </c>
      <c r="K1018">
        <f t="shared" si="46"/>
        <v>1</v>
      </c>
      <c r="L1018">
        <f t="shared" si="47"/>
        <v>0</v>
      </c>
      <c r="M1018">
        <f t="shared" si="48"/>
        <v>0</v>
      </c>
    </row>
    <row r="1019" spans="1:13" x14ac:dyDescent="0.2">
      <c r="A1019" t="s">
        <v>2853</v>
      </c>
      <c r="B1019" t="s">
        <v>2897</v>
      </c>
      <c r="C1019" t="s">
        <v>2899</v>
      </c>
      <c r="D1019" t="s">
        <v>1777</v>
      </c>
      <c r="E1019" t="s">
        <v>1778</v>
      </c>
      <c r="F1019" t="s">
        <v>9</v>
      </c>
      <c r="G1019" t="s">
        <v>65</v>
      </c>
      <c r="H1019">
        <v>1.2035031999999999E-3</v>
      </c>
      <c r="I1019" s="1">
        <v>5.463467E-8</v>
      </c>
      <c r="J1019" s="1">
        <v>3.5814168E-8</v>
      </c>
      <c r="K1019">
        <f t="shared" si="46"/>
        <v>0</v>
      </c>
      <c r="L1019">
        <f t="shared" si="47"/>
        <v>0</v>
      </c>
      <c r="M1019">
        <f t="shared" si="48"/>
        <v>0</v>
      </c>
    </row>
    <row r="1020" spans="1:13" x14ac:dyDescent="0.2">
      <c r="A1020" t="s">
        <v>2854</v>
      </c>
      <c r="B1020" t="s">
        <v>2897</v>
      </c>
      <c r="C1020" t="s">
        <v>2899</v>
      </c>
      <c r="D1020" t="s">
        <v>1779</v>
      </c>
      <c r="E1020" t="s">
        <v>1780</v>
      </c>
      <c r="F1020" t="s">
        <v>13</v>
      </c>
      <c r="G1020" t="s">
        <v>14</v>
      </c>
      <c r="H1020">
        <v>0.99999945999999995</v>
      </c>
      <c r="I1020">
        <v>0.98739445000000003</v>
      </c>
      <c r="J1020">
        <v>0.96262055999999996</v>
      </c>
      <c r="K1020">
        <f t="shared" si="46"/>
        <v>1</v>
      </c>
      <c r="L1020">
        <f t="shared" si="47"/>
        <v>1</v>
      </c>
      <c r="M1020">
        <f t="shared" si="48"/>
        <v>1</v>
      </c>
    </row>
    <row r="1021" spans="1:13" x14ac:dyDescent="0.2">
      <c r="A1021" t="s">
        <v>2855</v>
      </c>
      <c r="B1021" t="s">
        <v>2897</v>
      </c>
      <c r="C1021" t="s">
        <v>2899</v>
      </c>
      <c r="D1021" t="s">
        <v>1781</v>
      </c>
      <c r="E1021" t="s">
        <v>1782</v>
      </c>
      <c r="F1021" t="s">
        <v>9</v>
      </c>
      <c r="G1021" t="s">
        <v>14</v>
      </c>
      <c r="H1021">
        <v>5.4079719999999996E-3</v>
      </c>
      <c r="I1021">
        <v>2.2561698E-4</v>
      </c>
      <c r="J1021" s="1">
        <v>1.1212657E-11</v>
      </c>
      <c r="K1021">
        <f t="shared" si="46"/>
        <v>0</v>
      </c>
      <c r="L1021">
        <f t="shared" si="47"/>
        <v>0</v>
      </c>
      <c r="M1021">
        <f t="shared" si="48"/>
        <v>0</v>
      </c>
    </row>
    <row r="1022" spans="1:13" x14ac:dyDescent="0.2">
      <c r="A1022" t="s">
        <v>2856</v>
      </c>
      <c r="B1022" t="s">
        <v>2897</v>
      </c>
      <c r="C1022" t="s">
        <v>2899</v>
      </c>
      <c r="D1022" t="s">
        <v>1783</v>
      </c>
      <c r="E1022" t="s">
        <v>1784</v>
      </c>
      <c r="F1022" t="s">
        <v>9</v>
      </c>
      <c r="G1022" t="s">
        <v>10</v>
      </c>
      <c r="H1022">
        <v>0.99999994000000003</v>
      </c>
      <c r="I1022">
        <v>0.99999994000000003</v>
      </c>
      <c r="J1022">
        <v>4.2895139999999998E-2</v>
      </c>
      <c r="K1022">
        <f t="shared" si="46"/>
        <v>1</v>
      </c>
      <c r="L1022">
        <f t="shared" si="47"/>
        <v>1</v>
      </c>
      <c r="M1022">
        <f t="shared" si="48"/>
        <v>0</v>
      </c>
    </row>
    <row r="1023" spans="1:13" x14ac:dyDescent="0.2">
      <c r="A1023" t="s">
        <v>2857</v>
      </c>
      <c r="B1023" t="s">
        <v>2897</v>
      </c>
      <c r="C1023" t="s">
        <v>2899</v>
      </c>
      <c r="D1023" t="s">
        <v>1785</v>
      </c>
      <c r="E1023" t="s">
        <v>1786</v>
      </c>
      <c r="F1023" t="s">
        <v>17</v>
      </c>
      <c r="G1023" t="s">
        <v>14</v>
      </c>
      <c r="H1023">
        <v>0.99999994000000003</v>
      </c>
      <c r="I1023">
        <v>0.99994665000000005</v>
      </c>
      <c r="J1023">
        <v>0.99646259999999998</v>
      </c>
      <c r="K1023">
        <f t="shared" si="46"/>
        <v>1</v>
      </c>
      <c r="L1023">
        <f t="shared" si="47"/>
        <v>1</v>
      </c>
      <c r="M1023">
        <f t="shared" si="48"/>
        <v>1</v>
      </c>
    </row>
    <row r="1024" spans="1:13" x14ac:dyDescent="0.2">
      <c r="A1024" t="s">
        <v>2858</v>
      </c>
      <c r="B1024" t="s">
        <v>2897</v>
      </c>
      <c r="C1024" t="s">
        <v>2899</v>
      </c>
      <c r="D1024" t="s">
        <v>207</v>
      </c>
      <c r="E1024" t="s">
        <v>634</v>
      </c>
      <c r="F1024" t="s">
        <v>9</v>
      </c>
      <c r="G1024" t="s">
        <v>10</v>
      </c>
      <c r="H1024">
        <v>0.8016913</v>
      </c>
      <c r="I1024" s="1">
        <v>3.9501170000000004E-6</v>
      </c>
      <c r="J1024">
        <v>1.4216321999999999E-4</v>
      </c>
      <c r="K1024">
        <f t="shared" si="46"/>
        <v>1</v>
      </c>
      <c r="L1024">
        <f t="shared" si="47"/>
        <v>0</v>
      </c>
      <c r="M1024">
        <f t="shared" si="48"/>
        <v>0</v>
      </c>
    </row>
    <row r="1025" spans="1:13" x14ac:dyDescent="0.2">
      <c r="A1025" t="s">
        <v>2859</v>
      </c>
      <c r="B1025" t="s">
        <v>2897</v>
      </c>
      <c r="C1025" t="s">
        <v>2899</v>
      </c>
      <c r="D1025" t="s">
        <v>1787</v>
      </c>
      <c r="E1025" t="s">
        <v>1788</v>
      </c>
      <c r="F1025" t="s">
        <v>9</v>
      </c>
      <c r="G1025" t="s">
        <v>18</v>
      </c>
      <c r="H1025">
        <v>0.20192911999999999</v>
      </c>
      <c r="I1025" s="1">
        <v>5.5860784E-7</v>
      </c>
      <c r="J1025">
        <v>0.103054285</v>
      </c>
      <c r="K1025">
        <f t="shared" si="46"/>
        <v>0</v>
      </c>
      <c r="L1025">
        <f t="shared" si="47"/>
        <v>0</v>
      </c>
      <c r="M1025">
        <f t="shared" si="48"/>
        <v>0</v>
      </c>
    </row>
    <row r="1026" spans="1:13" x14ac:dyDescent="0.2">
      <c r="A1026" t="s">
        <v>2860</v>
      </c>
      <c r="B1026" t="s">
        <v>2897</v>
      </c>
      <c r="C1026" t="s">
        <v>2899</v>
      </c>
      <c r="D1026" t="s">
        <v>1789</v>
      </c>
      <c r="E1026" t="s">
        <v>1790</v>
      </c>
      <c r="F1026" t="s">
        <v>13</v>
      </c>
      <c r="G1026" t="s">
        <v>14</v>
      </c>
      <c r="H1026">
        <v>0.99999970000000005</v>
      </c>
      <c r="I1026">
        <v>0.99999994000000003</v>
      </c>
      <c r="J1026">
        <v>0.51494819999999997</v>
      </c>
      <c r="K1026">
        <f t="shared" si="46"/>
        <v>1</v>
      </c>
      <c r="L1026">
        <f t="shared" si="47"/>
        <v>1</v>
      </c>
      <c r="M1026">
        <f t="shared" si="48"/>
        <v>1</v>
      </c>
    </row>
    <row r="1027" spans="1:13" x14ac:dyDescent="0.2">
      <c r="A1027" t="s">
        <v>2861</v>
      </c>
      <c r="B1027" t="s">
        <v>2897</v>
      </c>
      <c r="C1027" t="s">
        <v>2899</v>
      </c>
      <c r="D1027" t="e">
        <f>-VQ-LVESGG-GVVQPGRSLRLSCAASGFTF---------SSYGMH-WVRQ-A-P-G-K--G-LE-WVAFIRKGN----------FYDTYY--A--D--SV--K---GRFTISR-D---N-S--KN----T-LYLQMNSLRA-EDTAVYYCAKDGY----------------------------GMDYWG-QGTLVTVSS</f>
        <v>#NAME?</v>
      </c>
      <c r="E1027" t="s">
        <v>258</v>
      </c>
      <c r="F1027" t="s">
        <v>13</v>
      </c>
      <c r="G1027" t="s">
        <v>14</v>
      </c>
      <c r="H1027">
        <v>0.99999254999999998</v>
      </c>
      <c r="I1027">
        <v>0.99999994000000003</v>
      </c>
      <c r="J1027">
        <v>7.7475699999999995E-2</v>
      </c>
      <c r="K1027">
        <f t="shared" ref="K1027:K1051" si="49">IF(H1027&gt;=0.5,1,0)</f>
        <v>1</v>
      </c>
      <c r="L1027">
        <f t="shared" ref="L1027:L1051" si="50">IF(I1027&gt;=0.5,1,0)</f>
        <v>1</v>
      </c>
      <c r="M1027">
        <f t="shared" ref="M1027:M1051" si="51">IF(J1027&gt;=0.5,1,0)</f>
        <v>0</v>
      </c>
    </row>
    <row r="1028" spans="1:13" x14ac:dyDescent="0.2">
      <c r="A1028" t="s">
        <v>2862</v>
      </c>
      <c r="B1028" t="s">
        <v>2897</v>
      </c>
      <c r="C1028" t="s">
        <v>2899</v>
      </c>
      <c r="D1028" t="s">
        <v>1791</v>
      </c>
      <c r="E1028" t="s">
        <v>1792</v>
      </c>
      <c r="F1028" t="s">
        <v>9</v>
      </c>
      <c r="G1028" t="s">
        <v>14</v>
      </c>
      <c r="H1028">
        <v>0.99999994000000003</v>
      </c>
      <c r="I1028">
        <v>0.99985120000000005</v>
      </c>
      <c r="J1028">
        <v>0.75688462999999995</v>
      </c>
      <c r="K1028">
        <f t="shared" si="49"/>
        <v>1</v>
      </c>
      <c r="L1028">
        <f t="shared" si="50"/>
        <v>1</v>
      </c>
      <c r="M1028">
        <f t="shared" si="51"/>
        <v>1</v>
      </c>
    </row>
    <row r="1029" spans="1:13" x14ac:dyDescent="0.2">
      <c r="A1029" t="s">
        <v>2863</v>
      </c>
      <c r="B1029" t="s">
        <v>2897</v>
      </c>
      <c r="C1029" t="s">
        <v>2899</v>
      </c>
      <c r="D1029" t="s">
        <v>1793</v>
      </c>
      <c r="E1029" t="s">
        <v>1794</v>
      </c>
      <c r="F1029" t="s">
        <v>9</v>
      </c>
      <c r="G1029" t="s">
        <v>14</v>
      </c>
      <c r="H1029">
        <v>0.99999994000000003</v>
      </c>
      <c r="I1029">
        <v>0.99999994000000003</v>
      </c>
      <c r="J1029">
        <v>8.4448289999999992E-3</v>
      </c>
      <c r="K1029">
        <f t="shared" si="49"/>
        <v>1</v>
      </c>
      <c r="L1029">
        <f t="shared" si="50"/>
        <v>1</v>
      </c>
      <c r="M1029">
        <f t="shared" si="51"/>
        <v>0</v>
      </c>
    </row>
    <row r="1030" spans="1:13" x14ac:dyDescent="0.2">
      <c r="A1030" t="s">
        <v>2864</v>
      </c>
      <c r="B1030" t="s">
        <v>2897</v>
      </c>
      <c r="C1030" t="s">
        <v>2899</v>
      </c>
      <c r="D1030" t="s">
        <v>1795</v>
      </c>
      <c r="E1030" t="s">
        <v>1796</v>
      </c>
      <c r="F1030" t="s">
        <v>13</v>
      </c>
      <c r="G1030" t="s">
        <v>14</v>
      </c>
      <c r="H1030">
        <v>0.97220295999999995</v>
      </c>
      <c r="I1030">
        <v>0.99999994000000003</v>
      </c>
      <c r="J1030">
        <v>0.73494725999999999</v>
      </c>
      <c r="K1030">
        <f t="shared" si="49"/>
        <v>1</v>
      </c>
      <c r="L1030">
        <f t="shared" si="50"/>
        <v>1</v>
      </c>
      <c r="M1030">
        <f t="shared" si="51"/>
        <v>1</v>
      </c>
    </row>
    <row r="1031" spans="1:13" x14ac:dyDescent="0.2">
      <c r="A1031" t="s">
        <v>2865</v>
      </c>
      <c r="B1031" t="s">
        <v>2897</v>
      </c>
      <c r="C1031" t="s">
        <v>2899</v>
      </c>
      <c r="D1031" t="s">
        <v>1797</v>
      </c>
      <c r="E1031" t="s">
        <v>1798</v>
      </c>
      <c r="F1031" t="s">
        <v>13</v>
      </c>
      <c r="G1031" t="s">
        <v>14</v>
      </c>
      <c r="H1031">
        <v>0.9983168</v>
      </c>
      <c r="I1031">
        <v>0.9999979</v>
      </c>
      <c r="J1031">
        <v>0.99999994000000003</v>
      </c>
      <c r="K1031">
        <f t="shared" si="49"/>
        <v>1</v>
      </c>
      <c r="L1031">
        <f t="shared" si="50"/>
        <v>1</v>
      </c>
      <c r="M1031">
        <f t="shared" si="51"/>
        <v>1</v>
      </c>
    </row>
    <row r="1032" spans="1:13" x14ac:dyDescent="0.2">
      <c r="A1032" t="s">
        <v>2866</v>
      </c>
      <c r="B1032" t="s">
        <v>2897</v>
      </c>
      <c r="C1032" t="s">
        <v>2899</v>
      </c>
      <c r="D1032" t="s">
        <v>1799</v>
      </c>
      <c r="E1032" t="s">
        <v>1800</v>
      </c>
      <c r="F1032" t="s">
        <v>9</v>
      </c>
      <c r="G1032" t="s">
        <v>10</v>
      </c>
      <c r="H1032">
        <v>0.99999945999999995</v>
      </c>
      <c r="I1032">
        <v>0.99999994000000003</v>
      </c>
      <c r="J1032">
        <v>0.92453660000000004</v>
      </c>
      <c r="K1032">
        <f t="shared" si="49"/>
        <v>1</v>
      </c>
      <c r="L1032">
        <f t="shared" si="50"/>
        <v>1</v>
      </c>
      <c r="M1032">
        <f t="shared" si="51"/>
        <v>1</v>
      </c>
    </row>
    <row r="1033" spans="1:13" x14ac:dyDescent="0.2">
      <c r="A1033" t="s">
        <v>2867</v>
      </c>
      <c r="B1033" t="s">
        <v>2897</v>
      </c>
      <c r="C1033" t="s">
        <v>2899</v>
      </c>
      <c r="D1033" t="e">
        <f>-VQ-LVQSGA-EVKKPGASVKVSCKASGYPF---------TSYGIS-WVRQ-A-P-G-Q--G-LE-WMGWISTY-----------NGNTNY--A--Q--KF--Q---GRVTMTT-D---T-S--TT----T-GYMELRRLRS-DDTAVYYCARDKY---------------------------DGFDYWG-QGTLVTVSS</f>
        <v>#NAME?</v>
      </c>
      <c r="E1033" t="s">
        <v>1801</v>
      </c>
      <c r="F1033" t="s">
        <v>9</v>
      </c>
      <c r="G1033" t="s">
        <v>40</v>
      </c>
      <c r="H1033">
        <v>0.99998039999999999</v>
      </c>
      <c r="I1033">
        <v>0.99999994000000003</v>
      </c>
      <c r="J1033">
        <v>0.28905700000000001</v>
      </c>
      <c r="K1033">
        <f t="shared" si="49"/>
        <v>1</v>
      </c>
      <c r="L1033">
        <f t="shared" si="50"/>
        <v>1</v>
      </c>
      <c r="M1033">
        <f t="shared" si="51"/>
        <v>0</v>
      </c>
    </row>
    <row r="1034" spans="1:13" x14ac:dyDescent="0.2">
      <c r="A1034" t="s">
        <v>2868</v>
      </c>
      <c r="B1034" t="s">
        <v>2897</v>
      </c>
      <c r="C1034" t="s">
        <v>2899</v>
      </c>
      <c r="D1034" t="s">
        <v>1802</v>
      </c>
      <c r="E1034" t="s">
        <v>1803</v>
      </c>
      <c r="F1034" t="s">
        <v>13</v>
      </c>
      <c r="G1034" t="s">
        <v>14</v>
      </c>
      <c r="H1034">
        <v>0.99776379999999998</v>
      </c>
      <c r="I1034">
        <v>0.99999970000000005</v>
      </c>
      <c r="J1034">
        <v>0.98074967000000002</v>
      </c>
      <c r="K1034">
        <f t="shared" si="49"/>
        <v>1</v>
      </c>
      <c r="L1034">
        <f t="shared" si="50"/>
        <v>1</v>
      </c>
      <c r="M1034">
        <f t="shared" si="51"/>
        <v>1</v>
      </c>
    </row>
    <row r="1035" spans="1:13" x14ac:dyDescent="0.2">
      <c r="A1035" t="s">
        <v>2869</v>
      </c>
      <c r="B1035" t="s">
        <v>2897</v>
      </c>
      <c r="C1035" t="s">
        <v>2899</v>
      </c>
      <c r="D1035" t="s">
        <v>1804</v>
      </c>
      <c r="E1035" t="s">
        <v>1805</v>
      </c>
      <c r="F1035" t="s">
        <v>9</v>
      </c>
      <c r="G1035" t="s">
        <v>65</v>
      </c>
      <c r="H1035">
        <v>3.5723227E-3</v>
      </c>
      <c r="I1035" s="1">
        <v>8.156223E-8</v>
      </c>
      <c r="J1035">
        <v>0.99404764000000001</v>
      </c>
      <c r="K1035">
        <f t="shared" si="49"/>
        <v>0</v>
      </c>
      <c r="L1035">
        <f t="shared" si="50"/>
        <v>0</v>
      </c>
      <c r="M1035">
        <f t="shared" si="51"/>
        <v>1</v>
      </c>
    </row>
    <row r="1036" spans="1:13" x14ac:dyDescent="0.2">
      <c r="A1036" t="s">
        <v>2870</v>
      </c>
      <c r="B1036" t="s">
        <v>2897</v>
      </c>
      <c r="C1036" t="s">
        <v>2899</v>
      </c>
      <c r="D1036" t="s">
        <v>1806</v>
      </c>
      <c r="E1036" t="s">
        <v>634</v>
      </c>
      <c r="F1036" t="s">
        <v>9</v>
      </c>
      <c r="G1036" t="s">
        <v>10</v>
      </c>
      <c r="H1036">
        <v>0.47803104000000002</v>
      </c>
      <c r="I1036" s="1">
        <v>3.9501170000000004E-6</v>
      </c>
      <c r="J1036" s="1">
        <v>3.7031345999999998E-5</v>
      </c>
      <c r="K1036">
        <f t="shared" si="49"/>
        <v>0</v>
      </c>
      <c r="L1036">
        <f t="shared" si="50"/>
        <v>0</v>
      </c>
      <c r="M1036">
        <f t="shared" si="51"/>
        <v>0</v>
      </c>
    </row>
    <row r="1037" spans="1:13" x14ac:dyDescent="0.2">
      <c r="A1037" t="s">
        <v>2871</v>
      </c>
      <c r="B1037" t="s">
        <v>2897</v>
      </c>
      <c r="C1037" t="s">
        <v>2899</v>
      </c>
      <c r="D1037" t="s">
        <v>1807</v>
      </c>
      <c r="E1037" t="s">
        <v>1808</v>
      </c>
      <c r="F1037" t="s">
        <v>9</v>
      </c>
      <c r="G1037" t="s">
        <v>14</v>
      </c>
      <c r="H1037">
        <v>0.99971030000000005</v>
      </c>
      <c r="I1037">
        <v>0.99999994000000003</v>
      </c>
      <c r="J1037">
        <v>3.2148004000000002E-4</v>
      </c>
      <c r="K1037">
        <f t="shared" si="49"/>
        <v>1</v>
      </c>
      <c r="L1037">
        <f t="shared" si="50"/>
        <v>1</v>
      </c>
      <c r="M1037">
        <f t="shared" si="51"/>
        <v>0</v>
      </c>
    </row>
    <row r="1038" spans="1:13" x14ac:dyDescent="0.2">
      <c r="A1038" t="s">
        <v>2872</v>
      </c>
      <c r="B1038" t="s">
        <v>2897</v>
      </c>
      <c r="C1038" t="s">
        <v>2899</v>
      </c>
      <c r="D1038" t="s">
        <v>1809</v>
      </c>
      <c r="E1038" t="s">
        <v>1810</v>
      </c>
      <c r="F1038" t="s">
        <v>370</v>
      </c>
      <c r="G1038" t="s">
        <v>18</v>
      </c>
      <c r="H1038">
        <v>0.37822339999999999</v>
      </c>
      <c r="I1038" s="1">
        <v>5.3318352000000003E-5</v>
      </c>
      <c r="J1038">
        <v>0.14918029999999999</v>
      </c>
      <c r="K1038">
        <f t="shared" si="49"/>
        <v>0</v>
      </c>
      <c r="L1038">
        <f t="shared" si="50"/>
        <v>0</v>
      </c>
      <c r="M1038">
        <f t="shared" si="51"/>
        <v>0</v>
      </c>
    </row>
    <row r="1039" spans="1:13" x14ac:dyDescent="0.2">
      <c r="A1039" t="s">
        <v>2873</v>
      </c>
      <c r="B1039" t="s">
        <v>2897</v>
      </c>
      <c r="C1039" t="s">
        <v>2899</v>
      </c>
      <c r="D1039" t="s">
        <v>1811</v>
      </c>
      <c r="E1039" t="s">
        <v>1812</v>
      </c>
      <c r="F1039" t="s">
        <v>9</v>
      </c>
      <c r="G1039" t="s">
        <v>14</v>
      </c>
      <c r="H1039">
        <v>0.15781105000000001</v>
      </c>
      <c r="I1039">
        <v>0.99999994000000003</v>
      </c>
      <c r="J1039" s="1">
        <v>5.8806320000000001E-6</v>
      </c>
      <c r="K1039">
        <f t="shared" si="49"/>
        <v>0</v>
      </c>
      <c r="L1039">
        <f t="shared" si="50"/>
        <v>1</v>
      </c>
      <c r="M1039">
        <f t="shared" si="51"/>
        <v>0</v>
      </c>
    </row>
    <row r="1040" spans="1:13" x14ac:dyDescent="0.2">
      <c r="A1040" t="s">
        <v>2874</v>
      </c>
      <c r="B1040" t="s">
        <v>2897</v>
      </c>
      <c r="C1040" t="s">
        <v>2899</v>
      </c>
      <c r="D1040" t="s">
        <v>1813</v>
      </c>
      <c r="E1040" t="s">
        <v>1814</v>
      </c>
      <c r="F1040" t="s">
        <v>13</v>
      </c>
      <c r="G1040" t="s">
        <v>65</v>
      </c>
      <c r="H1040">
        <v>0.99999994000000003</v>
      </c>
      <c r="I1040">
        <v>0.99999994000000003</v>
      </c>
      <c r="J1040">
        <v>0.99440634000000006</v>
      </c>
      <c r="K1040">
        <f t="shared" si="49"/>
        <v>1</v>
      </c>
      <c r="L1040">
        <f t="shared" si="50"/>
        <v>1</v>
      </c>
      <c r="M1040">
        <f t="shared" si="51"/>
        <v>1</v>
      </c>
    </row>
    <row r="1041" spans="1:13" x14ac:dyDescent="0.2">
      <c r="A1041" t="s">
        <v>2875</v>
      </c>
      <c r="B1041" t="s">
        <v>2897</v>
      </c>
      <c r="C1041" t="s">
        <v>2899</v>
      </c>
      <c r="D1041" t="s">
        <v>1815</v>
      </c>
      <c r="E1041" t="s">
        <v>1816</v>
      </c>
      <c r="F1041" t="s">
        <v>13</v>
      </c>
      <c r="G1041" t="s">
        <v>14</v>
      </c>
      <c r="H1041">
        <v>0.99999349999999998</v>
      </c>
      <c r="I1041">
        <v>0.99999994000000003</v>
      </c>
      <c r="J1041">
        <v>0.64465150000000004</v>
      </c>
      <c r="K1041">
        <f t="shared" si="49"/>
        <v>1</v>
      </c>
      <c r="L1041">
        <f t="shared" si="50"/>
        <v>1</v>
      </c>
      <c r="M1041">
        <f t="shared" si="51"/>
        <v>1</v>
      </c>
    </row>
    <row r="1042" spans="1:13" x14ac:dyDescent="0.2">
      <c r="A1042" t="s">
        <v>2876</v>
      </c>
      <c r="B1042" t="s">
        <v>2897</v>
      </c>
      <c r="C1042" t="s">
        <v>2899</v>
      </c>
      <c r="D1042" t="s">
        <v>1817</v>
      </c>
      <c r="E1042" t="s">
        <v>1818</v>
      </c>
      <c r="F1042" t="s">
        <v>13</v>
      </c>
      <c r="G1042" t="s">
        <v>20</v>
      </c>
      <c r="H1042">
        <v>0.99999300000000002</v>
      </c>
      <c r="I1042">
        <v>0.99999979999999999</v>
      </c>
      <c r="J1042">
        <v>0.66423666000000003</v>
      </c>
      <c r="K1042">
        <f t="shared" si="49"/>
        <v>1</v>
      </c>
      <c r="L1042">
        <f t="shared" si="50"/>
        <v>1</v>
      </c>
      <c r="M1042">
        <f t="shared" si="51"/>
        <v>1</v>
      </c>
    </row>
    <row r="1043" spans="1:13" x14ac:dyDescent="0.2">
      <c r="A1043" t="s">
        <v>2877</v>
      </c>
      <c r="B1043" t="s">
        <v>2897</v>
      </c>
      <c r="C1043" t="s">
        <v>2899</v>
      </c>
      <c r="D1043" t="s">
        <v>1819</v>
      </c>
      <c r="E1043" t="s">
        <v>1820</v>
      </c>
      <c r="F1043" t="s">
        <v>13</v>
      </c>
      <c r="G1043" t="s">
        <v>14</v>
      </c>
      <c r="H1043">
        <v>0.99989229999999996</v>
      </c>
      <c r="I1043">
        <v>0.99998719999999996</v>
      </c>
      <c r="J1043">
        <v>0.98906826999999997</v>
      </c>
      <c r="K1043">
        <f t="shared" si="49"/>
        <v>1</v>
      </c>
      <c r="L1043">
        <f t="shared" si="50"/>
        <v>1</v>
      </c>
      <c r="M1043">
        <f t="shared" si="51"/>
        <v>1</v>
      </c>
    </row>
    <row r="1044" spans="1:13" x14ac:dyDescent="0.2">
      <c r="A1044" t="s">
        <v>2878</v>
      </c>
      <c r="B1044" t="s">
        <v>2897</v>
      </c>
      <c r="C1044" t="s">
        <v>2899</v>
      </c>
      <c r="D1044" t="s">
        <v>1821</v>
      </c>
      <c r="E1044" t="s">
        <v>1822</v>
      </c>
      <c r="F1044" t="s">
        <v>13</v>
      </c>
      <c r="G1044" t="s">
        <v>40</v>
      </c>
      <c r="H1044">
        <v>0.99999017000000001</v>
      </c>
      <c r="I1044">
        <v>0.99999994000000003</v>
      </c>
      <c r="J1044">
        <v>0.61734809999999996</v>
      </c>
      <c r="K1044">
        <f t="shared" si="49"/>
        <v>1</v>
      </c>
      <c r="L1044">
        <f t="shared" si="50"/>
        <v>1</v>
      </c>
      <c r="M1044">
        <f t="shared" si="51"/>
        <v>1</v>
      </c>
    </row>
    <row r="1045" spans="1:13" x14ac:dyDescent="0.2">
      <c r="A1045" t="s">
        <v>2879</v>
      </c>
      <c r="B1045" t="s">
        <v>2897</v>
      </c>
      <c r="C1045" t="s">
        <v>2899</v>
      </c>
      <c r="D1045" t="s">
        <v>1823</v>
      </c>
      <c r="E1045" t="s">
        <v>1824</v>
      </c>
      <c r="F1045" t="s">
        <v>17</v>
      </c>
      <c r="G1045" t="s">
        <v>65</v>
      </c>
      <c r="H1045">
        <v>2.8491825999999999E-4</v>
      </c>
      <c r="I1045">
        <v>1.6374371000000001E-3</v>
      </c>
      <c r="J1045" s="1">
        <v>1.0705251E-23</v>
      </c>
      <c r="K1045">
        <f t="shared" si="49"/>
        <v>0</v>
      </c>
      <c r="L1045">
        <f t="shared" si="50"/>
        <v>0</v>
      </c>
      <c r="M1045">
        <f t="shared" si="51"/>
        <v>0</v>
      </c>
    </row>
    <row r="1046" spans="1:13" x14ac:dyDescent="0.2">
      <c r="A1046" t="s">
        <v>2880</v>
      </c>
      <c r="B1046" t="s">
        <v>2897</v>
      </c>
      <c r="C1046" t="s">
        <v>2899</v>
      </c>
      <c r="D1046" t="s">
        <v>1825</v>
      </c>
      <c r="E1046" t="s">
        <v>953</v>
      </c>
      <c r="F1046" t="s">
        <v>9</v>
      </c>
      <c r="G1046" t="s">
        <v>10</v>
      </c>
      <c r="H1046">
        <v>0.99999959999999999</v>
      </c>
      <c r="I1046">
        <v>0.99999994000000003</v>
      </c>
      <c r="J1046">
        <v>1.0436598E-3</v>
      </c>
      <c r="K1046">
        <f t="shared" si="49"/>
        <v>1</v>
      </c>
      <c r="L1046">
        <f t="shared" si="50"/>
        <v>1</v>
      </c>
      <c r="M1046">
        <f t="shared" si="51"/>
        <v>0</v>
      </c>
    </row>
    <row r="1047" spans="1:13" x14ac:dyDescent="0.2">
      <c r="A1047" t="s">
        <v>2881</v>
      </c>
      <c r="B1047" t="s">
        <v>2897</v>
      </c>
      <c r="C1047" t="s">
        <v>2899</v>
      </c>
      <c r="D1047" t="s">
        <v>1826</v>
      </c>
      <c r="E1047" t="s">
        <v>1827</v>
      </c>
      <c r="F1047" t="s">
        <v>370</v>
      </c>
      <c r="G1047" t="s">
        <v>65</v>
      </c>
      <c r="H1047">
        <v>0.19261526000000001</v>
      </c>
      <c r="I1047" s="1">
        <v>2.0025842999999999E-6</v>
      </c>
      <c r="J1047" s="1">
        <v>4.9590140000000003E-9</v>
      </c>
      <c r="K1047">
        <f t="shared" si="49"/>
        <v>0</v>
      </c>
      <c r="L1047">
        <f t="shared" si="50"/>
        <v>0</v>
      </c>
      <c r="M1047">
        <f t="shared" si="51"/>
        <v>0</v>
      </c>
    </row>
    <row r="1048" spans="1:13" x14ac:dyDescent="0.2">
      <c r="A1048" t="s">
        <v>2882</v>
      </c>
      <c r="B1048" t="s">
        <v>2897</v>
      </c>
      <c r="C1048" t="s">
        <v>2899</v>
      </c>
      <c r="D1048" t="s">
        <v>1828</v>
      </c>
      <c r="E1048" t="s">
        <v>1829</v>
      </c>
      <c r="F1048" t="s">
        <v>17</v>
      </c>
      <c r="G1048" t="s">
        <v>14</v>
      </c>
      <c r="H1048">
        <v>0.99999970000000005</v>
      </c>
      <c r="I1048">
        <v>0.99999994000000003</v>
      </c>
      <c r="J1048">
        <v>0.99997645999999996</v>
      </c>
      <c r="K1048">
        <f t="shared" si="49"/>
        <v>1</v>
      </c>
      <c r="L1048">
        <f t="shared" si="50"/>
        <v>1</v>
      </c>
      <c r="M1048">
        <f t="shared" si="51"/>
        <v>1</v>
      </c>
    </row>
    <row r="1049" spans="1:13" x14ac:dyDescent="0.2">
      <c r="A1049" t="s">
        <v>2883</v>
      </c>
      <c r="B1049" t="s">
        <v>2897</v>
      </c>
      <c r="C1049" t="s">
        <v>2899</v>
      </c>
      <c r="D1049" t="s">
        <v>1830</v>
      </c>
      <c r="E1049" t="s">
        <v>1831</v>
      </c>
      <c r="F1049" t="s">
        <v>370</v>
      </c>
      <c r="G1049" t="s">
        <v>65</v>
      </c>
      <c r="H1049">
        <v>0.882073</v>
      </c>
      <c r="I1049" s="1">
        <v>3.6776587000000003E-8</v>
      </c>
      <c r="J1049" s="1">
        <v>2.9519703999999998E-9</v>
      </c>
      <c r="K1049">
        <f t="shared" si="49"/>
        <v>1</v>
      </c>
      <c r="L1049">
        <f t="shared" si="50"/>
        <v>0</v>
      </c>
      <c r="M1049">
        <f t="shared" si="51"/>
        <v>0</v>
      </c>
    </row>
    <row r="1050" spans="1:13" x14ac:dyDescent="0.2">
      <c r="A1050" t="s">
        <v>2884</v>
      </c>
      <c r="B1050" t="s">
        <v>2897</v>
      </c>
      <c r="C1050" t="s">
        <v>2899</v>
      </c>
      <c r="D1050" t="s">
        <v>1832</v>
      </c>
      <c r="E1050" t="s">
        <v>1833</v>
      </c>
      <c r="F1050" t="s">
        <v>13</v>
      </c>
      <c r="G1050" t="s">
        <v>14</v>
      </c>
      <c r="H1050">
        <v>0.99992999999999999</v>
      </c>
      <c r="I1050">
        <v>0.99998379999999998</v>
      </c>
      <c r="J1050">
        <v>6.2836049999999996E-4</v>
      </c>
      <c r="K1050">
        <f t="shared" si="49"/>
        <v>1</v>
      </c>
      <c r="L1050">
        <f t="shared" si="50"/>
        <v>1</v>
      </c>
      <c r="M1050">
        <f t="shared" si="51"/>
        <v>0</v>
      </c>
    </row>
    <row r="1051" spans="1:13" x14ac:dyDescent="0.2">
      <c r="A1051" t="s">
        <v>2885</v>
      </c>
      <c r="B1051" t="s">
        <v>2897</v>
      </c>
      <c r="C1051" t="s">
        <v>2899</v>
      </c>
      <c r="D1051" t="e">
        <f>-VQ-LQQSGP-GLVKPSQTLSLTCAISGDSV---------SSDYYW-WIRQ-P-P-G-K--G-LE-WIGYISYY-----------SGSTNY--N--P--SL--K---SRVTMSV-D---T-S--KN----Q-FSLKLSSVTA-ADTAVYYCARVSYYGY----------------------GYWYFDVWG-KGTTVTVSS</f>
        <v>#NAME?</v>
      </c>
      <c r="E1051" t="s">
        <v>1834</v>
      </c>
      <c r="F1051" t="s">
        <v>17</v>
      </c>
      <c r="G1051" t="s">
        <v>14</v>
      </c>
      <c r="H1051">
        <v>0.99980073999999997</v>
      </c>
      <c r="I1051">
        <v>0.99999369999999999</v>
      </c>
      <c r="J1051">
        <v>0.95142287000000003</v>
      </c>
      <c r="K1051">
        <f t="shared" si="49"/>
        <v>1</v>
      </c>
      <c r="L1051">
        <f t="shared" si="50"/>
        <v>1</v>
      </c>
      <c r="M1051">
        <f t="shared" si="5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Percentage Human</vt:lpstr>
      <vt:lpstr>generated_antigen_seqs_Humatch_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2025-09-24T19:54:23Z</dcterms:created>
  <dcterms:modified xsi:type="dcterms:W3CDTF">2025-09-24T20:19:58Z</dcterms:modified>
</cp:coreProperties>
</file>