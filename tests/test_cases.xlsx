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rid\OneDrive\Desktop\Internship_BetterData\"/>
    </mc:Choice>
  </mc:AlternateContent>
  <xr:revisionPtr revIDLastSave="0" documentId="13_ncr:1_{12382831-4707-412F-94DA-ED635BF9BEAD}" xr6:coauthVersionLast="47" xr6:coauthVersionMax="47" xr10:uidLastSave="{00000000-0000-0000-0000-000000000000}"/>
  <bookViews>
    <workbookView xWindow="-110" yWindow="-110" windowWidth="19420" windowHeight="12220" tabRatio="500" xr2:uid="{00000000-000D-0000-FFFF-FFFF00000000}"/>
  </bookViews>
  <sheets>
    <sheet name="test_cases" sheetId="1" r:id="rId1"/>
    <sheet name="generated_seq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1" l="1"/>
  <c r="L2" i="1"/>
</calcChain>
</file>

<file path=xl/sharedStrings.xml><?xml version="1.0" encoding="utf-8"?>
<sst xmlns="http://schemas.openxmlformats.org/spreadsheetml/2006/main" count="123" uniqueCount="93">
  <si>
    <t>pdb_id</t>
  </si>
  <si>
    <t>source</t>
  </si>
  <si>
    <t>h_chain_id</t>
  </si>
  <si>
    <t>l_chain_id</t>
  </si>
  <si>
    <t>antigen_ids</t>
  </si>
  <si>
    <t>h_chain_seq</t>
  </si>
  <si>
    <t>l_chain_seq</t>
  </si>
  <si>
    <t>antigen_seqs</t>
  </si>
  <si>
    <t>antibody_sequences</t>
  </si>
  <si>
    <t>highlighted_epitope_sequences</t>
  </si>
  <si>
    <t>ma-ccy4e</t>
  </si>
  <si>
    <t>https://www.modelarchive.org/doi/10.5452/ma-ccy4e</t>
  </si>
  <si>
    <t>H</t>
  </si>
  <si>
    <t>L</t>
  </si>
  <si>
    <t>Y</t>
  </si>
  <si>
    <t>DVQLQESGPSLVKPSQTLSLTCSVTGDSITSDYWSWIRKFPGNRLEYMGYVSYSGSTYYNPSLKSRISITRDTSKNQYYLDLNSVTTEDTATYYCANWDGDYWGQGTLVTVSA</t>
  </si>
  <si>
    <t>DIVLTQSPATLSVTPGNSVSLSCRASQSIGNNLHWYQQKSHESPRLLIKYASQSISGIPSRFSGSGSGTDFTLSINSVETEDFGMYFCQQSNSWPYTFGGGTKLEIK</t>
  </si>
  <si>
    <t>KVFGRCELAAAMKRHGLDNYRGYSLGNWVCAAKFESNFNTQATNRNTDGSTDYGILQINSRWWCNDGRTPGSRNLCNIPCSALLSSDITASVNCAKKIVSDGNGMNAWVAWRNRCKGTDVQAWIRGCRL</t>
  </si>
  <si>
    <t>KVFGRCELAAAM[K][R]HGL[D][N][Y]RG[Y][S]LG[N]WVCAAKFESNFNTQATNRNTDGSTDYGILQINSRWWCNDGRTPGSRNLCNIPCSALLSSDITASVNCA[K]KIVSDGNGMNAWVAWRNRCK[G][T][D]V[Q]AW[I][R]GCRL</t>
  </si>
  <si>
    <t>ma-dpr9i</t>
  </si>
  <si>
    <t>https://www.modelarchive.org/doi/10.5452/ma-dpr9i</t>
  </si>
  <si>
    <t>A</t>
  </si>
  <si>
    <t>NLCPFHEVFNATTFASVYAWNRKRISNCVADYSVIYNFAPFFAFKCYGVSPTKLNDLCFTNVYADSFVIRGNEVSQIAPGQTGNIADYNYKLPDDFTGCVIAWNSNKLDSKPSGNYNYLYRLLRKSKLKPFERDISTEIYQAGNKPCNGVAGPNCYSPLQSYGFRPTYGVGHQPYRVVVLSFELLHAPATVCGP</t>
  </si>
  <si>
    <t>NLCPFHEVFNATTFASVYAWNRKRISNCVADYSVIYNFAPFFAFKCYGVSPTKLNDLCFTNVYADSFVI[R]G[N]EV[S][Q]IAPGQ[T]GNIADYNYKLPDDFTGCVIAWNSN[K]LDSKPSGNYNYLYRLLRKSKLKPFERDISTEIYQAGNKPCNGVAGPNCYSPLQSYGF[R]P[T][Y][G][V]GH[Q]PYRVVVLSFELLHAPATVCGP</t>
  </si>
  <si>
    <t>seq_id</t>
  </si>
  <si>
    <t>h_chain</t>
  </si>
  <si>
    <t>l_chain</t>
  </si>
  <si>
    <t xml:space="preserve">DIVMTQSPLSLPVTPGEPASISCRSSQSLLHSNGYNYLDWYLQKPGQSPQLLIYLGSNRASGVPDRFSGSGSGTDFTLKISRVEAEDVGVYYCMQALQTPLYTFGGGTKLEIK </t>
  </si>
  <si>
    <t xml:space="preserve">QVQLQQPGAELVKPGASVKMSCKASGYTFTSYWMHWIKQRPGQGLEWIGEIDPSDSYTNYNEKFHKATLTVDKSSSTAYMQLNSLTSEDSAVYYCARDFDYWGQGTTLTVSS </t>
  </si>
  <si>
    <t>VQLLESGAEVKKPGASVKVSCKASGYTFISYYMNWVRQAPGQRLEWMGWIKGGVTNEKARNPKFIQGSRTTYADTAVYMELSSLRYEDSATLTVRDSSRTAYMQKFPLAPWGQGTLLT</t>
  </si>
  <si>
    <t>DIVLTQSPDSLAVSLGERATINCKSSQNNKNYLAWYQQKPGQPPKVLIYWASTRESGVPDRFSGSGSGTDFTLTISSLQAEDVAVYYCHQYNSFPPTFGAGTKLELK</t>
  </si>
  <si>
    <t>EVQLVESGGGLVKPGGSLKLSCAASGFAFTSYDMSWVRQTPEKRLEWVAYISSGGGSTYYPDTVKGRFTISRDNAKNTLYLQMSSLKSEDTAMYYCARPDYYYGDYFDYWGQGTTLTVSS</t>
  </si>
  <si>
    <t>DIVMTQSPLSLPVTLGQPASISCRSSQDGNTFLHWYQQKPDGTVLLIINYNNIRDSGVPDRFSGSGSGTDFTLKISRVEAEDVGVYYCMQALQTPRTFGQGTKVEIK</t>
  </si>
  <si>
    <t>QMQLVESGGGVVQPGRSLRLSCAASAFTFSNIHWMSWVRQPPGKGLEWLALIWDGSNNYYADSVEGRFTISRDNAKDTLYLQMNSLRVEDTAIYYCAKFISTYDAWGQGVMVTVSSASTKGPSVFPLAPSGTAALGCLVKDYFPEPVTVSWNSGALTSGVHTFPAVLQSSGLYSLSSVVTVPSSSLGTQTYICNVNHKPSNTKVDKKVEPK</t>
  </si>
  <si>
    <t>DIQMTQSPSTLSASVGDRVTITCRASQSISRWLAWYQQKPGKAPKLLIYAASSLQSGVPSRFSGSGSGTEFTLTISNLQPEDFATYYCQHLIGYPFTFGQGTKLEIKRTVAAPSVFIFPPSDEQLKSGTASVVCLLNNFYPREAKVQWKVDNALQSGNSQESVTEQDSKDSTYSLSSTLTLSKADYEKHKVYACEVTHQGLSSPVTKSFNRGE</t>
  </si>
  <si>
    <t>EVQLVESGGGLIQPGGSLRLSCAASEFIVSRNYMSWVRQAPGKGLEWVGAISSIGSTAYAESVKGRFTISRDDAKNTLYLQMNSLKSEDTAMYYCARQGYDPAMDYWGQGTSVTVSS</t>
  </si>
  <si>
    <t>DIQMTQSPSSLSAAVGDRVTITCRASQSISTHLHWYQQKPGKAPKLLIYGASTLQSGVPSRFSGSGSGTEFTLTISSLQPDDFATYYCQQYSSYWTFGQGTKVEIKRT</t>
  </si>
  <si>
    <t>QVQLVESGGGVVQPGRSLRLSCAASGFTFSNYGMHWVRQAPGKGLEWVAVISYDGSNKYYADSVKGRFTISRDNSKNTLYLQMNSLRADDTAVYYCARGDKGYSDYWGQGTLVTVSSASTKGPSVFPLAPSSKSTSGGTAALGCLVKDYFPEPVTVSWNSGALTSGVHTFPAVLQSSGLYSLSSVVTVPSSSLGTQTYICNVNHKPSNTKVDKKVEPK</t>
  </si>
  <si>
    <t>DIQMTQSPSSLSASVGDRVTITCRASQSISTHLNWYQQKPGKAPKLLIYAASSLQSGVPSRFSGSGSGTDFTLTISSLQPEDFATYYCQQSYSTPWTFGQGTKVEIKRTVAAPSVFIFPPSDEQLKSGTASVVCLLNNFYPREAKVQWKVDNALQSGNSQESVTEQDSKDSTYSLSSTLTLSKADYEKHKVYACEVTHQGLSSPVTKSFNRGE</t>
  </si>
  <si>
    <t>ma-1dqrd</t>
  </si>
  <si>
    <t>PD-L1</t>
  </si>
  <si>
    <t>https://www.modelarchive.org/doi/10.5452/ma-c7d6n</t>
  </si>
  <si>
    <t>https://www.modelarchive.org/doi/10.5452/ma-cjnxd</t>
  </si>
  <si>
    <t>https://www.modelarchive.org/doi/10.5452/ma-cdl3l</t>
  </si>
  <si>
    <t>https://www.modelarchive.org/doi/10.5452/ma-cru5u</t>
  </si>
  <si>
    <t>https://www.modelarchive.org/doi/10.5452/ma-ci9yk</t>
  </si>
  <si>
    <t>https://www.modelarchive.org/doi/10.5452/ma-c8s4s</t>
  </si>
  <si>
    <t>https://www.modelarchive.org/doi/10.5452/ma-1dqrd</t>
  </si>
  <si>
    <t>https://www.rcsb.org/structure/2WH6</t>
  </si>
  <si>
    <t>https://www.rcsb.org/structure/8HGO</t>
  </si>
  <si>
    <t>https://www.rcsb.org/structure/4OO8</t>
  </si>
  <si>
    <t>https://www.rcsb.org/structure/3DI3</t>
  </si>
  <si>
    <t>https://www.rcsb.org/structure/1PEB</t>
  </si>
  <si>
    <t>https://www.rcsb.org/structure/4Z18</t>
  </si>
  <si>
    <t>Antigen type</t>
  </si>
  <si>
    <t>Antigen source</t>
  </si>
  <si>
    <t>Antigen name</t>
  </si>
  <si>
    <t>protein</t>
  </si>
  <si>
    <t>human</t>
  </si>
  <si>
    <t>lysozyme</t>
  </si>
  <si>
    <t>ma-dpr9i (7u2e)</t>
  </si>
  <si>
    <t>virus</t>
  </si>
  <si>
    <t>SARS-CoV-2 receptor binding domain</t>
  </si>
  <si>
    <t>ma-cdl3l (2EXP)</t>
  </si>
  <si>
    <t>EGFR peptide</t>
  </si>
  <si>
    <t>protein(peptide)</t>
  </si>
  <si>
    <t>ma-cjnxd (1OSO)</t>
  </si>
  <si>
    <t>bacteria</t>
  </si>
  <si>
    <t>ma-c7d6n (1HFM)</t>
  </si>
  <si>
    <t>ma-cru5u (1EM4)</t>
  </si>
  <si>
    <t>ma-ci9yk (1ATM)</t>
  </si>
  <si>
    <t>ma-c8s4s(1IIF)</t>
  </si>
  <si>
    <t>HY/HEL-10 FAB-LYSOZYME </t>
  </si>
  <si>
    <t>Not sure, here is pupmed link to article:https://pubmed.ncbi.nlm.nih.gov/12818205/</t>
  </si>
  <si>
    <t>Benzo[A]pyrene</t>
  </si>
  <si>
    <t>polycylic aromatic hydrocarbon(pah)</t>
  </si>
  <si>
    <t>environmental</t>
  </si>
  <si>
    <t>glycoprotein</t>
  </si>
  <si>
    <t>Ley tetrasaccharide</t>
  </si>
  <si>
    <t>p24</t>
  </si>
  <si>
    <t xml:space="preserve">virus </t>
  </si>
  <si>
    <t>BH3 peptide</t>
  </si>
  <si>
    <t>EGFR/HER2 ectodomain</t>
  </si>
  <si>
    <t>glycosylated human interleukin-7 receptor alpha ectodomain</t>
  </si>
  <si>
    <t>endonuclease</t>
  </si>
  <si>
    <t>BHRF1 (2WH6)</t>
  </si>
  <si>
    <t>EGFR (8HGO0</t>
  </si>
  <si>
    <t>Cas9 (4OO8)</t>
  </si>
  <si>
    <t>IL-7Ra (3DI3)</t>
  </si>
  <si>
    <t>maltose</t>
  </si>
  <si>
    <t>carbohydrate</t>
  </si>
  <si>
    <t>MBP (1PEB)</t>
  </si>
  <si>
    <t>programmed cell death ligand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</si>
</sst>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sz val="12"/>
      <name val="Calibri"/>
      <family val="2"/>
      <charset val="1"/>
    </font>
    <font>
      <sz val="12"/>
      <color rgb="FF333333"/>
      <name val="Arial"/>
      <family val="2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13">
    <xf numFmtId="0" fontId="0" fillId="0" borderId="0" xfId="0"/>
    <xf numFmtId="0" fontId="1" fillId="0" borderId="0" xfId="1" applyBorder="1" applyProtection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1" applyAlignment="1">
      <alignment wrapText="1"/>
    </xf>
    <xf numFmtId="0" fontId="2" fillId="0" borderId="0" xfId="0" applyFont="1"/>
    <xf numFmtId="0" fontId="2" fillId="0" borderId="0" xfId="1" applyFont="1" applyBorder="1" applyProtection="1"/>
    <xf numFmtId="0" fontId="2" fillId="0" borderId="0" xfId="1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1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delarchive.org/doi/10.5452/ma-c8s4s" TargetMode="External"/><Relationship Id="rId3" Type="http://schemas.openxmlformats.org/officeDocument/2006/relationships/hyperlink" Target="https://www.modelarchive.org/doi/10.5452/ma-c7d6n" TargetMode="External"/><Relationship Id="rId7" Type="http://schemas.openxmlformats.org/officeDocument/2006/relationships/hyperlink" Target="https://www.modelarchive.org/doi/10.5452/ma-cru5u" TargetMode="External"/><Relationship Id="rId2" Type="http://schemas.openxmlformats.org/officeDocument/2006/relationships/hyperlink" Target="https://www.modelarchive.org/doi/10.5452/ma-dpr9i" TargetMode="External"/><Relationship Id="rId1" Type="http://schemas.openxmlformats.org/officeDocument/2006/relationships/hyperlink" Target="https://www.modelarchive.org/doi/10.5452/ma-ccy4e" TargetMode="External"/><Relationship Id="rId6" Type="http://schemas.openxmlformats.org/officeDocument/2006/relationships/hyperlink" Target="https://www.modelarchive.org/doi/10.5452/ma-cjnxd" TargetMode="External"/><Relationship Id="rId5" Type="http://schemas.openxmlformats.org/officeDocument/2006/relationships/hyperlink" Target="https://www.modelarchive.org/doi/10.5452/ma-1dqrd" TargetMode="External"/><Relationship Id="rId4" Type="http://schemas.openxmlformats.org/officeDocument/2006/relationships/hyperlink" Target="https://www.modelarchive.org/doi/10.5452/ma-cdl3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topLeftCell="B1" zoomScale="80" zoomScaleNormal="80" workbookViewId="0">
      <selection activeCell="E16" sqref="E16"/>
    </sheetView>
  </sheetViews>
  <sheetFormatPr defaultColWidth="10.5" defaultRowHeight="15.5" x14ac:dyDescent="0.35"/>
  <cols>
    <col min="1" max="1" width="14.83203125" customWidth="1"/>
    <col min="2" max="2" width="47" customWidth="1"/>
    <col min="3" max="5" width="47" style="6" customWidth="1"/>
    <col min="6" max="6" width="10" customWidth="1"/>
    <col min="7" max="7" width="9.5" customWidth="1"/>
    <col min="8" max="8" width="10.58203125" customWidth="1"/>
    <col min="9" max="9" width="38" customWidth="1"/>
    <col min="10" max="10" width="37.33203125" customWidth="1"/>
    <col min="11" max="11" width="45.83203125" customWidth="1"/>
    <col min="12" max="12" width="52.58203125" customWidth="1"/>
    <col min="13" max="13" width="45.5" customWidth="1"/>
  </cols>
  <sheetData>
    <row r="1" spans="1:13" x14ac:dyDescent="0.35">
      <c r="A1" t="s">
        <v>0</v>
      </c>
      <c r="B1" t="s">
        <v>1</v>
      </c>
      <c r="C1" s="6" t="s">
        <v>54</v>
      </c>
      <c r="D1" s="6" t="s">
        <v>55</v>
      </c>
      <c r="E1" s="6" t="s">
        <v>56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ht="77.5" x14ac:dyDescent="0.35">
      <c r="A2" t="s">
        <v>10</v>
      </c>
      <c r="B2" s="1" t="s">
        <v>11</v>
      </c>
      <c r="C2" s="7" t="s">
        <v>57</v>
      </c>
      <c r="D2" s="7" t="s">
        <v>58</v>
      </c>
      <c r="E2" s="7" t="s">
        <v>59</v>
      </c>
      <c r="F2" t="s">
        <v>12</v>
      </c>
      <c r="G2" t="s">
        <v>13</v>
      </c>
      <c r="H2" t="s">
        <v>14</v>
      </c>
      <c r="I2" s="2" t="s">
        <v>15</v>
      </c>
      <c r="J2" s="2" t="s">
        <v>16</v>
      </c>
      <c r="K2" s="2" t="s">
        <v>17</v>
      </c>
      <c r="L2" s="2" t="str">
        <f>_xlfn.CONCAT(I2,"|",J2)</f>
        <v>DVQLQESGPSLVKPSQTLSLTCSVTGDSITSDYWSWIRKFPGNRLEYMGYVSYSGSTYYNPSLKSRISITRDTSKNQYYLDLNSVTTEDTATYYCANWDGDYWGQGTLVTVSA|DIVLTQSPATLSVTPGNSVSLSCRASQSIGNNLHWYQQKSHESPRLLIKYASQSISGIPSRFSGSGSGTDFTLSINSVETEDFGMYFCQQSNSWPYTFGGGTKLEIK</v>
      </c>
      <c r="M2" s="2" t="s">
        <v>18</v>
      </c>
    </row>
    <row r="3" spans="1:13" ht="93" x14ac:dyDescent="0.35">
      <c r="A3" t="s">
        <v>60</v>
      </c>
      <c r="B3" s="1" t="s">
        <v>20</v>
      </c>
      <c r="C3" s="7" t="s">
        <v>57</v>
      </c>
      <c r="D3" s="7" t="s">
        <v>61</v>
      </c>
      <c r="E3" s="7" t="s">
        <v>62</v>
      </c>
      <c r="F3" t="s">
        <v>12</v>
      </c>
      <c r="G3" t="s">
        <v>13</v>
      </c>
      <c r="H3" t="s">
        <v>21</v>
      </c>
      <c r="I3" s="2" t="s">
        <v>15</v>
      </c>
      <c r="J3" s="2" t="s">
        <v>16</v>
      </c>
      <c r="K3" s="2" t="s">
        <v>22</v>
      </c>
      <c r="L3" s="2" t="str">
        <f>_xlfn.CONCAT(I3,"|",J3)</f>
        <v>DVQLQESGPSLVKPSQTLSLTCSVTGDSITSDYWSWIRKFPGNRLEYMGYVSYSGSTYYNPSLKSRISITRDTSKNQYYLDLNSVTTEDTATYYCANWDGDYWGQGTLVTVSA|DIVLTQSPATLSVTPGNSVSLSCRASQSIGNNLHWYQQKSHESPRLLIKYASQSISGIPSRFSGSGSGTDFTLSINSVETEDFGMYFCQQSNSWPYTFGGGTKLEIK</v>
      </c>
      <c r="M3" s="2" t="s">
        <v>23</v>
      </c>
    </row>
    <row r="4" spans="1:13" ht="31" x14ac:dyDescent="0.35">
      <c r="A4" s="2" t="s">
        <v>68</v>
      </c>
      <c r="B4" s="5" t="s">
        <v>41</v>
      </c>
      <c r="C4" s="8" t="s">
        <v>57</v>
      </c>
      <c r="D4" s="8" t="s">
        <v>58</v>
      </c>
      <c r="E4" s="11" t="s">
        <v>72</v>
      </c>
    </row>
    <row r="5" spans="1:13" ht="31" x14ac:dyDescent="0.35">
      <c r="A5" s="2" t="s">
        <v>66</v>
      </c>
      <c r="B5" s="10" t="s">
        <v>42</v>
      </c>
      <c r="C5" s="9" t="s">
        <v>73</v>
      </c>
      <c r="D5" s="9" t="s">
        <v>67</v>
      </c>
      <c r="E5" s="9"/>
    </row>
    <row r="6" spans="1:13" x14ac:dyDescent="0.35">
      <c r="A6" s="2" t="s">
        <v>63</v>
      </c>
      <c r="B6" s="10" t="s">
        <v>43</v>
      </c>
      <c r="C6" s="9" t="s">
        <v>65</v>
      </c>
      <c r="D6" s="9" t="s">
        <v>58</v>
      </c>
      <c r="E6" s="9" t="s">
        <v>64</v>
      </c>
    </row>
    <row r="7" spans="1:13" ht="31" x14ac:dyDescent="0.35">
      <c r="A7" s="2" t="s">
        <v>69</v>
      </c>
      <c r="B7" s="10" t="s">
        <v>44</v>
      </c>
      <c r="C7" s="9" t="s">
        <v>75</v>
      </c>
      <c r="D7" s="9" t="s">
        <v>76</v>
      </c>
      <c r="E7" s="9" t="s">
        <v>74</v>
      </c>
    </row>
    <row r="8" spans="1:13" x14ac:dyDescent="0.35">
      <c r="A8" s="2" t="s">
        <v>70</v>
      </c>
      <c r="B8" s="2" t="s">
        <v>45</v>
      </c>
      <c r="C8" s="9" t="s">
        <v>77</v>
      </c>
      <c r="D8" s="9" t="s">
        <v>58</v>
      </c>
      <c r="E8" s="9" t="s">
        <v>78</v>
      </c>
    </row>
    <row r="9" spans="1:13" x14ac:dyDescent="0.35">
      <c r="A9" s="2" t="s">
        <v>71</v>
      </c>
      <c r="B9" s="10" t="s">
        <v>46</v>
      </c>
      <c r="C9" s="9" t="s">
        <v>57</v>
      </c>
      <c r="D9" s="9" t="s">
        <v>61</v>
      </c>
      <c r="E9" s="9" t="s">
        <v>79</v>
      </c>
    </row>
    <row r="10" spans="1:13" x14ac:dyDescent="0.35">
      <c r="A10" s="2" t="s">
        <v>39</v>
      </c>
      <c r="B10" s="10" t="s">
        <v>47</v>
      </c>
      <c r="C10" s="9" t="s">
        <v>57</v>
      </c>
      <c r="D10" s="9" t="s">
        <v>80</v>
      </c>
      <c r="E10" s="9" t="s">
        <v>77</v>
      </c>
    </row>
    <row r="11" spans="1:13" x14ac:dyDescent="0.35">
      <c r="A11" s="2" t="s">
        <v>85</v>
      </c>
      <c r="B11" s="2" t="s">
        <v>48</v>
      </c>
      <c r="C11" s="6" t="s">
        <v>65</v>
      </c>
      <c r="D11" s="6" t="s">
        <v>61</v>
      </c>
      <c r="E11" s="6" t="s">
        <v>81</v>
      </c>
    </row>
    <row r="12" spans="1:13" x14ac:dyDescent="0.35">
      <c r="A12" s="2" t="s">
        <v>86</v>
      </c>
      <c r="B12" s="2" t="s">
        <v>49</v>
      </c>
      <c r="C12" s="9" t="s">
        <v>57</v>
      </c>
      <c r="D12" s="9" t="s">
        <v>58</v>
      </c>
      <c r="E12" t="s">
        <v>82</v>
      </c>
    </row>
    <row r="13" spans="1:13" x14ac:dyDescent="0.35">
      <c r="A13" s="2" t="s">
        <v>87</v>
      </c>
      <c r="B13" s="2" t="s">
        <v>50</v>
      </c>
      <c r="C13" s="9" t="s">
        <v>57</v>
      </c>
      <c r="D13" s="9" t="s">
        <v>67</v>
      </c>
      <c r="E13" s="9" t="s">
        <v>84</v>
      </c>
    </row>
    <row r="14" spans="1:13" x14ac:dyDescent="0.35">
      <c r="A14" s="2" t="s">
        <v>88</v>
      </c>
      <c r="B14" s="2" t="s">
        <v>51</v>
      </c>
      <c r="C14" s="9" t="s">
        <v>77</v>
      </c>
      <c r="D14" s="9" t="s">
        <v>58</v>
      </c>
      <c r="E14" s="12" t="s">
        <v>83</v>
      </c>
    </row>
    <row r="15" spans="1:13" x14ac:dyDescent="0.35">
      <c r="A15" s="2" t="s">
        <v>91</v>
      </c>
      <c r="B15" s="2" t="s">
        <v>52</v>
      </c>
      <c r="C15" s="9" t="s">
        <v>90</v>
      </c>
      <c r="D15" s="9" t="s">
        <v>67</v>
      </c>
      <c r="E15" s="9" t="s">
        <v>89</v>
      </c>
    </row>
    <row r="16" spans="1:13" x14ac:dyDescent="0.35">
      <c r="A16" s="2" t="s">
        <v>40</v>
      </c>
      <c r="B16" s="2" t="s">
        <v>53</v>
      </c>
      <c r="C16" s="9" t="s">
        <v>57</v>
      </c>
      <c r="D16" s="9" t="s">
        <v>58</v>
      </c>
      <c r="E16" s="9" t="s">
        <v>92</v>
      </c>
    </row>
  </sheetData>
  <hyperlinks>
    <hyperlink ref="B2" r:id="rId1" xr:uid="{00000000-0004-0000-0000-000000000000}"/>
    <hyperlink ref="B3" r:id="rId2" xr:uid="{00000000-0004-0000-0000-000001000000}"/>
    <hyperlink ref="B4" r:id="rId3" xr:uid="{7D222CE2-D492-4B26-BAA3-242612EB0D78}"/>
    <hyperlink ref="B6" r:id="rId4" xr:uid="{96D64327-D74D-41F4-AB50-E666F553F258}"/>
    <hyperlink ref="B10" r:id="rId5" xr:uid="{DC808CB5-B7AF-4205-A1A6-896778A70EF3}"/>
    <hyperlink ref="B5" r:id="rId6" xr:uid="{F6672930-47AC-46D7-8558-3ACBA9AFD7D7}"/>
    <hyperlink ref="B7" r:id="rId7" xr:uid="{6A84F481-8B5A-4389-9A71-5326690E04E5}"/>
    <hyperlink ref="B9" r:id="rId8" xr:uid="{FC09CDCA-BC25-4CAF-B291-183DEF835D47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A68F-588E-4FFF-B914-9DE9C76E107A}">
  <dimension ref="A1:D7"/>
  <sheetViews>
    <sheetView workbookViewId="0">
      <selection activeCell="L5" sqref="L5"/>
    </sheetView>
  </sheetViews>
  <sheetFormatPr defaultColWidth="9" defaultRowHeight="15.5" x14ac:dyDescent="0.35"/>
  <cols>
    <col min="1" max="2" width="9" style="3"/>
    <col min="3" max="3" width="62.75" style="4" customWidth="1"/>
    <col min="4" max="4" width="60.5" style="4" customWidth="1"/>
    <col min="5" max="16384" width="9" style="3"/>
  </cols>
  <sheetData>
    <row r="1" spans="1:4" x14ac:dyDescent="0.35">
      <c r="A1" s="3" t="s">
        <v>0</v>
      </c>
      <c r="B1" s="3" t="s">
        <v>24</v>
      </c>
      <c r="C1" s="4" t="s">
        <v>25</v>
      </c>
      <c r="D1" s="4" t="s">
        <v>26</v>
      </c>
    </row>
    <row r="2" spans="1:4" ht="46.5" x14ac:dyDescent="0.35">
      <c r="A2" s="3" t="s">
        <v>10</v>
      </c>
      <c r="B2" s="3">
        <v>1</v>
      </c>
      <c r="C2" s="4" t="s">
        <v>28</v>
      </c>
      <c r="D2" s="4" t="s">
        <v>27</v>
      </c>
    </row>
    <row r="3" spans="1:4" ht="46.5" x14ac:dyDescent="0.35">
      <c r="A3" s="3" t="s">
        <v>10</v>
      </c>
      <c r="B3" s="3">
        <v>2</v>
      </c>
      <c r="C3" s="2" t="s">
        <v>29</v>
      </c>
      <c r="D3" s="4" t="s">
        <v>30</v>
      </c>
    </row>
    <row r="4" spans="1:4" ht="46.5" x14ac:dyDescent="0.35">
      <c r="A4" s="3" t="s">
        <v>10</v>
      </c>
      <c r="B4" s="3">
        <v>3</v>
      </c>
      <c r="C4" s="2" t="s">
        <v>31</v>
      </c>
      <c r="D4" s="4" t="s">
        <v>32</v>
      </c>
    </row>
    <row r="5" spans="1:4" ht="62" x14ac:dyDescent="0.35">
      <c r="A5" s="3" t="s">
        <v>19</v>
      </c>
      <c r="B5" s="3">
        <v>1</v>
      </c>
      <c r="C5" s="2" t="s">
        <v>37</v>
      </c>
      <c r="D5" s="4" t="s">
        <v>38</v>
      </c>
    </row>
    <row r="6" spans="1:4" ht="46.5" x14ac:dyDescent="0.35">
      <c r="A6" s="3" t="s">
        <v>19</v>
      </c>
      <c r="B6" s="3">
        <v>2</v>
      </c>
      <c r="C6" s="2" t="s">
        <v>35</v>
      </c>
      <c r="D6" s="4" t="s">
        <v>36</v>
      </c>
    </row>
    <row r="7" spans="1:4" ht="62" x14ac:dyDescent="0.35">
      <c r="A7" s="3" t="s">
        <v>19</v>
      </c>
      <c r="B7" s="3">
        <v>3</v>
      </c>
      <c r="C7" s="2" t="s">
        <v>33</v>
      </c>
      <c r="D7" s="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test_cases</vt:lpstr>
      <vt:lpstr>generated_seqs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Trey Pridgen</cp:lastModifiedBy>
  <cp:revision>1</cp:revision>
  <dcterms:created xsi:type="dcterms:W3CDTF">2025-07-24T00:52:33Z</dcterms:created>
  <dcterms:modified xsi:type="dcterms:W3CDTF">2025-08-06T03:17:27Z</dcterms:modified>
  <dc:language>en-US</dc:language>
</cp:coreProperties>
</file>